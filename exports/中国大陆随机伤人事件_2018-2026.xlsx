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a16705fc8c4e62" /></Relationships>
</file>

<file path=xl/workbook.xml><?xml version="1.0" encoding="utf-8"?>
<x:workbook xmlns:x="http://schemas.openxmlformats.org/spreadsheetml/2006/main">
  <x:sheets>
    <x:sheet xmlns:r="http://schemas.openxmlformats.org/officeDocument/2006/relationships" name="统计汇总" sheetId="1" r:id="R152ea4c331da4e09"/>
    <x:sheet xmlns:r="http://schemas.openxmlformats.org/officeDocument/2006/relationships" name="事件主表" sheetId="2" r:id="Rc88355a4d9894ea4"/>
    <x:sheet xmlns:r="http://schemas.openxmlformats.org/officeDocument/2006/relationships" name="来源证据" sheetId="3" r:id="R3ce316ebc83d49ce"/>
    <x:sheet xmlns:r="http://schemas.openxmlformats.org/officeDocument/2006/relationships" name="动机与背景标签" sheetId="4" r:id="R4f5b78084761457c"/>
    <x:sheet xmlns:r="http://schemas.openxmlformats.org/officeDocument/2006/relationships" name="省年背景" sheetId="5" r:id="R0b5fb55b6cca4692"/>
    <x:sheet xmlns:r="http://schemas.openxmlformats.org/officeDocument/2006/relationships" name="敏感性" sheetId="6" r:id="R5bb43eff85994be9"/>
    <x:sheet xmlns:r="http://schemas.openxmlformats.org/officeDocument/2006/relationships" name="季度统计" sheetId="7" r:id="Ra9fecaef32214728"/>
    <x:sheet xmlns:r="http://schemas.openxmlformats.org/officeDocument/2006/relationships" name="描述性关联" sheetId="8" r:id="Ree65080de2d44f92"/>
    <x:sheet xmlns:r="http://schemas.openxmlformats.org/officeDocument/2006/relationships" name="2026补查" sheetId="9" r:id="R729ca264566f43bf"/>
    <x:sheet xmlns:r="http://schemas.openxmlformats.org/officeDocument/2006/relationships" name="待核实与排除" sheetId="10" r:id="Rff109885c33c497c"/>
    <x:sheet xmlns:r="http://schemas.openxmlformats.org/officeDocument/2006/relationships" name="检索覆盖" sheetId="11" r:id="R182460bf7a23417c"/>
    <x:sheet xmlns:r="http://schemas.openxmlformats.org/officeDocument/2006/relationships" name="字段字典" sheetId="12" r:id="R3b201c4b1acc4466"/>
    <x:sheet xmlns:r="http://schemas.openxmlformats.org/officeDocument/2006/relationships" name="使用说明" sheetId="13" r:id="R07a4e0dc1deb4fd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000"/>
  </x:numFmts>
  <x:fonts count="7">
    <x:font>
      <x:sz val="11"/>
      <x:name val="Carlito"/>
    </x:font>
    <x:font>
      <x:sz val="11"/>
      <x:name val="Aptos"/>
    </x:font>
    <x:font>
      <x:sz val="11"/>
      <x:color rgb="FFFFFFFF"/>
      <x:name val="Aptos"/>
    </x:font>
    <x:font>
      <x:b/>
      <x:sz val="11"/>
      <x:color rgb="FFFFFFFF"/>
      <x:name val="Aptos"/>
    </x:font>
    <x:font>
      <x:sz val="22"/>
      <x:name val="Aptos"/>
    </x:font>
    <x:font>
      <x:b/>
      <x:sz val="22"/>
      <x:name val="Aptos"/>
    </x:font>
    <x:font>
      <x:b/>
      <x:sz val="11"/>
      <x:name val="Aptos"/>
    </x:font>
  </x:fonts>
  <x:fills count="4">
    <x:fill>
      <x:patternFill patternType="none"/>
    </x:fill>
    <x:fill>
      <x:patternFill patternType="gray125"/>
    </x:fill>
    <x:fill>
      <x:patternFill patternType="solid">
        <x:fgColor rgb="FF245D72"/>
      </x:patternFill>
    </x:fill>
    <x:fill>
      <x:patternFill patternType="solid">
        <x:fgColor rgb="FFDCEAF0"/>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right" vertical="top"/>
    </x:xf>
    <x:xf numFmtId="201" fontId="1" fillId="0" borderId="0" xfId="0" applyNumberFormat="1" applyFont="1" applyFill="1" applyBorder="1" applyAlignment="1">
      <x:alignment vertical="top"/>
    </x:xf>
    <x:xf numFmtId="0" fontId="4" fillId="0" borderId="0" xfId="0" applyNumberFormat="1" applyFont="1" applyFill="1" applyBorder="1"/>
    <x:xf numFmtId="0" fontId="5"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3" borderId="0" xfId="0" applyNumberFormat="1" applyFont="1" applyFill="1" applyBorder="1"/>
    <x:xf numFmtId="0" fontId="6" fillId="3" borderId="0" xfId="0" applyNumberFormat="1" applyFont="1" applyFill="1" applyBorder="1"/>
    <x:xf numFmtId="200" fontId="1" fillId="0" borderId="0" xfId="0" applyNumberFormat="1" applyFont="1" applyFill="1" applyBorder="1"/>
    <x:xf numFmtId="200" fontId="6" fillId="3" borderId="0" xfId="0" applyNumberFormat="1" applyFont="1" applyFill="1" applyBorder="1"/>
    <x:xf numFmtId="202" fontId="1" fillId="0" borderId="0" xfId="0" applyNumberFormat="1" applyFont="1" applyFill="1" applyBorder="1" applyAlignment="1">
      <x:alignment vertical="top"/>
    </x:xf>
    <x:xf numFmtId="202" fontId="1" fillId="0" borderId="0" xfId="0" applyNumberFormat="1" applyFont="1" applyFill="1" applyBorder="1" applyAlignment="1">
      <x:alignment horizontal="righ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ba92dc0a8d4cea" /><Relationship Type="http://schemas.openxmlformats.org/officeDocument/2006/relationships/theme" Target="/xl/theme/theme1.xml" Id="R6aa4c13153d54ac7" /><Relationship Type="http://schemas.openxmlformats.org/officeDocument/2006/relationships/sharedStrings" Target="/xl/sharedStrings.xml" Id="R4228f0cc7cbb42c0" /><Relationship Type="http://schemas.openxmlformats.org/officeDocument/2006/relationships/worksheet" Target="/xl/worksheets/sheet1.xml" Id="R152ea4c331da4e09" /><Relationship Type="http://schemas.openxmlformats.org/officeDocument/2006/relationships/worksheet" Target="/xl/worksheets/sheet2.xml" Id="Rc88355a4d9894ea4" /><Relationship Type="http://schemas.openxmlformats.org/officeDocument/2006/relationships/worksheet" Target="/xl/worksheets/sheet3.xml" Id="R3ce316ebc83d49ce" /><Relationship Type="http://schemas.openxmlformats.org/officeDocument/2006/relationships/worksheet" Target="/xl/worksheets/sheet4.xml" Id="R4f5b78084761457c" /><Relationship Type="http://schemas.openxmlformats.org/officeDocument/2006/relationships/worksheet" Target="/xl/worksheets/sheet5.xml" Id="R0b5fb55b6cca4692" /><Relationship Type="http://schemas.openxmlformats.org/officeDocument/2006/relationships/worksheet" Target="/xl/worksheets/sheet6.xml" Id="R5bb43eff85994be9" /><Relationship Type="http://schemas.openxmlformats.org/officeDocument/2006/relationships/worksheet" Target="/xl/worksheets/sheet7.xml" Id="Ra9fecaef32214728" /><Relationship Type="http://schemas.openxmlformats.org/officeDocument/2006/relationships/worksheet" Target="/xl/worksheets/sheet8.xml" Id="Ree65080de2d44f92" /><Relationship Type="http://schemas.openxmlformats.org/officeDocument/2006/relationships/worksheet" Target="/xl/worksheets/sheet9.xml" Id="R729ca264566f43bf" /><Relationship Type="http://schemas.openxmlformats.org/officeDocument/2006/relationships/worksheet" Target="/xl/worksheets/sheet10.xml" Id="Rff109885c33c497c" /><Relationship Type="http://schemas.openxmlformats.org/officeDocument/2006/relationships/worksheet" Target="/xl/worksheets/sheet11.xml" Id="R182460bf7a23417c" /><Relationship Type="http://schemas.openxmlformats.org/officeDocument/2006/relationships/worksheet" Target="/xl/worksheets/sheet12.xml" Id="R3b201c4b1acc4466" /><Relationship Type="http://schemas.openxmlformats.org/officeDocument/2006/relationships/worksheet" Target="/xl/worksheets/sheet13.xml" Id="R07a4e0dc1deb4fd9" /></Relationships>
</file>

<file path=xl/tables/table1.xml><?xml version="1.0" encoding="utf-8"?>
<x:table xmlns:x="http://schemas.openxmlformats.org/spreadsheetml/2006/main" id="1" name="ResearchTable1" displayName="ResearchTable1" ref="A1:BO215" headerRowCount="1" totalsRowCount="0" totalsRowShown="0">
  <x:tableColumns count="67">
    <x:tableColumn id="1" name="事件编号"/>
    <x:tableColumn id="2" name="案发日期"/>
    <x:tableColumn id="3" name="事件名称"/>
    <x:tableColumn id="4" name="省级地区"/>
    <x:tableColumn id="5" name="城市"/>
    <x:tableColumn id="6" name="分类代码"/>
    <x:tableColumn id="7" name="场景"/>
    <x:tableColumn id="8" name="方式"/>
    <x:tableColumn id="9" name="受害者死亡"/>
    <x:tableColumn id="10" name="受害者受伤"/>
    <x:tableColumn id="11" name="受伤原口径"/>
    <x:tableColumn id="12" name="受伤保守下限"/>
    <x:tableColumn id="13" name="死亡保守下限"/>
    <x:tableColumn id="14" name="伤亡口径日期"/>
    <x:tableColumn id="15" name="伤亡修订说明"/>
    <x:tableColumn id="16" name="分类依据"/>
    <x:tableColumn id="17" name="区县"/>
    <x:tableColumn id="18" name="城乡属性"/>
    <x:tableColumn id="19" name="日期精度"/>
    <x:tableColumn id="20" name="已核实案发时间"/>
    <x:tableColumn id="21" name="连续袭击过程"/>
    <x:tableColumn id="22" name="重伤"/>
    <x:tableColumn id="23" name="作案者死亡"/>
    <x:tableColumn id="24" name="作案者受伤"/>
    <x:tableColumn id="25" name="涉及儿童"/>
    <x:tableColumn id="26" name="受害者关系"/>
    <x:tableColumn id="27" name="作案者年龄"/>
    <x:tableColumn id="28" name="性别"/>
    <x:tableColumn id="29" name="职业状态"/>
    <x:tableColumn id="30" name="动机摘要"/>
    <x:tableColumn id="31" name="动机标签"/>
    <x:tableColumn id="32" name="动机证据层级"/>
    <x:tableColumn id="33" name="精神健康证据"/>
    <x:tableColumn id="34" name="既往暴力记录"/>
    <x:tableColumn id="35" name="事前威胁线索"/>
    <x:tableColumn id="36" name="干预与现场处置"/>
    <x:tableColumn id="37" name="司法及处置结果"/>
    <x:tableColumn id="38" name="判决日期"/>
    <x:tableColumn id="39" name="执行日期"/>
    <x:tableColumn id="40" name="最后来源日期"/>
    <x:tableColumn id="41" name="事件证据等级"/>
    <x:tableColumn id="42" name="来源编号"/>
    <x:tableColumn id="43" name="分字段来源"/>
    <x:tableColumn id="44" name="关联系列"/>
    <x:tableColumn id="45" name="故意性未明的碰撞伤者"/>
    <x:tableColumn id="46" name="警方处置伤者"/>
    <x:tableColumn id="47" name="事件总伤者原口径"/>
    <x:tableColumn id="48" name="动机归因说明"/>
    <x:tableColumn id="49" name="补查批次"/>
    <x:tableColumn id="50" name="补查所属年份（非案发年）"/>
    <x:tableColumn id="51" name="线索发布日"/>
    <x:tableColumn id="52" name="案发日期核验说明"/>
    <x:tableColumn id="53" name="尚缺的核验要素"/>
    <x:tableColumn id="54" name="社交平台原帖链接"/>
    <x:tableColumn id="55" name="补充说明"/>
    <x:tableColumn id="56" name="发生获官方确认"/>
    <x:tableColumn id="57" name="官方材料直接支持分类"/>
    <x:tableColumn id="58" name="分类证据分层说明"/>
    <x:tableColumn id="59" name="动机归并主题"/>
    <x:tableColumn id="60" name="案发年（汇总辅助）"/>
    <x:tableColumn id="61" name="死亡已知数或下限"/>
    <x:tableColumn id="62" name="受伤已知数或下限"/>
    <x:tableColumn id="63" name="官方来源标记1/0"/>
    <x:tableColumn id="64" name="动机有证据1/0"/>
    <x:tableColumn id="65" name="1月1日至9月16日1/0"/>
    <x:tableColumn id="66" name="死亡数不明1/0"/>
    <x:tableColumn id="67" name="受伤数不明1/0"/>
  </x:tableColumns>
  <x:tableStyleInfo name="TableStyleMedium2" showFirstColumn="0" showLastColumn="0" showRowStripes="1" showColumnStripes="0"/>
</x:table>
</file>

<file path=xl/tables/table2.xml><?xml version="1.0" encoding="utf-8"?>
<x:table xmlns:x="http://schemas.openxmlformats.org/spreadsheetml/2006/main" id="2" name="ResearchTable2" displayName="ResearchTable2" ref="A1:L299" headerRowCount="1" totalsRowCount="0" totalsRowShown="0">
  <x:tableColumns count="12">
    <x:tableColumn id="1" name="来源编号"/>
    <x:tableColumn id="2" name="来源标题"/>
    <x:tableColumn id="3" name="发布机构"/>
    <x:tableColumn id="4" name="发布日期"/>
    <x:tableColumn id="5" name="核读链接"/>
    <x:tableColumn id="6" name="原始社媒链接"/>
    <x:tableColumn id="7" name="访问状态"/>
    <x:tableColumn id="8" name="来源类型"/>
    <x:tableColumn id="9" name="同源组"/>
    <x:tableColumn id="10" name="支持事件/用途"/>
    <x:tableColumn id="11" name="核读事实与限制"/>
    <x:tableColumn id="12" name="查阅日期"/>
  </x:tableColumns>
  <x:tableStyleInfo name="TableStyleMedium2" showFirstColumn="0" showLastColumn="0" showRowStripes="1" showColumnStripes="0"/>
</x:table>
</file>

<file path=xl/tables/table3.xml><?xml version="1.0" encoding="utf-8"?>
<x:table xmlns:x="http://schemas.openxmlformats.org/spreadsheetml/2006/main" id="3" name="ResearchTable3" displayName="ResearchTable3" ref="A1:G121" headerRowCount="1" totalsRowCount="0" totalsRowShown="0">
  <x:tableColumns count="7">
    <x:tableColumn id="1" name="事件编号"/>
    <x:tableColumn id="2" name="分类"/>
    <x:tableColumn id="3" name="原始标签"/>
    <x:tableColumn id="4" name="归并主题（解释层）"/>
    <x:tableColumn id="5" name="证据层级"/>
    <x:tableColumn id="6" name="动机摘要"/>
    <x:tableColumn id="7" name="支持来源"/>
  </x:tableColumns>
  <x:tableStyleInfo name="TableStyleMedium2" showFirstColumn="0" showLastColumn="0" showRowStripes="1" showColumnStripes="0"/>
</x:table>
</file>

<file path=xl/tables/table4.xml><?xml version="1.0" encoding="utf-8"?>
<x:table xmlns:x="http://schemas.openxmlformats.org/spreadsheetml/2006/main" id="4" name="ResearchTable4" displayName="ResearchTable4" ref="A1:Q249" headerRowCount="1" totalsRowCount="0" totalsRowShown="0">
  <x:tableColumns count="17">
    <x:tableColumn id="1" name="省级地区"/>
    <x:tableColumn id="2" name="年份"/>
    <x:tableColumn id="3" name="核心记录件数"/>
    <x:tableColumn id="4" name="常住人口_万人"/>
    <x:tableColumn id="5" name="每百万人公开记录数"/>
    <x:tableColumn id="6" name="城镇化率_%"/>
    <x:tableColumn id="7" name="居民人均可支配收入_元"/>
    <x:tableColumn id="8" name="调查失业率_缺失"/>
    <x:tableColumn id="9" name="就业人员_万人"/>
    <x:tableColumn id="10" name="第三产业就业_万人"/>
    <x:tableColumn id="11" name="第三产业就业占比_%"/>
    <x:tableColumn id="12" name="人口来源"/>
    <x:tableColumn id="13" name="城镇化来源"/>
    <x:tableColumn id="14" name="收入来源"/>
    <x:tableColumn id="15" name="就业来源"/>
    <x:tableColumn id="16" name="失业指标缺口"/>
    <x:tableColumn id="17" name="未检出解释"/>
  </x:tableColumns>
  <x:tableStyleInfo name="TableStyleMedium2" showFirstColumn="0" showLastColumn="0" showRowStripes="1" showColumnStripes="0"/>
</x:table>
</file>

<file path=xl/tables/table5.xml><?xml version="1.0" encoding="utf-8"?>
<x:table xmlns:x="http://schemas.openxmlformats.org/spreadsheetml/2006/main" id="5" name="ResearchTable5" displayName="ResearchTable5" ref="A1:G19" headerRowCount="1" totalsRowCount="0" totalsRowShown="0">
  <x:tableColumns count="7">
    <x:tableColumn id="1" name="年份"/>
    <x:tableColumn id="2" name="统计口径"/>
    <x:tableColumn id="3" name="官方直接支持分类件数"/>
    <x:tableColumn id="4" name="全部核实件数"/>
    <x:tableColumn id="5" name="当年最大死亡事件"/>
    <x:tableColumn id="6" name="死亡下限"/>
    <x:tableColumn id="7" name="移除最大事件后死亡下限"/>
  </x:tableColumns>
  <x:tableStyleInfo name="TableStyleMedium2" showFirstColumn="0" showLastColumn="0" showRowStripes="1" showColumnStripes="0"/>
</x:table>
</file>

<file path=xl/tables/table6.xml><?xml version="1.0" encoding="utf-8"?>
<x:table xmlns:x="http://schemas.openxmlformats.org/spreadsheetml/2006/main" id="6" name="ResearchTable6" displayName="ResearchTable6" ref="A1:H36" headerRowCount="1" totalsRowCount="0" totalsRowShown="0">
  <x:tableColumns count="8">
    <x:tableColumn id="1" name="案发季度"/>
    <x:tableColumn id="2" name="核心件数"/>
    <x:tableColumn id="3" name="精确死亡已知合计"/>
    <x:tableColumn id="4" name="死亡含下限合计"/>
    <x:tableColumn id="5" name="死亡不明案件"/>
    <x:tableColumn id="6" name="精确受伤已知合计"/>
    <x:tableColumn id="7" name="受伤含下限合计"/>
    <x:tableColumn id="8" name="受伤不明案件"/>
  </x:tableColumns>
  <x:tableStyleInfo name="TableStyleMedium2" showFirstColumn="0" showLastColumn="0" showRowStripes="1" showColumnStripes="0"/>
</x:table>
</file>

<file path=xl/tables/table7.xml><?xml version="1.0" encoding="utf-8"?>
<x:table xmlns:x="http://schemas.openxmlformats.org/spreadsheetml/2006/main" id="7" name="ResearchTable7" displayName="ResearchTable7" ref="A1:F43" headerRowCount="1" totalsRowCount="0" totalsRowShown="0">
  <x:tableColumns count="6">
    <x:tableColumn id="1" name="年份"/>
    <x:tableColumn id="2" name="背景指标代码"/>
    <x:tableColumn id="3" name="记录指标"/>
    <x:tableColumn id="4" name="省级样本量"/>
    <x:tableColumn id="5" name="Pearson相关系数"/>
    <x:tableColumn id="6" name="解释边界"/>
  </x:tableColumns>
  <x:tableStyleInfo name="TableStyleMedium2" showFirstColumn="0" showLastColumn="0" showRowStripes="1" showColumnStripes="0"/>
</x:table>
</file>

<file path=xl/tables/table8.xml><?xml version="1.0" encoding="utf-8"?>
<x:table xmlns:x="http://schemas.openxmlformats.org/spreadsheetml/2006/main" id="8" name="ResearchTable8" displayName="ResearchTable8" ref="A1:R78" headerRowCount="1" totalsRowCount="0" totalsRowShown="0">
  <x:tableColumns count="18">
    <x:tableColumn id="1" name="事件编号"/>
    <x:tableColumn id="2" name="案发日期"/>
    <x:tableColumn id="3" name="日期精度"/>
    <x:tableColumn id="4" name="线索发布日"/>
    <x:tableColumn id="5" name="事件名称"/>
    <x:tableColumn id="6" name="省级地区"/>
    <x:tableColumn id="7" name="城市"/>
    <x:tableColumn id="8" name="分类代码"/>
    <x:tableColumn id="9" name="分类依据"/>
    <x:tableColumn id="10" name="受害者死亡"/>
    <x:tableColumn id="11" name="死亡保守下限"/>
    <x:tableColumn id="12" name="受害者受伤"/>
    <x:tableColumn id="13" name="受伤保守下限"/>
    <x:tableColumn id="14" name="伤亡修订说明"/>
    <x:tableColumn id="15" name="案发日期核验说明"/>
    <x:tableColumn id="16" name="尚缺的核验要素"/>
    <x:tableColumn id="17" name="来源编号"/>
    <x:tableColumn id="18" name="社交平台原帖链接"/>
  </x:tableColumns>
  <x:tableStyleInfo name="TableStyleMedium2" showFirstColumn="0" showLastColumn="0" showRowStripes="1" showColumnStripes="0"/>
</x:table>
</file>

<file path=xl/tables/table9.xml><?xml version="1.0" encoding="utf-8"?>
<x:table xmlns:x="http://schemas.openxmlformats.org/spreadsheetml/2006/main" id="9" name="ResearchTable9" displayName="ResearchTable9" ref="A1:L142" headerRowCount="1" totalsRowCount="0" totalsRowShown="0">
  <x:tableColumns count="12">
    <x:tableColumn id="1" name="事件编号"/>
    <x:tableColumn id="2" name="案发日期"/>
    <x:tableColumn id="3" name="事件名称"/>
    <x:tableColumn id="4" name="省级地区"/>
    <x:tableColumn id="5" name="分类代码"/>
    <x:tableColumn id="6" name="分类依据"/>
    <x:tableColumn id="7" name="受害者死亡"/>
    <x:tableColumn id="8" name="受害者受伤"/>
    <x:tableColumn id="9" name="伤亡修订说明"/>
    <x:tableColumn id="10" name="事件证据等级"/>
    <x:tableColumn id="11" name="来源编号"/>
    <x:tableColumn id="12" name="补充说明"/>
  </x:tableColumns>
  <x:tableStyleInfo name="TableStyleMedium2" showFirstColumn="0" showLastColumn="0" showRowStripes="1" showColumnStripes="0"/>
</x:table>
</file>

<file path=xl/tables/table10.xml><?xml version="1.0" encoding="utf-8"?>
<x:table xmlns:x="http://schemas.openxmlformats.org/spreadsheetml/2006/main" id="10" name="ResearchTable10" displayName="ResearchTable10" ref="A1:F647" headerRowCount="1" totalsRowCount="0" totalsRowShown="0">
  <x:tableColumns count="6">
    <x:tableColumn id="1" name="实际查询或访问项"/>
    <x:tableColumn id="2" name="年份范围"/>
    <x:tableColumn id="3" name="地区范围"/>
    <x:tableColumn id="4" name="状态"/>
    <x:tableColumn id="5" name="候选数（未统计为空）"/>
    <x:tableColumn id="6" name="检出/失败与限制"/>
  </x:tableColumns>
  <x:tableStyleInfo name="TableStyleMedium2" showFirstColumn="0" showLastColumn="0" showRowStripes="1" showColumnStripes="0"/>
</x:table>
</file>

<file path=xl/tables/table11.xml><?xml version="1.0" encoding="utf-8"?>
<x:table xmlns:x="http://schemas.openxmlformats.org/spreadsheetml/2006/main" id="11" name="ResearchTable11" displayName="ResearchTable11" ref="A1:C68" headerRowCount="1" totalsRowCount="0" totalsRowShown="0">
  <x:tableColumns count="3">
    <x:tableColumn id="1" name="字段代码"/>
    <x:tableColumn id="2" name="中文标签"/>
    <x:tableColumn id="3" name="含义与空值规则"/>
  </x:tableColumns>
  <x:tableStyleInfo name="TableStyleMedium2" showFirstColumn="0" showLastColumn="0" showRowStripes="1" showColumnStripes="0"/>
</x:table>
</file>

<file path=xl/tables/table12.xml><?xml version="1.0" encoding="utf-8"?>
<x:table xmlns:x="http://schemas.openxmlformats.org/spreadsheetml/2006/main" id="12" name="ResearchTable12" displayName="ResearchTable12" ref="A1:B13" headerRowCount="1" totalsRowCount="0" totalsRowShown="0">
  <x:tableColumns count="2">
    <x:tableColumn id="1" name="主题"/>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66a436234e41af" /></Relationships>
</file>

<file path=xl/worksheets/_rels/sheet3.xml.rels>&#65279;<?xml version="1.0" encoding="utf-8"?><Relationships xmlns="http://schemas.openxmlformats.org/package/2006/relationships"><Relationship Type="http://schemas.openxmlformats.org/officeDocument/2006/relationships/table" Target="/xl/tables/table2.xml" Id="Re074ff1652c646ae" /></Relationships>
</file>

<file path=xl/worksheets/_rels/sheet4.xml.rels>&#65279;<?xml version="1.0" encoding="utf-8"?><Relationships xmlns="http://schemas.openxmlformats.org/package/2006/relationships"><Relationship Type="http://schemas.openxmlformats.org/officeDocument/2006/relationships/table" Target="/xl/tables/table3.xml" Id="Ra086ef67312a4124" /></Relationships>
</file>

<file path=xl/worksheets/_rels/sheet5.xml.rels>&#65279;<?xml version="1.0" encoding="utf-8"?><Relationships xmlns="http://schemas.openxmlformats.org/package/2006/relationships"><Relationship Type="http://schemas.openxmlformats.org/officeDocument/2006/relationships/table" Target="/xl/tables/table4.xml" Id="R72e9d41c7fc5430d" /></Relationships>
</file>

<file path=xl/worksheets/_rels/sheet6.xml.rels>&#65279;<?xml version="1.0" encoding="utf-8"?><Relationships xmlns="http://schemas.openxmlformats.org/package/2006/relationships"><Relationship Type="http://schemas.openxmlformats.org/officeDocument/2006/relationships/table" Target="/xl/tables/table5.xml" Id="R2ab601efcb174f70" /></Relationships>
</file>

<file path=xl/worksheets/_rels/sheet7.xml.rels>&#65279;<?xml version="1.0" encoding="utf-8"?><Relationships xmlns="http://schemas.openxmlformats.org/package/2006/relationships"><Relationship Type="http://schemas.openxmlformats.org/officeDocument/2006/relationships/table" Target="/xl/tables/table6.xml" Id="Rcf8841f7817d4b50" /></Relationships>
</file>

<file path=xl/worksheets/_rels/sheet8.xml.rels>&#65279;<?xml version="1.0" encoding="utf-8"?><Relationships xmlns="http://schemas.openxmlformats.org/package/2006/relationships"><Relationship Type="http://schemas.openxmlformats.org/officeDocument/2006/relationships/table" Target="/xl/tables/table7.xml" Id="Re686074d756e4038" /></Relationships>
</file>

<file path=xl/worksheets/_rels/sheet9.xml.rels>&#65279;<?xml version="1.0" encoding="utf-8"?><Relationships xmlns="http://schemas.openxmlformats.org/package/2006/relationships"><Relationship Type="http://schemas.openxmlformats.org/officeDocument/2006/relationships/table" Target="/xl/tables/table8.xml" Id="R9e3a54a5115f46dc" /></Relationships>
</file>

<file path=xl/worksheets/_rels/sheet10.xml.rels>&#65279;<?xml version="1.0" encoding="utf-8"?><Relationships xmlns="http://schemas.openxmlformats.org/package/2006/relationships"><Relationship Type="http://schemas.openxmlformats.org/officeDocument/2006/relationships/table" Target="/xl/tables/table9.xml" Id="Red3b2e57e3624113" /></Relationships>
</file>

<file path=xl/worksheets/_rels/sheet11.xml.rels>&#65279;<?xml version="1.0" encoding="utf-8"?><Relationships xmlns="http://schemas.openxmlformats.org/package/2006/relationships"><Relationship Type="http://schemas.openxmlformats.org/officeDocument/2006/relationships/table" Target="/xl/tables/table10.xml" Id="R351ad4f1cf2f404d" /></Relationships>
</file>

<file path=xl/worksheets/_rels/sheet12.xml.rels>&#65279;<?xml version="1.0" encoding="utf-8"?><Relationships xmlns="http://schemas.openxmlformats.org/package/2006/relationships"><Relationship Type="http://schemas.openxmlformats.org/officeDocument/2006/relationships/table" Target="/xl/tables/table11.xml" Id="R4398248c148f4aef" /></Relationships>
</file>

<file path=xl/worksheets/_rels/sheet13.xml.rels>&#65279;<?xml version="1.0" encoding="utf-8"?><Relationships xmlns="http://schemas.openxmlformats.org/package/2006/relationships"><Relationship Type="http://schemas.openxmlformats.org/officeDocument/2006/relationships/table" Target="/xl/tables/table12.xml" Id="R97c27e3c1e0b4e94" /></Relationships>
</file>

<file path=xl/worksheets/sheet1.xml><?xml version="1.0" encoding="utf-8"?>
<x:worksheet xmlns:x="http://schemas.openxmlformats.org/spreadsheetml/2006/main">
  <x:sheetPr>
    <x:tabColor rgb="FF245D72"/>
  </x:sheetPr>
  <x:sheetViews>
    <x:sheetView showGridLines="0" workbookViewId="0">
      <x:pane ySplit="7" topLeftCell="A8"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42" customHeight="1">
      <x:c r="A1" s="12" t="str">
        <x:v>中国大陆随机伤人事件公开信息研究</x:v>
      </x:c>
      <x:c r="B1" s="12"/>
      <x:c r="C1" s="12"/>
      <x:c r="D1" s="12"/>
      <x:c r="E1" s="12"/>
      <x:c r="F1" s="12"/>
      <x:c r="G1" s="12"/>
      <x:c r="H1" s="12"/>
      <x:c r="I1" s="12"/>
      <x:c r="J1" s="12"/>
      <x:c r="K1" s="12"/>
    </x:row>
    <x:row r="2" ht="25" customHeight="1">
      <x:c r="A2" s="1" t="str">
        <x:v>2018-01-01 — 2026-09-16 ｜ 31省级地区 ｜ 公开可核实记录，不是全部实际案件</x:v>
      </x:c>
      <x:c r="B2" s="1"/>
      <x:c r="C2" s="1"/>
      <x:c r="D2" s="1"/>
      <x:c r="E2" s="1"/>
      <x:c r="F2" s="1"/>
      <x:c r="G2" s="1"/>
      <x:c r="H2" s="1"/>
      <x:c r="I2" s="1"/>
      <x:c r="J2" s="1"/>
      <x:c r="K2" s="1"/>
    </x:row>
    <x:row r="3" ht="25" customHeight="1">
      <x:c r="A3" s="1" t="str">
        <x:v>核心：不特定或与纠纷无关人员；扩展：核心 + 定向纠纷扩大。待核与排除不计入汇总。</x:v>
      </x:c>
      <x:c r="B3" s="1"/>
      <x:c r="C3" s="1"/>
      <x:c r="D3" s="1"/>
      <x:c r="E3" s="1"/>
      <x:c r="F3" s="1"/>
      <x:c r="G3" s="1"/>
      <x:c r="H3" s="1"/>
      <x:c r="I3" s="1"/>
      <x:c r="J3" s="1"/>
      <x:c r="K3" s="1"/>
    </x:row>
    <x:row r="4" ht="25" customHeight="1">
      <x:c r="A4" s="1" t="str">
        <x:v>伤亡为受害者已知合计/明确下限；作案者另列。2026仅截至9月16日，不折算全年。</x:v>
      </x:c>
      <x:c r="B4" s="1"/>
      <x:c r="C4" s="1"/>
      <x:c r="D4" s="1"/>
      <x:c r="E4" s="1"/>
      <x:c r="F4" s="1"/>
      <x:c r="G4" s="1"/>
      <x:c r="H4" s="1"/>
      <x:c r="I4" s="1"/>
      <x:c r="J4" s="1"/>
      <x:c r="K4" s="1"/>
    </x:row>
    <x:row r="5" ht="25" customHeight="1">
      <x:c r="A5" s="1" t="str">
        <x:v>所有空值代表未知。年度公式可随主表现有范围内修改更新；新增记录后请重跑分析和建表脚本。</x:v>
      </x:c>
      <x:c r="B5" s="1"/>
      <x:c r="C5" s="1"/>
      <x:c r="D5" s="1"/>
      <x:c r="E5" s="1"/>
      <x:c r="F5" s="1"/>
      <x:c r="G5" s="1"/>
      <x:c r="H5" s="1"/>
      <x:c r="I5" s="1"/>
      <x:c r="J5" s="1"/>
      <x:c r="K5" s="1"/>
    </x:row>
    <x:row r="6" ht="25" customHeight="1">
      <x:c r="A6" s="1"/>
      <x:c r="B6" s="1"/>
      <x:c r="C6" s="1"/>
      <x:c r="D6" s="1"/>
      <x:c r="E6" s="1"/>
      <x:c r="F6" s="1"/>
      <x:c r="G6" s="1"/>
      <x:c r="H6" s="1"/>
      <x:c r="I6" s="1"/>
      <x:c r="J6" s="1"/>
      <x:c r="K6" s="1"/>
    </x:row>
    <x:row r="7" ht="48" customHeight="1">
      <x:c r="A7" s="16" t="str">
        <x:v>案发年</x:v>
      </x:c>
      <x:c r="B7" s="16" t="str">
        <x:v>核心件数</x:v>
      </x:c>
      <x:c r="C7" s="16" t="str">
        <x:v>扩展件数</x:v>
      </x:c>
      <x:c r="D7" s="16" t="str">
        <x:v>核心死亡下限</x:v>
      </x:c>
      <x:c r="E7" s="16" t="str">
        <x:v>核心受伤下限</x:v>
      </x:c>
      <x:c r="F7" s="16" t="str">
        <x:v>官方直接支持分类件数</x:v>
      </x:c>
      <x:c r="G7" s="16" t="str">
        <x:v>动机未知件数</x:v>
      </x:c>
      <x:c r="H7" s="16" t="str">
        <x:v>同期核心件数</x:v>
      </x:c>
      <x:c r="I7" s="16" t="str">
        <x:v>死亡人数未知</x:v>
      </x:c>
      <x:c r="J7" s="16" t="str">
        <x:v>受伤人数未知</x:v>
      </x:c>
      <x:c r="K7" s="16" t="str">
        <x:v>备注</x:v>
      </x:c>
    </x:row>
    <x:row r="8" ht="25" customHeight="1">
      <x:c r="A8" s="1" t="n">
        <x:v>2018</x:v>
      </x:c>
      <x:c r="B8" s="19" t="n">
        <x:f>COUNTIFS('事件主表'!$BH$2:$BH$215,$A8,'事件主表'!$F$2:$F$215,"core")</x:f>
        <x:v>13</x:v>
      </x:c>
      <x:c r="C8" s="19" t="n">
        <x:f>B8+COUNTIFS('事件主表'!$BH$2:$BH$215,$A8,'事件主表'!$F$2:$F$215,"expanded")</x:f>
        <x:v>15</x:v>
      </x:c>
      <x:c r="D8" s="19" t="n">
        <x:f>SUMIFS('事件主表'!$BI$2:$BI$215,'事件主表'!$BH$2:$BH$215,$A8,'事件主表'!$F$2:$F$215,"core")</x:f>
        <x:v>45</x:v>
      </x:c>
      <x:c r="E8" s="19" t="n">
        <x:f>SUMIFS('事件主表'!$BJ$2:$BJ$215,'事件主表'!$BH$2:$BH$215,$A8,'事件主表'!$F$2:$F$215,"core")</x:f>
        <x:v>163</x:v>
      </x:c>
      <x:c r="F8" s="19" t="n">
        <x:f>SUMIFS('事件主表'!$BK$2:$BK$215,'事件主表'!$BH$2:$BH$215,$A8,'事件主表'!$F$2:$F$215,"core")</x:f>
        <x:v>9</x:v>
      </x:c>
      <x:c r="G8" s="19" t="n">
        <x:f>B8-SUMIFS('事件主表'!$BL$2:$BL$215,'事件主表'!$BH$2:$BH$215,$A8,'事件主表'!$F$2:$F$215,"core")</x:f>
        <x:v>4</x:v>
      </x:c>
      <x:c r="H8" s="19" t="n">
        <x:f>SUMIFS('事件主表'!$BM$2:$BM$215,'事件主表'!$BH$2:$BH$215,$A8,'事件主表'!$F$2:$F$215,"core")</x:f>
        <x:v>9</x:v>
      </x:c>
      <x:c r="I8" s="19" t="n">
        <x:f>SUMIFS('事件主表'!$BN$2:$BN$215,'事件主表'!$BH$2:$BH$215,$A8,'事件主表'!$F$2:$F$215,"core")</x:f>
        <x:v>0</x:v>
      </x:c>
      <x:c r="J8" s="19" t="n">
        <x:f>SUMIFS('事件主表'!$BO$2:$BO$215,'事件主表'!$BH$2:$BH$215,$A8,'事件主表'!$F$2:$F$215,"core")</x:f>
        <x:v>2</x:v>
      </x:c>
      <x:c r="K8" s="1" t="str">
        <x:v>全年</x:v>
      </x:c>
    </x:row>
    <x:row r="9" ht="25" customHeight="1">
      <x:c r="A9" s="1" t="n">
        <x:v>2019</x:v>
      </x:c>
      <x:c r="B9" s="19" t="n">
        <x:f>COUNTIFS('事件主表'!$BH$2:$BH$215,$A9,'事件主表'!$F$2:$F$215,"core")</x:f>
        <x:v>7</x:v>
      </x:c>
      <x:c r="C9" s="19" t="n">
        <x:f>B9+COUNTIFS('事件主表'!$BH$2:$BH$215,$A9,'事件主表'!$F$2:$F$215,"expanded")</x:f>
        <x:v>9</x:v>
      </x:c>
      <x:c r="D9" s="19" t="n">
        <x:f>SUMIFS('事件主表'!$BI$2:$BI$215,'事件主表'!$BH$2:$BH$215,$A9,'事件主表'!$F$2:$F$215,"core")</x:f>
        <x:v>13</x:v>
      </x:c>
      <x:c r="E9" s="19" t="n">
        <x:f>SUMIFS('事件主表'!$BJ$2:$BJ$215,'事件主表'!$BH$2:$BH$215,$A9,'事件主表'!$F$2:$F$215,"core")</x:f>
        <x:v>79</x:v>
      </x:c>
      <x:c r="F9" s="19" t="n">
        <x:f>SUMIFS('事件主表'!$BK$2:$BK$215,'事件主表'!$BH$2:$BH$215,$A9,'事件主表'!$F$2:$F$215,"core")</x:f>
        <x:v>6</x:v>
      </x:c>
      <x:c r="G9" s="19" t="n">
        <x:f>B9-SUMIFS('事件主表'!$BL$2:$BL$215,'事件主表'!$BH$2:$BH$215,$A9,'事件主表'!$F$2:$F$215,"core")</x:f>
        <x:v>3</x:v>
      </x:c>
      <x:c r="H9" s="19" t="n">
        <x:f>SUMIFS('事件主表'!$BM$2:$BM$215,'事件主表'!$BH$2:$BH$215,$A9,'事件主表'!$F$2:$F$215,"core")</x:f>
        <x:v>6</x:v>
      </x:c>
      <x:c r="I9" s="19" t="n">
        <x:f>SUMIFS('事件主表'!$BN$2:$BN$215,'事件主表'!$BH$2:$BH$215,$A9,'事件主表'!$F$2:$F$215,"core")</x:f>
        <x:v>0</x:v>
      </x:c>
      <x:c r="J9" s="19" t="n">
        <x:f>SUMIFS('事件主表'!$BO$2:$BO$215,'事件主表'!$BH$2:$BH$215,$A9,'事件主表'!$F$2:$F$215,"core")</x:f>
        <x:v>1</x:v>
      </x:c>
      <x:c r="K9" s="1" t="str">
        <x:v>全年</x:v>
      </x:c>
    </x:row>
    <x:row r="10" ht="25" customHeight="1">
      <x:c r="A10" s="1" t="n">
        <x:v>2020</x:v>
      </x:c>
      <x:c r="B10" s="19" t="n">
        <x:f>COUNTIFS('事件主表'!$BH$2:$BH$215,$A10,'事件主表'!$F$2:$F$215,"core")</x:f>
        <x:v>6</x:v>
      </x:c>
      <x:c r="C10" s="19" t="n">
        <x:f>B10+COUNTIFS('事件主表'!$BH$2:$BH$215,$A10,'事件主表'!$F$2:$F$215,"expanded")</x:f>
        <x:v>8</x:v>
      </x:c>
      <x:c r="D10" s="19" t="n">
        <x:f>SUMIFS('事件主表'!$BI$2:$BI$215,'事件主表'!$BH$2:$BH$215,$A10,'事件主表'!$F$2:$F$215,"core")</x:f>
        <x:v>32</x:v>
      </x:c>
      <x:c r="E10" s="19" t="n">
        <x:f>SUMIFS('事件主表'!$BJ$2:$BJ$215,'事件主表'!$BH$2:$BH$215,$A10,'事件主表'!$F$2:$F$215,"core")</x:f>
        <x:v>34</x:v>
      </x:c>
      <x:c r="F10" s="19" t="n">
        <x:f>SUMIFS('事件主表'!$BK$2:$BK$215,'事件主表'!$BH$2:$BH$215,$A10,'事件主表'!$F$2:$F$215,"core")</x:f>
        <x:v>6</x:v>
      </x:c>
      <x:c r="G10" s="19" t="n">
        <x:f>B10-SUMIFS('事件主表'!$BL$2:$BL$215,'事件主表'!$BH$2:$BH$215,$A10,'事件主表'!$F$2:$F$215,"core")</x:f>
        <x:v>0</x:v>
      </x:c>
      <x:c r="H10" s="19" t="n">
        <x:f>SUMIFS('事件主表'!$BM$2:$BM$215,'事件主表'!$BH$2:$BH$215,$A10,'事件主表'!$F$2:$F$215,"core")</x:f>
        <x:v>5</x:v>
      </x:c>
      <x:c r="I10" s="19" t="n">
        <x:f>SUMIFS('事件主表'!$BN$2:$BN$215,'事件主表'!$BH$2:$BH$215,$A10,'事件主表'!$F$2:$F$215,"core")</x:f>
        <x:v>0</x:v>
      </x:c>
      <x:c r="J10" s="19" t="n">
        <x:f>SUMIFS('事件主表'!$BO$2:$BO$215,'事件主表'!$BH$2:$BH$215,$A10,'事件主表'!$F$2:$F$215,"core")</x:f>
        <x:v>1</x:v>
      </x:c>
      <x:c r="K10" s="1" t="str">
        <x:v>全年</x:v>
      </x:c>
    </x:row>
    <x:row r="11" ht="25" customHeight="1">
      <x:c r="A11" s="1" t="n">
        <x:v>2021</x:v>
      </x:c>
      <x:c r="B11" s="19" t="n">
        <x:f>COUNTIFS('事件主表'!$BH$2:$BH$215,$A11,'事件主表'!$F$2:$F$215,"core")</x:f>
        <x:v>5</x:v>
      </x:c>
      <x:c r="C11" s="19" t="n">
        <x:f>B11+COUNTIFS('事件主表'!$BH$2:$BH$215,$A11,'事件主表'!$F$2:$F$215,"expanded")</x:f>
        <x:v>7</x:v>
      </x:c>
      <x:c r="D11" s="19" t="n">
        <x:f>SUMIFS('事件主表'!$BI$2:$BI$215,'事件主表'!$BH$2:$BH$215,$A11,'事件主表'!$F$2:$F$215,"core")</x:f>
        <x:v>12</x:v>
      </x:c>
      <x:c r="E11" s="19" t="n">
        <x:f>SUMIFS('事件主表'!$BJ$2:$BJ$215,'事件主表'!$BH$2:$BH$215,$A11,'事件主表'!$F$2:$F$215,"core")</x:f>
        <x:v>48</x:v>
      </x:c>
      <x:c r="F11" s="19" t="n">
        <x:f>SUMIFS('事件主表'!$BK$2:$BK$215,'事件主表'!$BH$2:$BH$215,$A11,'事件主表'!$F$2:$F$215,"core")</x:f>
        <x:v>4</x:v>
      </x:c>
      <x:c r="G11" s="19" t="n">
        <x:f>B11-SUMIFS('事件主表'!$BL$2:$BL$215,'事件主表'!$BH$2:$BH$215,$A11,'事件主表'!$F$2:$F$215,"core")</x:f>
        <x:v>1</x:v>
      </x:c>
      <x:c r="H11" s="19" t="n">
        <x:f>SUMIFS('事件主表'!$BM$2:$BM$215,'事件主表'!$BH$2:$BH$215,$A11,'事件主表'!$F$2:$F$215,"core")</x:f>
        <x:v>4</x:v>
      </x:c>
      <x:c r="I11" s="19" t="n">
        <x:f>SUMIFS('事件主表'!$BN$2:$BN$215,'事件主表'!$BH$2:$BH$215,$A11,'事件主表'!$F$2:$F$215,"core")</x:f>
        <x:v>1</x:v>
      </x:c>
      <x:c r="J11" s="19" t="n">
        <x:f>SUMIFS('事件主表'!$BO$2:$BO$215,'事件主表'!$BH$2:$BH$215,$A11,'事件主表'!$F$2:$F$215,"core")</x:f>
        <x:v>0</x:v>
      </x:c>
      <x:c r="K11" s="1" t="str">
        <x:v>全年</x:v>
      </x:c>
    </x:row>
    <x:row r="12" ht="25" customHeight="1">
      <x:c r="A12" s="1" t="n">
        <x:v>2022</x:v>
      </x:c>
      <x:c r="B12" s="19" t="n">
        <x:f>COUNTIFS('事件主表'!$BH$2:$BH$215,$A12,'事件主表'!$F$2:$F$215,"core")</x:f>
        <x:v>3</x:v>
      </x:c>
      <x:c r="C12" s="19" t="n">
        <x:f>B12+COUNTIFS('事件主表'!$BH$2:$BH$215,$A12,'事件主表'!$F$2:$F$215,"expanded")</x:f>
        <x:v>3</x:v>
      </x:c>
      <x:c r="D12" s="19" t="n">
        <x:f>SUMIFS('事件主表'!$BI$2:$BI$215,'事件主表'!$BH$2:$BH$215,$A12,'事件主表'!$F$2:$F$215,"core")</x:f>
        <x:v>1</x:v>
      </x:c>
      <x:c r="E12" s="19" t="n">
        <x:f>SUMIFS('事件主表'!$BJ$2:$BJ$215,'事件主表'!$BH$2:$BH$215,$A12,'事件主表'!$F$2:$F$215,"core")</x:f>
        <x:v>21</x:v>
      </x:c>
      <x:c r="F12" s="19" t="n">
        <x:f>SUMIFS('事件主表'!$BK$2:$BK$215,'事件主表'!$BH$2:$BH$215,$A12,'事件主表'!$F$2:$F$215,"core")</x:f>
        <x:v>2</x:v>
      </x:c>
      <x:c r="G12" s="19" t="n">
        <x:f>B12-SUMIFS('事件主表'!$BL$2:$BL$215,'事件主表'!$BH$2:$BH$215,$A12,'事件主表'!$F$2:$F$215,"core")</x:f>
        <x:v>0</x:v>
      </x:c>
      <x:c r="H12" s="19" t="n">
        <x:f>SUMIFS('事件主表'!$BM$2:$BM$215,'事件主表'!$BH$2:$BH$215,$A12,'事件主表'!$F$2:$F$215,"core")</x:f>
        <x:v>3</x:v>
      </x:c>
      <x:c r="I12" s="19" t="n">
        <x:f>SUMIFS('事件主表'!$BN$2:$BN$215,'事件主表'!$BH$2:$BH$215,$A12,'事件主表'!$F$2:$F$215,"core")</x:f>
        <x:v>0</x:v>
      </x:c>
      <x:c r="J12" s="19" t="n">
        <x:f>SUMIFS('事件主表'!$BO$2:$BO$215,'事件主表'!$BH$2:$BH$215,$A12,'事件主表'!$F$2:$F$215,"core")</x:f>
        <x:v>0</x:v>
      </x:c>
      <x:c r="K12" s="1" t="str">
        <x:v>全年</x:v>
      </x:c>
    </x:row>
    <x:row r="13" ht="25" customHeight="1">
      <x:c r="A13" s="1" t="n">
        <x:v>2023</x:v>
      </x:c>
      <x:c r="B13" s="19" t="n">
        <x:f>COUNTIFS('事件主表'!$BH$2:$BH$215,$A13,'事件主表'!$F$2:$F$215,"core")</x:f>
        <x:v>6</x:v>
      </x:c>
      <x:c r="C13" s="19" t="n">
        <x:f>B13+COUNTIFS('事件主表'!$BH$2:$BH$215,$A13,'事件主表'!$F$2:$F$215,"expanded")</x:f>
        <x:v>8</x:v>
      </x:c>
      <x:c r="D13" s="19" t="n">
        <x:f>SUMIFS('事件主表'!$BI$2:$BI$215,'事件主表'!$BH$2:$BH$215,$A13,'事件主表'!$F$2:$F$215,"core")</x:f>
        <x:v>8</x:v>
      </x:c>
      <x:c r="E13" s="19" t="n">
        <x:f>SUMIFS('事件主表'!$BJ$2:$BJ$215,'事件主表'!$BH$2:$BH$215,$A13,'事件主表'!$F$2:$F$215,"core")</x:f>
        <x:v>34</x:v>
      </x:c>
      <x:c r="F13" s="19" t="n">
        <x:f>SUMIFS('事件主表'!$BK$2:$BK$215,'事件主表'!$BH$2:$BH$215,$A13,'事件主表'!$F$2:$F$215,"core")</x:f>
        <x:v>5</x:v>
      </x:c>
      <x:c r="G13" s="19" t="n">
        <x:f>B13-SUMIFS('事件主表'!$BL$2:$BL$215,'事件主表'!$BH$2:$BH$215,$A13,'事件主表'!$F$2:$F$215,"core")</x:f>
        <x:v>1</x:v>
      </x:c>
      <x:c r="H13" s="19" t="n">
        <x:f>SUMIFS('事件主表'!$BM$2:$BM$215,'事件主表'!$BH$2:$BH$215,$A13,'事件主表'!$F$2:$F$215,"core")</x:f>
        <x:v>6</x:v>
      </x:c>
      <x:c r="I13" s="19" t="n">
        <x:f>SUMIFS('事件主表'!$BN$2:$BN$215,'事件主表'!$BH$2:$BH$215,$A13,'事件主表'!$F$2:$F$215,"core")</x:f>
        <x:v>0</x:v>
      </x:c>
      <x:c r="J13" s="19" t="n">
        <x:f>SUMIFS('事件主表'!$BO$2:$BO$215,'事件主表'!$BH$2:$BH$215,$A13,'事件主表'!$F$2:$F$215,"core")</x:f>
        <x:v>1</x:v>
      </x:c>
      <x:c r="K13" s="1" t="str">
        <x:v>全年</x:v>
      </x:c>
    </x:row>
    <x:row r="14" ht="25" customHeight="1">
      <x:c r="A14" s="1" t="n">
        <x:v>2024</x:v>
      </x:c>
      <x:c r="B14" s="19" t="n">
        <x:f>COUNTIFS('事件主表'!$BH$2:$BH$215,$A14,'事件主表'!$F$2:$F$215,"core")</x:f>
        <x:v>10</x:v>
      </x:c>
      <x:c r="C14" s="19" t="n">
        <x:f>B14+COUNTIFS('事件主表'!$BH$2:$BH$215,$A14,'事件主表'!$F$2:$F$215,"expanded")</x:f>
        <x:v>11</x:v>
      </x:c>
      <x:c r="D14" s="19" t="n">
        <x:f>SUMIFS('事件主表'!$BI$2:$BI$215,'事件主表'!$BH$2:$BH$215,$A14,'事件主表'!$F$2:$F$215,"core")</x:f>
        <x:v>50</x:v>
      </x:c>
      <x:c r="E14" s="19" t="n">
        <x:f>SUMIFS('事件主表'!$BJ$2:$BJ$215,'事件主表'!$BH$2:$BH$215,$A14,'事件主表'!$F$2:$F$215,"core")</x:f>
        <x:v>128</x:v>
      </x:c>
      <x:c r="F14" s="19" t="n">
        <x:f>SUMIFS('事件主表'!$BK$2:$BK$215,'事件主表'!$BH$2:$BH$215,$A14,'事件主表'!$F$2:$F$215,"core")</x:f>
        <x:v>2</x:v>
      </x:c>
      <x:c r="G14" s="19" t="n">
        <x:f>B14-SUMIFS('事件主表'!$BL$2:$BL$215,'事件主表'!$BH$2:$BH$215,$A14,'事件主表'!$F$2:$F$215,"core")</x:f>
        <x:v>4</x:v>
      </x:c>
      <x:c r="H14" s="19" t="n">
        <x:f>SUMIFS('事件主表'!$BM$2:$BM$215,'事件主表'!$BH$2:$BH$215,$A14,'事件主表'!$F$2:$F$215,"core")</x:f>
        <x:v>2</x:v>
      </x:c>
      <x:c r="I14" s="19" t="n">
        <x:f>SUMIFS('事件主表'!$BN$2:$BN$215,'事件主表'!$BH$2:$BH$215,$A14,'事件主表'!$F$2:$F$215,"core")</x:f>
        <x:v>0</x:v>
      </x:c>
      <x:c r="J14" s="19" t="n">
        <x:f>SUMIFS('事件主表'!$BO$2:$BO$215,'事件主表'!$BH$2:$BH$215,$A14,'事件主表'!$F$2:$F$215,"core")</x:f>
        <x:v>0</x:v>
      </x:c>
      <x:c r="K14" s="1" t="str">
        <x:v>全年</x:v>
      </x:c>
    </x:row>
    <x:row r="15" ht="25" customHeight="1">
      <x:c r="A15" s="1" t="n">
        <x:v>2025</x:v>
      </x:c>
      <x:c r="B15" s="19" t="n">
        <x:f>COUNTIFS('事件主表'!$BH$2:$BH$215,$A15,'事件主表'!$F$2:$F$215,"core")</x:f>
        <x:v>1</x:v>
      </x:c>
      <x:c r="C15" s="19" t="n">
        <x:f>B15+COUNTIFS('事件主表'!$BH$2:$BH$215,$A15,'事件主表'!$F$2:$F$215,"expanded")</x:f>
        <x:v>2</x:v>
      </x:c>
      <x:c r="D15" s="19" t="n">
        <x:f>SUMIFS('事件主表'!$BI$2:$BI$215,'事件主表'!$BH$2:$BH$215,$A15,'事件主表'!$F$2:$F$215,"core")</x:f>
        <x:v>1</x:v>
      </x:c>
      <x:c r="E15" s="19" t="n">
        <x:f>SUMIFS('事件主表'!$BJ$2:$BJ$215,'事件主表'!$BH$2:$BH$215,$A15,'事件主表'!$F$2:$F$215,"core")</x:f>
        <x:v>4</x:v>
      </x:c>
      <x:c r="F15" s="19" t="n">
        <x:f>SUMIFS('事件主表'!$BK$2:$BK$215,'事件主表'!$BH$2:$BH$215,$A15,'事件主表'!$F$2:$F$215,"core")</x:f>
        <x:v>0</x:v>
      </x:c>
      <x:c r="G15" s="19" t="n">
        <x:f>B15-SUMIFS('事件主表'!$BL$2:$BL$215,'事件主表'!$BH$2:$BH$215,$A15,'事件主表'!$F$2:$F$215,"core")</x:f>
        <x:v>1</x:v>
      </x:c>
      <x:c r="H15" s="19" t="n">
        <x:f>SUMIFS('事件主表'!$BM$2:$BM$215,'事件主表'!$BH$2:$BH$215,$A15,'事件主表'!$F$2:$F$215,"core")</x:f>
        <x:v>0</x:v>
      </x:c>
      <x:c r="I15" s="19" t="n">
        <x:f>SUMIFS('事件主表'!$BN$2:$BN$215,'事件主表'!$BH$2:$BH$215,$A15,'事件主表'!$F$2:$F$215,"core")</x:f>
        <x:v>0</x:v>
      </x:c>
      <x:c r="J15" s="19" t="n">
        <x:f>SUMIFS('事件主表'!$BO$2:$BO$215,'事件主表'!$BH$2:$BH$215,$A15,'事件主表'!$F$2:$F$215,"core")</x:f>
        <x:v>1</x:v>
      </x:c>
      <x:c r="K15" s="1" t="str">
        <x:v>全年</x:v>
      </x:c>
    </x:row>
    <x:row r="16" ht="25" customHeight="1">
      <x:c r="A16" s="1" t="n">
        <x:v>2026</x:v>
      </x:c>
      <x:c r="B16" s="19" t="n">
        <x:f>COUNTIFS('事件主表'!$BH$2:$BH$215,$A16,'事件主表'!$F$2:$F$215,"core")</x:f>
        <x:v>5</x:v>
      </x:c>
      <x:c r="C16" s="19" t="n">
        <x:f>B16+COUNTIFS('事件主表'!$BH$2:$BH$215,$A16,'事件主表'!$F$2:$F$215,"expanded")</x:f>
        <x:v>10</x:v>
      </x:c>
      <x:c r="D16" s="19" t="n">
        <x:f>SUMIFS('事件主表'!$BI$2:$BI$215,'事件主表'!$BH$2:$BH$215,$A16,'事件主表'!$F$2:$F$215,"core")</x:f>
        <x:v>0</x:v>
      </x:c>
      <x:c r="E16" s="19" t="n">
        <x:f>SUMIFS('事件主表'!$BJ$2:$BJ$215,'事件主表'!$BH$2:$BH$215,$A16,'事件主表'!$F$2:$F$215,"core")</x:f>
        <x:v>8</x:v>
      </x:c>
      <x:c r="F16" s="19" t="n">
        <x:f>SUMIFS('事件主表'!$BK$2:$BK$215,'事件主表'!$BH$2:$BH$215,$A16,'事件主表'!$F$2:$F$215,"core")</x:f>
        <x:v>4</x:v>
      </x:c>
      <x:c r="G16" s="19" t="n">
        <x:f>B16-SUMIFS('事件主表'!$BL$2:$BL$215,'事件主表'!$BH$2:$BH$215,$A16,'事件主表'!$F$2:$F$215,"core")</x:f>
        <x:v>5</x:v>
      </x:c>
      <x:c r="H16" s="19" t="n">
        <x:f>SUMIFS('事件主表'!$BM$2:$BM$215,'事件主表'!$BH$2:$BH$215,$A16,'事件主表'!$F$2:$F$215,"core")</x:f>
        <x:v>5</x:v>
      </x:c>
      <x:c r="I16" s="19" t="n">
        <x:f>SUMIFS('事件主表'!$BN$2:$BN$215,'事件主表'!$BH$2:$BH$215,$A16,'事件主表'!$F$2:$F$215,"core")</x:f>
        <x:v>4</x:v>
      </x:c>
      <x:c r="J16" s="19" t="n">
        <x:f>SUMIFS('事件主表'!$BO$2:$BO$215,'事件主表'!$BH$2:$BH$215,$A16,'事件主表'!$F$2:$F$215,"core")</x:f>
        <x:v>4</x:v>
      </x:c>
      <x:c r="K16" s="1" t="str">
        <x:v>截至09-16</x:v>
      </x:c>
    </x:row>
    <x:row r="17" ht="25" customHeight="1">
      <x:c r="A17" s="1"/>
      <x:c r="B17" s="19"/>
      <x:c r="C17" s="19"/>
      <x:c r="D17" s="19"/>
      <x:c r="E17" s="19"/>
      <x:c r="F17" s="19"/>
      <x:c r="G17" s="19"/>
      <x:c r="H17" s="19"/>
      <x:c r="I17" s="19"/>
      <x:c r="J17" s="19"/>
      <x:c r="K17" s="1"/>
    </x:row>
    <x:row r="18" ht="25" customHeight="1">
      <x:c r="A18" s="18" t="str">
        <x:v>全期合计</x:v>
      </x:c>
      <x:c r="B18" s="20" t="n">
        <x:f>SUM(B8:B16)</x:f>
        <x:v>56</x:v>
      </x:c>
      <x:c r="C18" s="20" t="n">
        <x:f>SUM(C8:C16)</x:f>
        <x:v>73</x:v>
      </x:c>
      <x:c r="D18" s="20" t="n">
        <x:f>SUM(D8:D16)</x:f>
        <x:v>162</x:v>
      </x:c>
      <x:c r="E18" s="20" t="n">
        <x:f>SUM(E8:E16)</x:f>
        <x:v>519</x:v>
      </x:c>
      <x:c r="F18" s="20" t="n">
        <x:f>SUM(F8:F16)</x:f>
        <x:v>38</x:v>
      </x:c>
      <x:c r="G18" s="20" t="n">
        <x:f>SUM(G8:G16)</x:f>
        <x:v>19</x:v>
      </x:c>
      <x:c r="H18" s="20" t="n">
        <x:f>SUM(H8:H16)</x:f>
        <x:v>40</x:v>
      </x:c>
      <x:c r="I18" s="20" t="n">
        <x:f>SUM(I8:I16)</x:f>
        <x:v>5</x:v>
      </x:c>
      <x:c r="J18" s="20" t="n">
        <x:f>SUM(J8:J16)</x:f>
        <x:v>10</x:v>
      </x:c>
      <x:c r="K18" s="17"/>
    </x:row>
    <x:row r="19" ht="25" customHeight="1">
      <x:c r="A19" s="1"/>
      <x:c r="B19" s="1"/>
      <x:c r="C19" s="1"/>
      <x:c r="D19" s="1"/>
      <x:c r="E19" s="1"/>
      <x:c r="F19" s="1"/>
      <x:c r="G19" s="1"/>
      <x:c r="H19" s="1"/>
      <x:c r="I19" s="1"/>
      <x:c r="J19" s="1"/>
      <x:c r="K19" s="1"/>
    </x:row>
    <x:row r="20" ht="25" customHeight="1">
      <x:c r="A20" s="1"/>
      <x:c r="B20" s="1"/>
      <x:c r="C20" s="1"/>
      <x:c r="D20" s="1"/>
      <x:c r="E20" s="1"/>
      <x:c r="F20" s="1"/>
      <x:c r="G20" s="1"/>
      <x:c r="H20" s="1"/>
      <x:c r="I20" s="1"/>
      <x:c r="J20" s="1"/>
      <x:c r="K20" s="1"/>
    </x:row>
    <x:row r="21">
      <x:c r="A21" t="str">
        <x:v>趋势解读：数字反映本次公开检索覆盖；不能用2025/2026的少量核实记录证明真实发生率下降。</x:v>
      </x:c>
    </x:row>
    <x:row r="23">
      <x:c r="A23" t="str">
        <x:v>口径</x:v>
      </x:c>
      <x:c r="B23" t="str">
        <x:v>件数</x:v>
      </x:c>
      <x:c r="C23" t="str">
        <x:v>已知死亡/下限</x:v>
      </x:c>
      <x:c r="D23" t="str">
        <x:v>已知受伤/下限</x:v>
      </x:c>
      <x:c r="E23" t="str">
        <x:v>精确伤数不明案件</x:v>
      </x:c>
    </x:row>
    <x:row r="24">
      <x:c r="A24" t="str">
        <x:v>核心</x:v>
      </x:c>
      <x:c r="B24" t="n">
        <x:v>56</x:v>
      </x:c>
      <x:c r="C24" t="n">
        <x:v>162</x:v>
      </x:c>
      <x:c r="D24" t="n">
        <x:v>519</x:v>
      </x:c>
      <x:c r="E24" t="n">
        <x:v>10</x:v>
      </x:c>
    </x:row>
    <x:row r="25">
      <x:c r="A25" t="str">
        <x:v>扩展</x:v>
      </x:c>
      <x:c r="B25" t="n">
        <x:v>73</x:v>
      </x:c>
      <x:c r="C25" t="n">
        <x:v>205</x:v>
      </x:c>
      <x:c r="D25" t="n">
        <x:v>661</x:v>
      </x:c>
      <x:c r="E25" t="n">
        <x:v>14</x:v>
      </x:c>
    </x:row>
    <x:row r="27">
      <x:c r="A27" t="str">
        <x:v>以下为按分析脚本生成的快照；全量趋势、季度及敏感性见同名工作表和互动报告。</x:v>
      </x:c>
    </x:row>
  </x:sheetData>
  <x:mergeCells>
    <x:mergeCell ref="A1:K1"/>
    <x:mergeCell ref="A2:K2"/>
    <x:mergeCell ref="A3:K3"/>
    <x:mergeCell ref="A4:K4"/>
    <x:mergeCell ref="A5:K5"/>
    <x:mergeCell ref="A21:K21"/>
    <x:mergeCell ref="A27:K27"/>
  </x:mergeCells>
  <x:pageMargins left="0.7" right="0.7" top="0.75" bottom="0.75" header="0.3" footer="0.3"/>
</x:worksheet>
</file>

<file path=xl/worksheets/sheet2.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55"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55" hidden="0" customWidth="1"/>
    <x:col min="16" max="16" width="55"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19" hidden="0" customWidth="1"/>
    <x:col min="30" max="30" width="55" hidden="0" customWidth="1"/>
    <x:col min="31" max="31" width="19" hidden="0" customWidth="1"/>
    <x:col min="32" max="32" width="19" hidden="0" customWidth="1"/>
    <x:col min="33" max="33" width="19" hidden="0" customWidth="1"/>
    <x:col min="34" max="34" width="19" hidden="0" customWidth="1"/>
    <x:col min="35" max="35" width="19" hidden="0" customWidth="1"/>
    <x:col min="36" max="36" width="19" hidden="0" customWidth="1"/>
    <x:col min="37" max="37" width="19" hidden="0" customWidth="1"/>
    <x:col min="38" max="38" width="19" hidden="0" customWidth="1"/>
    <x:col min="39" max="39" width="19" hidden="0" customWidth="1"/>
    <x:col min="40" max="40" width="19" hidden="0" customWidth="1"/>
    <x:col min="41" max="41" width="19" hidden="0" customWidth="1"/>
    <x:col min="42" max="42" width="30" hidden="0" customWidth="1"/>
    <x:col min="43" max="43" width="30" hidden="0" customWidth="1"/>
    <x:col min="44" max="44" width="19" hidden="0" customWidth="1"/>
    <x:col min="45" max="45" width="19" hidden="0" customWidth="1"/>
    <x:col min="46" max="46" width="19" hidden="0" customWidth="1"/>
    <x:col min="47" max="47" width="19" hidden="0" customWidth="1"/>
    <x:col min="48" max="48" width="19" hidden="0" customWidth="1"/>
    <x:col min="49" max="49" width="19" hidden="0" customWidth="1"/>
    <x:col min="50" max="50" width="19" hidden="0" customWidth="1"/>
    <x:col min="51" max="51" width="19" hidden="0" customWidth="1"/>
    <x:col min="52" max="52" width="55" hidden="0" customWidth="1"/>
    <x:col min="53" max="53" width="55" hidden="0" customWidth="1"/>
    <x:col min="54" max="54" width="30" hidden="0" customWidth="1"/>
    <x:col min="55" max="55" width="55" hidden="0" customWidth="1"/>
    <x:col min="56" max="56" width="19" hidden="0" customWidth="1"/>
    <x:col min="57" max="57" width="19" hidden="0" customWidth="1"/>
    <x:col min="58" max="58" width="19" hidden="0" customWidth="1"/>
    <x:col min="59" max="59" width="19" hidden="0" customWidth="1"/>
    <x:col min="60" max="60" width="19" hidden="0" customWidth="1"/>
    <x:col min="61" max="61" width="19" hidden="0" customWidth="1"/>
    <x:col min="62" max="62" width="19" hidden="0" customWidth="1"/>
    <x:col min="63" max="63" width="19" hidden="0" customWidth="1"/>
    <x:col min="64" max="64" width="19" hidden="0" customWidth="1"/>
    <x:col min="65" max="65" width="19" hidden="0" customWidth="1"/>
    <x:col min="66" max="66" width="19" hidden="0" customWidth="1"/>
    <x:col min="67" max="67" width="19" hidden="0" customWidth="1"/>
  </x:cols>
  <x:sheetData>
    <x:row r="1" ht="42" customHeight="1">
      <x:c r="A1" s="6" t="str">
        <x:v>事件编号</x:v>
      </x:c>
      <x:c r="B1" s="6" t="str">
        <x:v>案发日期</x:v>
      </x:c>
      <x:c r="C1" s="6" t="str">
        <x:v>事件名称</x:v>
      </x:c>
      <x:c r="D1" s="6" t="str">
        <x:v>省级地区</x:v>
      </x:c>
      <x:c r="E1" s="6" t="str">
        <x:v>城市</x:v>
      </x:c>
      <x:c r="F1" s="6" t="str">
        <x:v>分类代码</x:v>
      </x:c>
      <x:c r="G1" s="6" t="str">
        <x:v>场景</x:v>
      </x:c>
      <x:c r="H1" s="6" t="str">
        <x:v>方式</x:v>
      </x:c>
      <x:c r="I1" s="6" t="str">
        <x:v>受害者死亡</x:v>
      </x:c>
      <x:c r="J1" s="6" t="str">
        <x:v>受害者受伤</x:v>
      </x:c>
      <x:c r="K1" s="6" t="str">
        <x:v>受伤原口径</x:v>
      </x:c>
      <x:c r="L1" s="6" t="str">
        <x:v>受伤保守下限</x:v>
      </x:c>
      <x:c r="M1" s="6" t="str">
        <x:v>死亡保守下限</x:v>
      </x:c>
      <x:c r="N1" s="6" t="str">
        <x:v>伤亡口径日期</x:v>
      </x:c>
      <x:c r="O1" s="6" t="str">
        <x:v>伤亡修订说明</x:v>
      </x:c>
      <x:c r="P1" s="6" t="str">
        <x:v>分类依据</x:v>
      </x:c>
      <x:c r="Q1" s="6" t="str">
        <x:v>区县</x:v>
      </x:c>
      <x:c r="R1" s="6" t="str">
        <x:v>城乡属性</x:v>
      </x:c>
      <x:c r="S1" s="6" t="str">
        <x:v>日期精度</x:v>
      </x:c>
      <x:c r="T1" s="6" t="str">
        <x:v>已核实案发时间</x:v>
      </x:c>
      <x:c r="U1" s="6" t="str">
        <x:v>连续袭击过程</x:v>
      </x:c>
      <x:c r="V1" s="6" t="str">
        <x:v>重伤</x:v>
      </x:c>
      <x:c r="W1" s="6" t="str">
        <x:v>作案者死亡</x:v>
      </x:c>
      <x:c r="X1" s="6" t="str">
        <x:v>作案者受伤</x:v>
      </x:c>
      <x:c r="Y1" s="6" t="str">
        <x:v>涉及儿童</x:v>
      </x:c>
      <x:c r="Z1" s="6" t="str">
        <x:v>受害者关系</x:v>
      </x:c>
      <x:c r="AA1" s="6" t="str">
        <x:v>作案者年龄</x:v>
      </x:c>
      <x:c r="AB1" s="6" t="str">
        <x:v>性别</x:v>
      </x:c>
      <x:c r="AC1" s="6" t="str">
        <x:v>职业状态</x:v>
      </x:c>
      <x:c r="AD1" s="6" t="str">
        <x:v>动机摘要</x:v>
      </x:c>
      <x:c r="AE1" s="6" t="str">
        <x:v>动机标签</x:v>
      </x:c>
      <x:c r="AF1" s="6" t="str">
        <x:v>动机证据层级</x:v>
      </x:c>
      <x:c r="AG1" s="6" t="str">
        <x:v>精神健康证据</x:v>
      </x:c>
      <x:c r="AH1" s="6" t="str">
        <x:v>既往暴力记录</x:v>
      </x:c>
      <x:c r="AI1" s="6" t="str">
        <x:v>事前威胁线索</x:v>
      </x:c>
      <x:c r="AJ1" s="6" t="str">
        <x:v>干预与现场处置</x:v>
      </x:c>
      <x:c r="AK1" s="6" t="str">
        <x:v>司法及处置结果</x:v>
      </x:c>
      <x:c r="AL1" s="6" t="str">
        <x:v>判决日期</x:v>
      </x:c>
      <x:c r="AM1" s="6" t="str">
        <x:v>执行日期</x:v>
      </x:c>
      <x:c r="AN1" s="6" t="str">
        <x:v>最后来源日期</x:v>
      </x:c>
      <x:c r="AO1" s="6" t="str">
        <x:v>事件证据等级</x:v>
      </x:c>
      <x:c r="AP1" s="6" t="str">
        <x:v>来源编号</x:v>
      </x:c>
      <x:c r="AQ1" s="6" t="str">
        <x:v>分字段来源</x:v>
      </x:c>
      <x:c r="AR1" s="6" t="str">
        <x:v>关联系列</x:v>
      </x:c>
      <x:c r="AS1" s="6" t="str">
        <x:v>故意性未明的碰撞伤者</x:v>
      </x:c>
      <x:c r="AT1" s="6" t="str">
        <x:v>警方处置伤者</x:v>
      </x:c>
      <x:c r="AU1" s="6" t="str">
        <x:v>事件总伤者原口径</x:v>
      </x:c>
      <x:c r="AV1" s="6" t="str">
        <x:v>动机归因说明</x:v>
      </x:c>
      <x:c r="AW1" s="6" t="str">
        <x:v>补查批次</x:v>
      </x:c>
      <x:c r="AX1" s="6" t="str">
        <x:v>补查所属年份（非案发年）</x:v>
      </x:c>
      <x:c r="AY1" s="6" t="str">
        <x:v>线索发布日</x:v>
      </x:c>
      <x:c r="AZ1" s="6" t="str">
        <x:v>案发日期核验说明</x:v>
      </x:c>
      <x:c r="BA1" s="6" t="str">
        <x:v>尚缺的核验要素</x:v>
      </x:c>
      <x:c r="BB1" s="6" t="str">
        <x:v>社交平台原帖链接</x:v>
      </x:c>
      <x:c r="BC1" s="6" t="str">
        <x:v>补充说明</x:v>
      </x:c>
      <x:c r="BD1" s="6" t="str">
        <x:v>发生获官方确认</x:v>
      </x:c>
      <x:c r="BE1" s="6" t="str">
        <x:v>官方材料直接支持分类</x:v>
      </x:c>
      <x:c r="BF1" s="6" t="str">
        <x:v>分类证据分层说明</x:v>
      </x:c>
      <x:c r="BG1" s="6" t="str">
        <x:v>动机归并主题</x:v>
      </x:c>
      <x:c r="BH1" s="6" t="str">
        <x:v>案发年（汇总辅助）</x:v>
      </x:c>
      <x:c r="BI1" s="6" t="str">
        <x:v>死亡已知数或下限</x:v>
      </x:c>
      <x:c r="BJ1" s="6" t="str">
        <x:v>受伤已知数或下限</x:v>
      </x:c>
      <x:c r="BK1" s="6" t="str">
        <x:v>官方来源标记1/0</x:v>
      </x:c>
      <x:c r="BL1" s="6" t="str">
        <x:v>动机有证据1/0</x:v>
      </x:c>
      <x:c r="BM1" s="6" t="str">
        <x:v>1月1日至9月16日1/0</x:v>
      </x:c>
      <x:c r="BN1" s="6" t="str">
        <x:v>死亡数不明1/0</x:v>
      </x:c>
      <x:c r="BO1" s="6" t="str">
        <x:v>受伤数不明1/0</x:v>
      </x:c>
    </x:row>
    <x:row r="2" ht="38" customHeight="1">
      <x:c r="A2" s="2" t="str">
        <x:v>LX26A05</x:v>
      </x:c>
      <x:c r="B2" s="2"/>
      <x:c r="C2" s="7" t="str">
        <x:v>网传郴州德润龙庭开发商车辆冲撞业主事件</x:v>
      </x:c>
      <x:c r="D2" s="2" t="str">
        <x:v>湖南</x:v>
      </x:c>
      <x:c r="E2" s="2" t="str">
        <x:v>郴州</x:v>
      </x:c>
      <x:c r="F2" s="2" t="str">
        <x:v>pending</x:v>
      </x:c>
      <x:c r="G2" s="2" t="str">
        <x:v>社区住宅</x:v>
      </x:c>
      <x:c r="H2" s="2" t="str">
        <x:v>驾车</x:v>
      </x:c>
      <x:c r="I2" s="9"/>
      <x:c r="J2" s="9"/>
      <x:c r="K2" s="2"/>
      <x:c r="L2" s="9"/>
      <x:c r="M2" s="9"/>
      <x:c r="N2" s="10"/>
      <x:c r="O2" s="7"/>
      <x:c r="P2" s="7" t="str">
        <x:v>举报指向开发商与维权业主一家，尚无无关公众目标证据；事件细节、故意性、处罚决定未取得独立核实。</x:v>
      </x:c>
      <x:c r="Q2" s="2"/>
      <x:c r="R2" s="2"/>
      <x:c r="S2" s="2" t="str">
        <x:v>unknown</x:v>
      </x:c>
      <x:c r="T2" s="2"/>
      <x:c r="U2" s="2"/>
      <x:c r="V2" s="9"/>
      <x:c r="W2" s="9"/>
      <x:c r="X2" s="9"/>
      <x:c r="Y2" s="2"/>
      <x:c r="Z2" s="2"/>
      <x:c r="AA2" s="9"/>
      <x:c r="AB2" s="2"/>
      <x:c r="AC2" s="2"/>
      <x:c r="AD2" s="7"/>
      <x:c r="AE2" s="2" t="str"/>
      <x:c r="AF2" s="2" t="str">
        <x:v>未知</x:v>
      </x:c>
      <x:c r="AG2" s="2"/>
      <x:c r="AH2" s="2"/>
      <x:c r="AI2" s="2"/>
      <x:c r="AJ2" s="2"/>
      <x:c r="AK2" s="2"/>
      <x:c r="AL2" s="10"/>
      <x:c r="AM2" s="10"/>
      <x:c r="AN2" s="10" t="n">
        <x:v>46069</x:v>
      </x:c>
      <x:c r="AO2" s="2" t="str">
        <x:v>网传待核</x:v>
      </x:c>
      <x:c r="AP2" s="7" t="str">
        <x:v>LXS26A09；LXS26A10；LXS26A01</x:v>
      </x:c>
      <x:c r="AQ2" s="7" t="str">
        <x:v>{"date":[],"location":["LXS26A09","LXS26A10"],"casualties":[],"classification":["LXS26A09","LXS26A10"],"motive":[],"outcome":[]}</x:v>
      </x:c>
      <x:c r="AR2" s="2"/>
      <x:c r="AS2" s="9"/>
      <x:c r="AT2" s="9"/>
      <x:c r="AU2" s="9"/>
      <x:c r="AV2" s="2"/>
      <x:c r="AW2" s="2" t="str">
        <x:v>2026-X补查</x:v>
      </x:c>
      <x:c r="AX2" s="9" t="n">
        <x:v>2026</x:v>
      </x:c>
      <x:c r="AY2" s="10" t="n">
        <x:v>46065</x:v>
      </x:c>
      <x:c r="AZ2" s="7" t="str">
        <x:v>原帖为举报投稿，未写案发日；汇总把发帖日写成2月12日，不据此定年或月。</x:v>
      </x:c>
      <x:c r="BA2" s="7" t="str">
        <x:v>举报指向开发商与维权业主一家，尚无无关公众目标证据；事件细节、故意性、处罚决定未取得独立核实。</x:v>
      </x:c>
      <x:c r="BB2" s="7" t="str">
        <x:v>https://x.com/whyyoutouzhele/status/2021957529614659891；https://x.com/whyyoutouzhele/status/2023245955009818757；https://x.com/whyyoutouzhele/status/2039625155404509246</x:v>
      </x:c>
      <x:c r="BC2" s="7" t="str">
        <x:v>具名指控不转化为已认定犯罪；不保存私宅位置。</x:v>
      </x:c>
      <x:c r="BD2" s="2" t="str">
        <x:v>否</x:v>
      </x:c>
      <x:c r="BE2" s="2" t="str">
        <x:v>否</x:v>
      </x:c>
      <x:c r="BF2" s="2" t="str">
        <x:v>网传线索，未独立核实</x:v>
      </x:c>
      <x:c r="BG2" s="2" t="str"/>
      <x:c r="BH2" s="9"/>
      <x:c r="BI2" s="9" t="n">
        <x:v>0</x:v>
      </x:c>
      <x:c r="BJ2" s="9" t="n">
        <x:v>0</x:v>
      </x:c>
      <x:c r="BK2" s="9" t="n">
        <x:v>0</x:v>
      </x:c>
      <x:c r="BL2" s="9" t="n">
        <x:v>0</x:v>
      </x:c>
      <x:c r="BM2" s="9" t="n">
        <x:v>0</x:v>
      </x:c>
      <x:c r="BN2" s="9" t="n">
        <x:v>1</x:v>
      </x:c>
      <x:c r="BO2" s="9" t="n">
        <x:v>1</x:v>
      </x:c>
    </x:row>
    <x:row r="3" ht="38" customHeight="1">
      <x:c r="A3" s="2" t="str">
        <x:v>LX26A06</x:v>
      </x:c>
      <x:c r="B3" s="2"/>
      <x:c r="C3" s="7" t="str">
        <x:v>网传开封街头一男子遭持刀袭击</x:v>
      </x:c>
      <x:c r="D3" s="2" t="str">
        <x:v>河南</x:v>
      </x:c>
      <x:c r="E3" s="2" t="str">
        <x:v>开封</x:v>
      </x:c>
      <x:c r="F3" s="2" t="str">
        <x:v>pending</x:v>
      </x:c>
      <x:c r="G3" s="2" t="str">
        <x:v>街道交通</x:v>
      </x:c>
      <x:c r="H3" s="2" t="str">
        <x:v>持械</x:v>
      </x:c>
      <x:c r="I3" s="9"/>
      <x:c r="J3" s="9"/>
      <x:c r="K3" s="2"/>
      <x:c r="L3" s="9"/>
      <x:c r="M3" s="9"/>
      <x:c r="N3" s="10"/>
      <x:c r="O3" s="7" t="str">
        <x:v>投稿称1死与精神病，均不录为确认字段。</x:v>
      </x:c>
      <x:c r="P3" s="7" t="str">
        <x:v>原帖仅有近日的网络影像描述；日期、被害关系、死伤及故意袭击背景均未核实。</x:v>
      </x:c>
      <x:c r="Q3" s="2"/>
      <x:c r="R3" s="2"/>
      <x:c r="S3" s="2" t="str">
        <x:v>unknown</x:v>
      </x:c>
      <x:c r="T3" s="2"/>
      <x:c r="U3" s="2"/>
      <x:c r="V3" s="9"/>
      <x:c r="W3" s="9"/>
      <x:c r="X3" s="9"/>
      <x:c r="Y3" s="2"/>
      <x:c r="Z3" s="2"/>
      <x:c r="AA3" s="9"/>
      <x:c r="AB3" s="2"/>
      <x:c r="AC3" s="2"/>
      <x:c r="AD3" s="7"/>
      <x:c r="AE3" s="2" t="str"/>
      <x:c r="AF3" s="2" t="str">
        <x:v>未知</x:v>
      </x:c>
      <x:c r="AG3" s="2"/>
      <x:c r="AH3" s="2"/>
      <x:c r="AI3" s="2"/>
      <x:c r="AJ3" s="2"/>
      <x:c r="AK3" s="2"/>
      <x:c r="AL3" s="10"/>
      <x:c r="AM3" s="10"/>
      <x:c r="AN3" s="10" t="n">
        <x:v>46074</x:v>
      </x:c>
      <x:c r="AO3" s="2" t="str">
        <x:v>网传待核</x:v>
      </x:c>
      <x:c r="AP3" s="7" t="str">
        <x:v>LXS26A11；LXS26A01</x:v>
      </x:c>
      <x:c r="AQ3" s="7" t="str">
        <x:v>{"date":[],"location":["LXS26A11"],"casualties":[],"classification":["LXS26A11"],"motive":[],"outcome":[]}</x:v>
      </x:c>
      <x:c r="AR3" s="2"/>
      <x:c r="AS3" s="9"/>
      <x:c r="AT3" s="9"/>
      <x:c r="AU3" s="9"/>
      <x:c r="AV3" s="2"/>
      <x:c r="AW3" s="2" t="str">
        <x:v>2026-X补查</x:v>
      </x:c>
      <x:c r="AX3" s="9" t="n">
        <x:v>2026</x:v>
      </x:c>
      <x:c r="AY3" s="10" t="n">
        <x:v>46074</x:v>
      </x:c>
      <x:c r="AZ3" s="7" t="str">
        <x:v>原帖只写近日，汇总2月21日是发帖日而非已核案发日。</x:v>
      </x:c>
      <x:c r="BA3" s="7" t="str">
        <x:v>原帖仅有近日的网络影像描述；日期、被害关系、死伤及故意袭击背景均未核实。</x:v>
      </x:c>
      <x:c r="BB3" s="7" t="str">
        <x:v>https://x.com/whyyoutouzhele/status/2025057897718124649；https://x.com/whyyoutouzhele/status/2039625155404509246</x:v>
      </x:c>
      <x:c r="BC3" s="7"/>
      <x:c r="BD3" s="2" t="str">
        <x:v>否</x:v>
      </x:c>
      <x:c r="BE3" s="2" t="str">
        <x:v>否</x:v>
      </x:c>
      <x:c r="BF3" s="2" t="str">
        <x:v>网传线索，未独立核实</x:v>
      </x:c>
      <x:c r="BG3" s="2" t="str"/>
      <x:c r="BH3" s="9"/>
      <x:c r="BI3" s="9" t="n">
        <x:v>0</x:v>
      </x:c>
      <x:c r="BJ3" s="9" t="n">
        <x:v>0</x:v>
      </x:c>
      <x:c r="BK3" s="9" t="n">
        <x:v>0</x:v>
      </x:c>
      <x:c r="BL3" s="9" t="n">
        <x:v>0</x:v>
      </x:c>
      <x:c r="BM3" s="9" t="n">
        <x:v>0</x:v>
      </x:c>
      <x:c r="BN3" s="9" t="n">
        <x:v>1</x:v>
      </x:c>
      <x:c r="BO3" s="9" t="n">
        <x:v>1</x:v>
      </x:c>
    </x:row>
    <x:row r="4" ht="38" customHeight="1">
      <x:c r="A4" s="2" t="str">
        <x:v>A001</x:v>
      </x:c>
      <x:c r="B4" s="2" t="str">
        <x:v>2018-02-11</x:v>
      </x:c>
      <x:c r="C4" s="7" t="str">
        <x:v>北京西单大悦城持械袭击</x:v>
      </x:c>
      <x:c r="D4" s="2" t="str">
        <x:v>北京</x:v>
      </x:c>
      <x:c r="E4" s="2" t="str">
        <x:v>北京</x:v>
      </x:c>
      <x:c r="F4" s="2" t="str">
        <x:v>core</x:v>
      </x:c>
      <x:c r="G4" s="2" t="str">
        <x:v>商业场所</x:v>
      </x:c>
      <x:c r="H4" s="2" t="str">
        <x:v>持械</x:v>
      </x:c>
      <x:c r="I4" s="9" t="n">
        <x:v>1</x:v>
      </x:c>
      <x:c r="J4" s="9" t="n">
        <x:v>14</x:v>
      </x:c>
      <x:c r="K4" s="2"/>
      <x:c r="L4" s="9"/>
      <x:c r="M4" s="9"/>
      <x:c r="N4" s="10" t="n">
        <x:v>43629</x:v>
      </x:c>
      <x:c r="O4" s="7"/>
      <x:c r="P4" s="7" t="str">
        <x:v>法院认定预谋到繁华公共场所杀害无辜群众，受害人为餐厅顾客、员工。</x:v>
      </x:c>
      <x:c r="Q4" s="2" t="str">
        <x:v>西城</x:v>
      </x:c>
      <x:c r="R4" s="2"/>
      <x:c r="S4" s="2" t="str">
        <x:v>day</x:v>
      </x:c>
      <x:c r="T4" s="2"/>
      <x:c r="U4" s="2"/>
      <x:c r="V4" s="9"/>
      <x:c r="W4" s="9"/>
      <x:c r="X4" s="9"/>
      <x:c r="Y4" s="2"/>
      <x:c r="Z4" s="2" t="str">
        <x:v>无关顾客和员工</x:v>
      </x:c>
      <x:c r="AA4" s="9"/>
      <x:c r="AB4" s="2" t="str">
        <x:v>男</x:v>
      </x:c>
      <x:c r="AC4" s="2"/>
      <x:c r="AD4" s="7" t="str">
        <x:v>法院认定为发泄个人不满情绪，具体不满事项未披露。</x:v>
      </x:c>
      <x:c r="AE4" s="2" t="str">
        <x:v>泄愤</x:v>
      </x:c>
      <x:c r="AF4" s="2" t="str">
        <x:v>法院认定</x:v>
      </x:c>
      <x:c r="AG4" s="2"/>
      <x:c r="AH4" s="2"/>
      <x:c r="AI4" s="2" t="str">
        <x:v>法院认定事前踩点并准备工具，未见事前被外界发现的证据。</x:v>
      </x:c>
      <x:c r="AJ4" s="2" t="str">
        <x:v>警方到场后对峙并将其制服。</x:v>
      </x:c>
      <x:c r="AK4" s="2" t="str">
        <x:v>一审死刑；本轮未找到后续执行公告。</x:v>
      </x:c>
      <x:c r="AL4" s="10" t="n">
        <x:v>43629</x:v>
      </x:c>
      <x:c r="AM4" s="10"/>
      <x:c r="AN4" s="10" t="n">
        <x:v>43629</x:v>
      </x:c>
      <x:c r="AO4" s="2" t="str">
        <x:v>官方转载</x:v>
      </x:c>
      <x:c r="AP4" s="7" t="str">
        <x:v>AS001</x:v>
      </x:c>
      <x:c r="AQ4" s="7" t="str">
        <x:v>{"date":["AS001"],"location":["AS001"],"casualties":["AS001"],"classification":["AS001"],"motive":["AS001"],"outcome":["AS001"]}</x:v>
      </x:c>
      <x:c r="AR4" s="2"/>
      <x:c r="AS4" s="9"/>
      <x:c r="AT4" s="9"/>
      <x:c r="AU4" s="9"/>
      <x:c r="AV4" s="2"/>
      <x:c r="AW4" s="2"/>
      <x:c r="AX4" s="9"/>
      <x:c r="AY4" s="10"/>
      <x:c r="AZ4" s="7"/>
      <x:c r="BA4" s="7"/>
      <x:c r="BB4" s="7"/>
      <x:c r="BC4" s="7"/>
      <x:c r="BD4" s="2" t="str">
        <x:v>是</x:v>
      </x:c>
      <x:c r="BE4" s="2" t="str">
        <x:v>是</x:v>
      </x:c>
      <x:c r="BF4" s="2" t="str">
        <x:v>官方事实直接支持；法院查明预谋到繁华公共场所杀害无辜群众，实际攻击顾客和员工，官方描述直接支持针对无关公众。</x:v>
      </x:c>
      <x:c r="BG4" s="2" t="str">
        <x:v>泄愤／转移报复</x:v>
      </x:c>
      <x:c r="BH4" s="9" t="n">
        <x:v>2018</x:v>
      </x:c>
      <x:c r="BI4" s="9" t="n">
        <x:v>1</x:v>
      </x:c>
      <x:c r="BJ4" s="9" t="n">
        <x:v>14</x:v>
      </x:c>
      <x:c r="BK4" s="9" t="n">
        <x:v>1</x:v>
      </x:c>
      <x:c r="BL4" s="9" t="n">
        <x:v>1</x:v>
      </x:c>
      <x:c r="BM4" s="9" t="n">
        <x:v>1</x:v>
      </x:c>
      <x:c r="BN4" s="9" t="n">
        <x:v>0</x:v>
      </x:c>
      <x:c r="BO4" s="9" t="n">
        <x:v>0</x:v>
      </x:c>
    </x:row>
    <x:row r="5" ht="38" customHeight="1">
      <x:c r="A5" s="2" t="str">
        <x:v>A043</x:v>
      </x:c>
      <x:c r="B5" s="2" t="str">
        <x:v>2018-03-20</x:v>
      </x:c>
      <x:c r="C5" s="7" t="str">
        <x:v>厦门王某定向袭击前女友及其姐姐（排除）</x:v>
      </x:c>
      <x:c r="D5" s="2" t="str">
        <x:v>福建</x:v>
      </x:c>
      <x:c r="E5" s="2" t="str">
        <x:v>厦门</x:v>
      </x:c>
      <x:c r="F5" s="2" t="str">
        <x:v>excluded</x:v>
      </x:c>
      <x:c r="G5" s="2" t="str">
        <x:v>社区住宅</x:v>
      </x:c>
      <x:c r="H5" s="2" t="str">
        <x:v>持械</x:v>
      </x:c>
      <x:c r="I5" s="9" t="n">
        <x:v>1</x:v>
      </x:c>
      <x:c r="J5" s="9" t="n">
        <x:v>1</x:v>
      </x:c>
      <x:c r="K5" s="2"/>
      <x:c r="L5" s="9"/>
      <x:c r="M5" s="9"/>
      <x:c r="N5" s="10" t="n">
        <x:v>43938</x:v>
      </x:c>
      <x:c r="O5" s="7"/>
      <x:c r="P5" s="7" t="str">
        <x:v>预先选择前女友和其孪生姐姐报复，非现场随机选择；即使法院称被害人无辜，也不等于对象不特定。</x:v>
      </x:c>
      <x:c r="Q5" s="2"/>
      <x:c r="R5" s="2"/>
      <x:c r="S5" s="2" t="str">
        <x:v>day</x:v>
      </x:c>
      <x:c r="T5" s="2"/>
      <x:c r="U5" s="2"/>
      <x:c r="V5" s="9"/>
      <x:c r="W5" s="9"/>
      <x:c r="X5" s="9"/>
      <x:c r="Y5" s="2"/>
      <x:c r="Z5" s="2" t="str">
        <x:v>前女友及其孪生姐姐</x:v>
      </x:c>
      <x:c r="AA5" s="9"/>
      <x:c r="AB5" s="2" t="str">
        <x:v>男</x:v>
      </x:c>
      <x:c r="AC5" s="2"/>
      <x:c r="AD5" s="7" t="str">
        <x:v>分手后预谋报复。</x:v>
      </x:c>
      <x:c r="AE5" s="2" t="str">
        <x:v>感情纠纷</x:v>
      </x:c>
      <x:c r="AF5" s="2" t="str">
        <x:v>法院认定</x:v>
      </x:c>
      <x:c r="AG5" s="2"/>
      <x:c r="AH5" s="2"/>
      <x:c r="AI5" s="2"/>
      <x:c r="AJ5" s="2"/>
      <x:c r="AK5" s="2" t="str">
        <x:v>一审死刑。</x:v>
      </x:c>
      <x:c r="AL5" s="10" t="n">
        <x:v>43931</x:v>
      </x:c>
      <x:c r="AM5" s="10"/>
      <x:c r="AN5" s="10" t="n">
        <x:v>43938</x:v>
      </x:c>
      <x:c r="AO5" s="2" t="str">
        <x:v>官方转载</x:v>
      </x:c>
      <x:c r="AP5" s="7" t="str">
        <x:v>AS029</x:v>
      </x:c>
      <x:c r="AQ5" s="7" t="str">
        <x:v>{"date":["AS029"],"location":["AS029"],"casualties":["AS029"],"classification":["AS029"],"motive":["AS029"],"outcome":["AS029"]}</x:v>
      </x:c>
      <x:c r="AR5" s="2"/>
      <x:c r="AS5" s="9"/>
      <x:c r="AT5" s="9"/>
      <x:c r="AU5" s="9"/>
      <x:c r="AV5" s="2"/>
      <x:c r="AW5" s="2"/>
      <x:c r="AX5" s="9"/>
      <x:c r="AY5" s="10"/>
      <x:c r="AZ5" s="7"/>
      <x:c r="BA5" s="7"/>
      <x:c r="BB5" s="7"/>
      <x:c r="BC5" s="7"/>
      <x:c r="BD5" s="2" t="str">
        <x:v>是</x:v>
      </x:c>
      <x:c r="BE5" s="2" t="str">
        <x:v>否</x:v>
      </x:c>
      <x:c r="BF5" s="2" t="str">
        <x:v>媒体调查／研究推断</x:v>
      </x:c>
      <x:c r="BG5" s="2" t="str">
        <x:v>婚姻／家庭／感情问题</x:v>
      </x:c>
      <x:c r="BH5" s="9" t="n">
        <x:v>2018</x:v>
      </x:c>
      <x:c r="BI5" s="9" t="n">
        <x:v>1</x:v>
      </x:c>
      <x:c r="BJ5" s="9" t="n">
        <x:v>1</x:v>
      </x:c>
      <x:c r="BK5" s="9" t="n">
        <x:v>0</x:v>
      </x:c>
      <x:c r="BL5" s="9" t="n">
        <x:v>1</x:v>
      </x:c>
      <x:c r="BM5" s="9" t="n">
        <x:v>1</x:v>
      </x:c>
      <x:c r="BN5" s="9" t="n">
        <x:v>0</x:v>
      </x:c>
      <x:c r="BO5" s="9" t="n">
        <x:v>0</x:v>
      </x:c>
    </x:row>
    <x:row r="6" ht="38" customHeight="1">
      <x:c r="A6" s="2" t="str">
        <x:v>A002</x:v>
      </x:c>
      <x:c r="B6" s="2" t="str">
        <x:v>2018-04-16</x:v>
      </x:c>
      <x:c r="C6" s="7" t="str">
        <x:v>南宁昆仑大道大乌村路口袭击</x:v>
      </x:c>
      <x:c r="D6" s="2" t="str">
        <x:v>广西</x:v>
      </x:c>
      <x:c r="E6" s="2" t="str">
        <x:v>南宁</x:v>
      </x:c>
      <x:c r="F6" s="2" t="str">
        <x:v>pending</x:v>
      </x:c>
      <x:c r="G6" s="2" t="str">
        <x:v>街道交通</x:v>
      </x:c>
      <x:c r="H6" s="2" t="str">
        <x:v>持械</x:v>
      </x:c>
      <x:c r="I6" s="9" t="n">
        <x:v>1</x:v>
      </x:c>
      <x:c r="J6" s="9" t="n">
        <x:v>3</x:v>
      </x:c>
      <x:c r="K6" s="2"/>
      <x:c r="L6" s="9"/>
      <x:c r="M6" s="9"/>
      <x:c r="N6" s="10" t="n">
        <x:v>43207</x:v>
      </x:c>
      <x:c r="O6" s="7"/>
      <x:c r="P6" s="7" t="str">
        <x:v>警方证实事件和伤亡；无故袭击路过母婴的依据为广西新闻频道一次现场调查，两转载不作独立多源，待补裁判或第二独立报道。</x:v>
      </x:c>
      <x:c r="Q6" s="2" t="str">
        <x:v>兴宁</x:v>
      </x:c>
      <x:c r="R6" s="2"/>
      <x:c r="S6" s="2" t="str">
        <x:v>day</x:v>
      </x:c>
      <x:c r="T6" s="2"/>
      <x:c r="U6" s="2"/>
      <x:c r="V6" s="9"/>
      <x:c r="W6" s="9"/>
      <x:c r="X6" s="9"/>
      <x:c r="Y6" s="2" t="str">
        <x:v>是</x:v>
      </x:c>
      <x:c r="Z6" s="2" t="str">
        <x:v>报道为路过母婴和两名劝阻群众</x:v>
      </x:c>
      <x:c r="AA6" s="9"/>
      <x:c r="AB6" s="2" t="str">
        <x:v>男</x:v>
      </x:c>
      <x:c r="AC6" s="2"/>
      <x:c r="AD6" s="7"/>
      <x:c r="AE6" s="2" t="str"/>
      <x:c r="AF6" s="2" t="str">
        <x:v>未知</x:v>
      </x:c>
      <x:c r="AG6" s="2"/>
      <x:c r="AH6" s="2"/>
      <x:c r="AI6" s="2"/>
      <x:c r="AJ6" s="2" t="str">
        <x:v>群众阻止；当日16时警方已控制嫌疑人。</x:v>
      </x:c>
      <x:c r="AK6" s="2" t="str">
        <x:v>被控制；未找到判决。</x:v>
      </x:c>
      <x:c r="AL6" s="10"/>
      <x:c r="AM6" s="10"/>
      <x:c r="AN6" s="10" t="n">
        <x:v>43207</x:v>
      </x:c>
      <x:c r="AO6" s="2" t="str">
        <x:v>单一媒体</x:v>
      </x:c>
      <x:c r="AP6" s="7" t="str">
        <x:v>AS002；AS003</x:v>
      </x:c>
      <x:c r="AQ6" s="7" t="str">
        <x:v>{"date":["AS002","AS003"],"location":["AS002","AS003"],"casualties":["AS002","AS003"],"classification":["AS002","AS003"],"motive":[],"outcome":["AS002","AS003"]}</x:v>
      </x:c>
      <x:c r="AR6" s="2"/>
      <x:c r="AS6" s="9"/>
      <x:c r="AT6" s="9"/>
      <x:c r="AU6" s="9"/>
      <x:c r="AV6" s="2"/>
      <x:c r="AW6" s="2"/>
      <x:c r="AX6" s="9"/>
      <x:c r="AY6" s="10"/>
      <x:c r="AZ6" s="7"/>
      <x:c r="BA6" s="7"/>
      <x:c r="BB6" s="7"/>
      <x:c r="BC6" s="7" t="str">
        <x:v>未将目击者估计年龄和初步精神异常推测当作确证。</x:v>
      </x:c>
      <x:c r="BD6" s="2" t="str">
        <x:v>否</x:v>
      </x:c>
      <x:c r="BE6" s="2" t="str">
        <x:v>否</x:v>
      </x:c>
      <x:c r="BF6" s="2" t="str">
        <x:v>媒体调查／研究推断</x:v>
      </x:c>
      <x:c r="BG6" s="2" t="str"/>
      <x:c r="BH6" s="9" t="n">
        <x:v>2018</x:v>
      </x:c>
      <x:c r="BI6" s="9" t="n">
        <x:v>1</x:v>
      </x:c>
      <x:c r="BJ6" s="9" t="n">
        <x:v>3</x:v>
      </x:c>
      <x:c r="BK6" s="9" t="n">
        <x:v>0</x:v>
      </x:c>
      <x:c r="BL6" s="9" t="n">
        <x:v>0</x:v>
      </x:c>
      <x:c r="BM6" s="9" t="n">
        <x:v>1</x:v>
      </x:c>
      <x:c r="BN6" s="9" t="n">
        <x:v>0</x:v>
      </x:c>
      <x:c r="BO6" s="9" t="n">
        <x:v>0</x:v>
      </x:c>
    </x:row>
    <x:row r="7" ht="38" customHeight="1">
      <x:c r="A7" s="2" t="str">
        <x:v>A003</x:v>
      </x:c>
      <x:c r="B7" s="2" t="str">
        <x:v>2018-04-24</x:v>
      </x:c>
      <x:c r="C7" s="7" t="str">
        <x:v>英德KTV纵火</x:v>
      </x:c>
      <x:c r="D7" s="2" t="str">
        <x:v>广东</x:v>
      </x:c>
      <x:c r="E7" s="2" t="str">
        <x:v>清远</x:v>
      </x:c>
      <x:c r="F7" s="2" t="str">
        <x:v>expanded</x:v>
      </x:c>
      <x:c r="G7" s="2" t="str">
        <x:v>商业场所</x:v>
      </x:c>
      <x:c r="H7" s="2" t="str">
        <x:v>纵火</x:v>
      </x:c>
      <x:c r="I7" s="9" t="n">
        <x:v>18</x:v>
      </x:c>
      <x:c r="J7" s="9"/>
      <x:c r="K7" s="2" t="str">
        <x:v>最高法复核列1重伤2轻伤；同篇前期案情另列1轻微伤。</x:v>
      </x:c>
      <x:c r="L7" s="9" t="n">
        <x:v>3</x:v>
      </x:c>
      <x:c r="M7" s="9"/>
      <x:c r="N7" s="10" t="n">
        <x:v>43824</x:v>
      </x:c>
      <x:c r="O7" s="7" t="str">
        <x:v>采用18名受害人死亡。伤者存在3名与4名的司法表述差异，精确值留空，最低已知3名；不直接沿用初报5伤。</x:v>
      </x:c>
      <x:c r="P7" s="7" t="str">
        <x:v>KTV内个人交往和交易纠纷后放火，危及大量与原纠纷无关的场所人员。</x:v>
      </x:c>
      <x:c r="Q7" s="2" t="str">
        <x:v>英德</x:v>
      </x:c>
      <x:c r="R7" s="2"/>
      <x:c r="S7" s="2" t="str">
        <x:v>day</x:v>
      </x:c>
      <x:c r="T7" s="2"/>
      <x:c r="U7" s="2"/>
      <x:c r="V7" s="9" t="n">
        <x:v>1</x:v>
      </x:c>
      <x:c r="W7" s="9"/>
      <x:c r="X7" s="9"/>
      <x:c r="Y7" s="2"/>
      <x:c r="Z7" s="2"/>
      <x:c r="AA7" s="9"/>
      <x:c r="AB7" s="2" t="str">
        <x:v>男</x:v>
      </x:c>
      <x:c r="AC7" s="2"/>
      <x:c r="AD7" s="7" t="str">
        <x:v>最高法概述个人琐事不满；案情回顾指交往受拒、交易争执后愤怒。</x:v>
      </x:c>
      <x:c r="AE7" s="2" t="str">
        <x:v>人际纠纷；泄愤</x:v>
      </x:c>
      <x:c r="AF7" s="2" t="str">
        <x:v>法院认定</x:v>
      </x:c>
      <x:c r="AG7" s="2"/>
      <x:c r="AH7" s="2"/>
      <x:c r="AI7" s="2" t="str">
        <x:v>报道提到事前扬言烧毁KTV，同行朋友曾阻拦。</x:v>
      </x:c>
      <x:c r="AJ7" s="2" t="str">
        <x:v>朋友阻止未果；当日被抓获。</x:v>
      </x:c>
      <x:c r="AK7" s="2" t="str">
        <x:v>死刑并已执行。</x:v>
      </x:c>
      <x:c r="AL7" s="10"/>
      <x:c r="AM7" s="10" t="n">
        <x:v>43823</x:v>
      </x:c>
      <x:c r="AN7" s="10" t="n">
        <x:v>43824</x:v>
      </x:c>
      <x:c r="AO7" s="2" t="str">
        <x:v>官方转载</x:v>
      </x:c>
      <x:c r="AP7" s="7" t="str">
        <x:v>AS004</x:v>
      </x:c>
      <x:c r="AQ7" s="7" t="str">
        <x:v>{"date":["AS004"],"location":["AS004"],"casualties":["AS004"],"classification":["AS004"],"motive":["AS004"],"outcome":["AS004"]}</x:v>
      </x:c>
      <x:c r="AR7" s="2"/>
      <x:c r="AS7" s="9"/>
      <x:c r="AT7" s="9"/>
      <x:c r="AU7" s="9"/>
      <x:c r="AV7" s="2"/>
      <x:c r="AW7" s="2"/>
      <x:c r="AX7" s="9"/>
      <x:c r="AY7" s="10"/>
      <x:c r="AZ7" s="7"/>
      <x:c r="BA7" s="7"/>
      <x:c r="BB7" s="7"/>
      <x:c r="BC7" s="7"/>
      <x:c r="BD7" s="2" t="str">
        <x:v>是</x:v>
      </x:c>
      <x:c r="BE7" s="2" t="str">
        <x:v>否</x:v>
      </x:c>
      <x:c r="BF7" s="2" t="str">
        <x:v>官方确认发生；随机性／扩大关系含研究解释；法院材料明确个人纠纷后在KTV纵火及群体伤亡，但现有摘录未明确原始攻击对象、受害关系及扩大过程；归为纠纷扩大包含研究者根据场景的解释。只降低官方分类敏感性标签，不否定纵火事实。</x:v>
      </x:c>
      <x:c r="BG7" s="2" t="str">
        <x:v>其他已披露背景；泄愤／转移报复</x:v>
      </x:c>
      <x:c r="BH7" s="9" t="n">
        <x:v>2018</x:v>
      </x:c>
      <x:c r="BI7" s="9" t="n">
        <x:v>18</x:v>
      </x:c>
      <x:c r="BJ7" s="9" t="n">
        <x:v>3</x:v>
      </x:c>
      <x:c r="BK7" s="9" t="n">
        <x:v>0</x:v>
      </x:c>
      <x:c r="BL7" s="9" t="n">
        <x:v>1</x:v>
      </x:c>
      <x:c r="BM7" s="9" t="n">
        <x:v>1</x:v>
      </x:c>
      <x:c r="BN7" s="9" t="n">
        <x:v>0</x:v>
      </x:c>
      <x:c r="BO7" s="9" t="n">
        <x:v>1</x:v>
      </x:c>
    </x:row>
    <x:row r="8" ht="38" customHeight="1">
      <x:c r="A8" s="2" t="str">
        <x:v>A004</x:v>
      </x:c>
      <x:c r="B8" s="2" t="str">
        <x:v>2018-04-27</x:v>
      </x:c>
      <x:c r="C8" s="7" t="str">
        <x:v>米脂三中周边持刀袭击学生</x:v>
      </x:c>
      <x:c r="D8" s="2" t="str">
        <x:v>陕西</x:v>
      </x:c>
      <x:c r="E8" s="2" t="str">
        <x:v>榆林</x:v>
      </x:c>
      <x:c r="F8" s="2" t="str">
        <x:v>core</x:v>
      </x:c>
      <x:c r="G8" s="2" t="str">
        <x:v>校园及周边</x:v>
      </x:c>
      <x:c r="H8" s="2" t="str">
        <x:v>持械</x:v>
      </x:c>
      <x:c r="I8" s="9" t="n">
        <x:v>9</x:v>
      </x:c>
      <x:c r="J8" s="9" t="n">
        <x:v>12</x:v>
      </x:c>
      <x:c r="K8" s="2"/>
      <x:c r="L8" s="9"/>
      <x:c r="M8" s="9"/>
      <x:c r="N8" s="10" t="n">
        <x:v>43370</x:v>
      </x:c>
      <x:c r="O8" s="7" t="str">
        <x:v>法院后续口径为9死12伤，取代初报9死10伤；部分汇编9死19伤不采。</x:v>
      </x:c>
      <x:c r="P8" s="7" t="str">
        <x:v>法院明确原怨恨对象未找到，改为袭击与原纠纷无关的放学学生。</x:v>
      </x:c>
      <x:c r="Q8" s="2" t="str">
        <x:v>米脂</x:v>
      </x:c>
      <x:c r="R8" s="2"/>
      <x:c r="S8" s="2" t="str">
        <x:v>day</x:v>
      </x:c>
      <x:c r="T8" s="2"/>
      <x:c r="U8" s="2"/>
      <x:c r="V8" s="9" t="n">
        <x:v>4</x:v>
      </x:c>
      <x:c r="W8" s="9"/>
      <x:c r="X8" s="9"/>
      <x:c r="Y8" s="2" t="str">
        <x:v>是</x:v>
      </x:c>
      <x:c r="Z8" s="2" t="str">
        <x:v>无关在校学生</x:v>
      </x:c>
      <x:c r="AA8" s="9"/>
      <x:c r="AB8" s="2" t="str">
        <x:v>男</x:v>
      </x:c>
      <x:c r="AC8" s="2"/>
      <x:c r="AD8" s="7" t="str">
        <x:v>工作生活挫折和对就读时被欺负的怨恨，转为报复无关学生。</x:v>
      </x:c>
      <x:c r="AE8" s="2" t="str">
        <x:v>生活挫折；转移报复</x:v>
      </x:c>
      <x:c r="AF8" s="2" t="str">
        <x:v>法院认定</x:v>
      </x:c>
      <x:c r="AG8" s="2"/>
      <x:c r="AH8" s="2"/>
      <x:c r="AI8" s="2"/>
      <x:c r="AJ8" s="2" t="str">
        <x:v>教师、保安及学生合力制止。</x:v>
      </x:c>
      <x:c r="AK8" s="2" t="str">
        <x:v>死刑并已执行。</x:v>
      </x:c>
      <x:c r="AL8" s="10" t="n">
        <x:v>43291</x:v>
      </x:c>
      <x:c r="AM8" s="10" t="n">
        <x:v>43370</x:v>
      </x:c>
      <x:c r="AN8" s="10" t="n">
        <x:v>43370</x:v>
      </x:c>
      <x:c r="AO8" s="2" t="str">
        <x:v>官方转载</x:v>
      </x:c>
      <x:c r="AP8" s="7" t="str">
        <x:v>AS005；AS006</x:v>
      </x:c>
      <x:c r="AQ8" s="7" t="str">
        <x:v>{"date":["AS005","AS006"],"location":["AS005","AS006"],"casualties":["AS005","AS006"],"classification":["AS005","AS006"],"motive":["AS005","AS006"],"outcome":["AS005","AS006"]}</x:v>
      </x:c>
      <x:c r="AR8" s="2"/>
      <x:c r="AS8" s="9"/>
      <x:c r="AT8" s="9"/>
      <x:c r="AU8" s="9"/>
      <x:c r="AV8" s="2"/>
      <x:c r="AW8" s="2"/>
      <x:c r="AX8" s="9"/>
      <x:c r="AY8" s="10"/>
      <x:c r="AZ8" s="7"/>
      <x:c r="BA8" s="7"/>
      <x:c r="BB8" s="7"/>
      <x:c r="BC8" s="7"/>
      <x:c r="BD8" s="2" t="str">
        <x:v>是</x:v>
      </x:c>
      <x:c r="BE8" s="2" t="str">
        <x:v>是</x:v>
      </x:c>
      <x:c r="BF8" s="2" t="str">
        <x:v>官方事实直接支持；法院明确未找到旧同学后改为袭击放学学生，原怨恨对象与实际受害者分离。</x:v>
      </x:c>
      <x:c r="BG8" s="2" t="str">
        <x:v>泄愤／转移报复；生活受挫／疏离／厌世</x:v>
      </x:c>
      <x:c r="BH8" s="9" t="n">
        <x:v>2018</x:v>
      </x:c>
      <x:c r="BI8" s="9" t="n">
        <x:v>9</x:v>
      </x:c>
      <x:c r="BJ8" s="9" t="n">
        <x:v>12</x:v>
      </x:c>
      <x:c r="BK8" s="9" t="n">
        <x:v>1</x:v>
      </x:c>
      <x:c r="BL8" s="9" t="n">
        <x:v>1</x:v>
      </x:c>
      <x:c r="BM8" s="9" t="n">
        <x:v>1</x:v>
      </x:c>
      <x:c r="BN8" s="9" t="n">
        <x:v>0</x:v>
      </x:c>
      <x:c r="BO8" s="9" t="n">
        <x:v>0</x:v>
      </x:c>
    </x:row>
    <x:row r="9" ht="38" customHeight="1">
      <x:c r="A9" s="2" t="str">
        <x:v>A005</x:v>
      </x:c>
      <x:c r="B9" s="2" t="str">
        <x:v>2018-05-13</x:v>
      </x:c>
      <x:c r="C9" s="7" t="str">
        <x:v>成都盐市口车辆冲撞</x:v>
      </x:c>
      <x:c r="D9" s="2" t="str">
        <x:v>四川</x:v>
      </x:c>
      <x:c r="E9" s="2" t="str">
        <x:v>成都</x:v>
      </x:c>
      <x:c r="F9" s="2" t="str">
        <x:v>pending</x:v>
      </x:c>
      <x:c r="G9" s="2" t="str">
        <x:v>街道交通</x:v>
      </x:c>
      <x:c r="H9" s="2" t="str">
        <x:v>驾车</x:v>
      </x:c>
      <x:c r="I9" s="9" t="n">
        <x:v>0</x:v>
      </x:c>
      <x:c r="J9" s="9" t="n">
        <x:v>3</x:v>
      </x:c>
      <x:c r="K9" s="2"/>
      <x:c r="L9" s="9"/>
      <x:c r="M9" s="9"/>
      <x:c r="N9" s="10" t="n">
        <x:v>43234</x:v>
      </x:c>
      <x:c r="O9" s="7" t="str">
        <x:v>3名伤者在通报时伤情稳定。</x:v>
      </x:c>
      <x:c r="P9" s="7" t="str">
        <x:v>已证实冲撞及涉嫌危害公共安全，但通报未明确主动以无关行人为攻击目标，不仅凭罪名纳入。</x:v>
      </x:c>
      <x:c r="Q9" s="2"/>
      <x:c r="R9" s="2"/>
      <x:c r="S9" s="2" t="str">
        <x:v>day</x:v>
      </x:c>
      <x:c r="T9" s="2"/>
      <x:c r="U9" s="2"/>
      <x:c r="V9" s="9"/>
      <x:c r="W9" s="9"/>
      <x:c r="X9" s="9"/>
      <x:c r="Y9" s="2"/>
      <x:c r="Z9" s="2" t="str">
        <x:v>参与阻止的群众、辅警、交通劝导员</x:v>
      </x:c>
      <x:c r="AA9" s="9" t="n">
        <x:v>62</x:v>
      </x:c>
      <x:c r="AB9" s="2" t="str">
        <x:v>男</x:v>
      </x:c>
      <x:c r="AC9" s="2"/>
      <x:c r="AD9" s="7"/>
      <x:c r="AE9" s="2" t="str"/>
      <x:c r="AF9" s="2" t="str">
        <x:v>未知</x:v>
      </x:c>
      <x:c r="AG9" s="2"/>
      <x:c r="AH9" s="2"/>
      <x:c r="AI9" s="2"/>
      <x:c r="AJ9" s="2"/>
      <x:c r="AK9" s="2" t="str">
        <x:v>被采取刑事强制措施；未检出裁判。</x:v>
      </x:c>
      <x:c r="AL9" s="10"/>
      <x:c r="AM9" s="10"/>
      <x:c r="AN9" s="10" t="n">
        <x:v>43234</x:v>
      </x:c>
      <x:c r="AO9" s="2" t="str">
        <x:v>官方转载</x:v>
      </x:c>
      <x:c r="AP9" s="7" t="str">
        <x:v>AS007</x:v>
      </x:c>
      <x:c r="AQ9" s="7" t="str">
        <x:v>{"date":["AS007"],"location":["AS007"],"casualties":["AS007"],"classification":["AS007"],"motive":[],"outcome":["AS007"]}</x:v>
      </x:c>
      <x:c r="AR9" s="2"/>
      <x:c r="AS9" s="9"/>
      <x:c r="AT9" s="9"/>
      <x:c r="AU9" s="9"/>
      <x:c r="AV9" s="2"/>
      <x:c r="AW9" s="2"/>
      <x:c r="AX9" s="9"/>
      <x:c r="AY9" s="10"/>
      <x:c r="AZ9" s="7"/>
      <x:c r="BA9" s="7"/>
      <x:c r="BB9" s="7"/>
      <x:c r="BC9" s="7"/>
      <x:c r="BD9" s="2" t="str">
        <x:v>是</x:v>
      </x:c>
      <x:c r="BE9" s="2" t="str">
        <x:v>否</x:v>
      </x:c>
      <x:c r="BF9" s="2" t="str">
        <x:v>媒体调查／研究推断</x:v>
      </x:c>
      <x:c r="BG9" s="2" t="str"/>
      <x:c r="BH9" s="9" t="n">
        <x:v>2018</x:v>
      </x:c>
      <x:c r="BI9" s="9" t="n">
        <x:v>0</x:v>
      </x:c>
      <x:c r="BJ9" s="9" t="n">
        <x:v>3</x:v>
      </x:c>
      <x:c r="BK9" s="9" t="n">
        <x:v>0</x:v>
      </x:c>
      <x:c r="BL9" s="9" t="n">
        <x:v>0</x:v>
      </x:c>
      <x:c r="BM9" s="9" t="n">
        <x:v>1</x:v>
      </x:c>
      <x:c r="BN9" s="9" t="n">
        <x:v>0</x:v>
      </x:c>
      <x:c r="BO9" s="9" t="n">
        <x:v>0</x:v>
      </x:c>
    </x:row>
    <x:row r="10" ht="38" customHeight="1">
      <x:c r="A10" s="2" t="str">
        <x:v>A006</x:v>
      </x:c>
      <x:c r="B10" s="2" t="str">
        <x:v>2018-06-06</x:v>
      </x:c>
      <x:c r="C10" s="7" t="str">
        <x:v>唐山煤医道等路段故意驾车撞人</x:v>
      </x:c>
      <x:c r="D10" s="2" t="str">
        <x:v>河北</x:v>
      </x:c>
      <x:c r="E10" s="2" t="str">
        <x:v>唐山</x:v>
      </x:c>
      <x:c r="F10" s="2" t="str">
        <x:v>core</x:v>
      </x:c>
      <x:c r="G10" s="2" t="str">
        <x:v>街道交通</x:v>
      </x:c>
      <x:c r="H10" s="2" t="str">
        <x:v>驾车</x:v>
      </x:c>
      <x:c r="I10" s="9" t="n">
        <x:v>7</x:v>
      </x:c>
      <x:c r="J10" s="9" t="n">
        <x:v>10</x:v>
      </x:c>
      <x:c r="K10" s="2"/>
      <x:c r="L10" s="9"/>
      <x:c r="M10" s="9"/>
      <x:c r="N10" s="10" t="n">
        <x:v>43628</x:v>
      </x:c>
      <x:c r="O10" s="7"/>
      <x:c r="P10" s="7" t="str">
        <x:v>法院查明故意连续冲撞多名行人，非仅依据交通事故伤亡人数判断。</x:v>
      </x:c>
      <x:c r="Q10" s="2" t="str">
        <x:v>路北</x:v>
      </x:c>
      <x:c r="R10" s="2"/>
      <x:c r="S10" s="2" t="str">
        <x:v>day</x:v>
      </x:c>
      <x:c r="T10" s="2"/>
      <x:c r="U10" s="2"/>
      <x:c r="V10" s="9" t="n">
        <x:v>2</x:v>
      </x:c>
      <x:c r="W10" s="9"/>
      <x:c r="X10" s="9"/>
      <x:c r="Y10" s="2"/>
      <x:c r="Z10" s="2" t="str">
        <x:v>道路行人</x:v>
      </x:c>
      <x:c r="AA10" s="9"/>
      <x:c r="AB10" s="2" t="str">
        <x:v>男</x:v>
      </x:c>
      <x:c r="AC10" s="2"/>
      <x:c r="AD10" s="7"/>
      <x:c r="AE10" s="2" t="str"/>
      <x:c r="AF10" s="2" t="str">
        <x:v>未知</x:v>
      </x:c>
      <x:c r="AG10" s="2"/>
      <x:c r="AH10" s="2"/>
      <x:c r="AI10" s="2"/>
      <x:c r="AJ10" s="2"/>
      <x:c r="AK10" s="2" t="str">
        <x:v>死刑二审维持；未检出执行公告。</x:v>
      </x:c>
      <x:c r="AL10" s="10" t="n">
        <x:v>43628</x:v>
      </x:c>
      <x:c r="AM10" s="10"/>
      <x:c r="AN10" s="10" t="n">
        <x:v>43628</x:v>
      </x:c>
      <x:c r="AO10" s="2" t="str">
        <x:v>官方转载</x:v>
      </x:c>
      <x:c r="AP10" s="7" t="str">
        <x:v>AS008</x:v>
      </x:c>
      <x:c r="AQ10" s="7" t="str">
        <x:v>{"date":["AS008"],"location":["AS008"],"casualties":["AS008"],"classification":["AS008"],"motive":[],"outcome":["AS008"]}</x:v>
      </x:c>
      <x:c r="AR10" s="2"/>
      <x:c r="AS10" s="9"/>
      <x:c r="AT10" s="9"/>
      <x:c r="AU10" s="9"/>
      <x:c r="AV10" s="2"/>
      <x:c r="AW10" s="2"/>
      <x:c r="AX10" s="9"/>
      <x:c r="AY10" s="10"/>
      <x:c r="AZ10" s="7"/>
      <x:c r="BA10" s="7"/>
      <x:c r="BB10" s="7"/>
      <x:c r="BC10" s="7" t="str">
        <x:v>饮酒属于已报道状态，具体报复动机不明，留空。</x:v>
      </x:c>
      <x:c r="BD10" s="2" t="str">
        <x:v>是</x:v>
      </x:c>
      <x:c r="BE10" s="2" t="str">
        <x:v>否</x:v>
      </x:c>
      <x:c r="BF10" s="2" t="str">
        <x:v>官方确认发生；随机性／扩大关系含研究解释；法院明确故意、连续冲撞多名行人，足以确认攻击发生与故意性；现有材料未明确随机选择或受害人与嫌犯的关系。核心主分析保留，严格官方分类敏感性按研究解释处理。</x:v>
      </x:c>
      <x:c r="BG10" s="2" t="str"/>
      <x:c r="BH10" s="9" t="n">
        <x:v>2018</x:v>
      </x:c>
      <x:c r="BI10" s="9" t="n">
        <x:v>7</x:v>
      </x:c>
      <x:c r="BJ10" s="9" t="n">
        <x:v>10</x:v>
      </x:c>
      <x:c r="BK10" s="9" t="n">
        <x:v>0</x:v>
      </x:c>
      <x:c r="BL10" s="9" t="n">
        <x:v>0</x:v>
      </x:c>
      <x:c r="BM10" s="9" t="n">
        <x:v>1</x:v>
      </x:c>
      <x:c r="BN10" s="9" t="n">
        <x:v>0</x:v>
      </x:c>
      <x:c r="BO10" s="9" t="n">
        <x:v>0</x:v>
      </x:c>
    </x:row>
    <x:row r="11" ht="38" customHeight="1">
      <x:c r="A11" s="2" t="str">
        <x:v>A007</x:v>
      </x:c>
      <x:c r="B11" s="2" t="str">
        <x:v>2018-06-22</x:v>
      </x:c>
      <x:c r="C11" s="7" t="str">
        <x:v>西安302路公交车及周边持刀袭击</x:v>
      </x:c>
      <x:c r="D11" s="2" t="str">
        <x:v>陕西</x:v>
      </x:c>
      <x:c r="E11" s="2" t="str">
        <x:v>西安</x:v>
      </x:c>
      <x:c r="F11" s="2" t="str">
        <x:v>core</x:v>
      </x:c>
      <x:c r="G11" s="2" t="str">
        <x:v>公共交通</x:v>
      </x:c>
      <x:c r="H11" s="2" t="str">
        <x:v>持械</x:v>
      </x:c>
      <x:c r="I11" s="9" t="n">
        <x:v>4</x:v>
      </x:c>
      <x:c r="J11" s="9" t="n">
        <x:v>7</x:v>
      </x:c>
      <x:c r="K11" s="2"/>
      <x:c r="L11" s="9"/>
      <x:c r="M11" s="9"/>
      <x:c r="N11" s="10" t="n">
        <x:v>43491</x:v>
      </x:c>
      <x:c r="O11" s="7" t="str">
        <x:v>采用法院4死7轻伤，初报口径已被替代。</x:v>
      </x:c>
      <x:c r="P11" s="7" t="str">
        <x:v>法院认定报复社会，在公交车内及车外连续攻击乘客和路人。</x:v>
      </x:c>
      <x:c r="Q11" s="2" t="str">
        <x:v>未央</x:v>
      </x:c>
      <x:c r="R11" s="2"/>
      <x:c r="S11" s="2" t="str">
        <x:v>day</x:v>
      </x:c>
      <x:c r="T11" s="2"/>
      <x:c r="U11" s="2"/>
      <x:c r="V11" s="9" t="n">
        <x:v>0</x:v>
      </x:c>
      <x:c r="W11" s="9"/>
      <x:c r="X11" s="9"/>
      <x:c r="Y11" s="2"/>
      <x:c r="Z11" s="2"/>
      <x:c r="AA11" s="9"/>
      <x:c r="AB11" s="2" t="str">
        <x:v>男</x:v>
      </x:c>
      <x:c r="AC11" s="2"/>
      <x:c r="AD11" s="7" t="str">
        <x:v>自称在公交车遭恶意扎针染病，因而产生报复社会念头；所谓扎针染病不是已证实事实。</x:v>
      </x:c>
      <x:c r="AE11" s="2" t="str">
        <x:v>报复社会；被害归因</x:v>
      </x:c>
      <x:c r="AF11" s="2" t="str">
        <x:v>法院认定</x:v>
      </x:c>
      <x:c r="AG11" s="2"/>
      <x:c r="AH11" s="2"/>
      <x:c r="AI11" s="2"/>
      <x:c r="AJ11" s="2"/>
      <x:c r="AK11" s="2" t="str">
        <x:v>一审死刑；本轮未核实后续执行。</x:v>
      </x:c>
      <x:c r="AL11" s="10" t="n">
        <x:v>43490</x:v>
      </x:c>
      <x:c r="AM11" s="10"/>
      <x:c r="AN11" s="10" t="n">
        <x:v>43491</x:v>
      </x:c>
      <x:c r="AO11" s="2" t="str">
        <x:v>官方原文</x:v>
      </x:c>
      <x:c r="AP11" s="7" t="str">
        <x:v>AS009</x:v>
      </x:c>
      <x:c r="AQ11" s="7" t="str">
        <x:v>{"date":["AS009"],"location":["AS009"],"casualties":["AS009"],"classification":["AS009"],"motive":["AS009"],"outcome":["AS009"]}</x:v>
      </x:c>
      <x:c r="AR11" s="2"/>
      <x:c r="AS11" s="9"/>
      <x:c r="AT11" s="9"/>
      <x:c r="AU11" s="9"/>
      <x:c r="AV11" s="2"/>
      <x:c r="AW11" s="2"/>
      <x:c r="AX11" s="9"/>
      <x:c r="AY11" s="10"/>
      <x:c r="AZ11" s="7"/>
      <x:c r="BA11" s="7"/>
      <x:c r="BB11" s="7"/>
      <x:c r="BC11" s="7"/>
      <x:c r="BD11" s="2" t="str">
        <x:v>是</x:v>
      </x:c>
      <x:c r="BE11" s="2" t="str">
        <x:v>是</x:v>
      </x:c>
      <x:c r="BF11" s="2" t="str">
        <x:v>官方事实直接支持；法院认定报复社会，连续攻击公交乘客及车外路人，官方披露的对象与行为过程支持公众目标。</x:v>
      </x:c>
      <x:c r="BG11" s="2" t="str">
        <x:v>其他已披露背景；泄愤／转移报复</x:v>
      </x:c>
      <x:c r="BH11" s="9" t="n">
        <x:v>2018</x:v>
      </x:c>
      <x:c r="BI11" s="9" t="n">
        <x:v>4</x:v>
      </x:c>
      <x:c r="BJ11" s="9" t="n">
        <x:v>7</x:v>
      </x:c>
      <x:c r="BK11" s="9" t="n">
        <x:v>1</x:v>
      </x:c>
      <x:c r="BL11" s="9" t="n">
        <x:v>1</x:v>
      </x:c>
      <x:c r="BM11" s="9" t="n">
        <x:v>1</x:v>
      </x:c>
      <x:c r="BN11" s="9" t="n">
        <x:v>0</x:v>
      </x:c>
      <x:c r="BO11" s="9" t="n">
        <x:v>0</x:v>
      </x:c>
    </x:row>
    <x:row r="12" ht="38" customHeight="1">
      <x:c r="A12" s="2" t="str">
        <x:v>A008</x:v>
      </x:c>
      <x:c r="B12" s="2" t="str">
        <x:v>2018-06-25</x:v>
      </x:c>
      <x:c r="C12" s="7" t="str">
        <x:v>烟台幸福中路叉车冲撞</x:v>
      </x:c>
      <x:c r="D12" s="2" t="str">
        <x:v>山东</x:v>
      </x:c>
      <x:c r="E12" s="2" t="str">
        <x:v>烟台</x:v>
      </x:c>
      <x:c r="F12" s="2" t="str">
        <x:v>core</x:v>
      </x:c>
      <x:c r="G12" s="2" t="str">
        <x:v>街道交通</x:v>
      </x:c>
      <x:c r="H12" s="2" t="str">
        <x:v>驾车</x:v>
      </x:c>
      <x:c r="I12" s="9" t="n">
        <x:v>1</x:v>
      </x:c>
      <x:c r="J12" s="9"/>
      <x:c r="K12" s="2" t="str">
        <x:v>10余人</x:v>
      </x:c>
      <x:c r="L12" s="9" t="n">
        <x:v>10</x:v>
      </x:c>
      <x:c r="M12" s="9"/>
      <x:c r="N12" s="10" t="n">
        <x:v>43276</x:v>
      </x:c>
      <x:c r="O12" s="7" t="str">
        <x:v>1名受害人死亡，另有嫌疑人1人死亡；10余伤保留原文及保守下限，不作精确数。</x:v>
      </x:c>
      <x:c r="P12" s="7" t="str">
        <x:v>警方确认叉车冲撞道路行人，制止无效后仍持续危害。</x:v>
      </x:c>
      <x:c r="Q12" s="2" t="str">
        <x:v>芝罘</x:v>
      </x:c>
      <x:c r="R12" s="2"/>
      <x:c r="S12" s="2" t="str">
        <x:v>day</x:v>
      </x:c>
      <x:c r="T12" s="2"/>
      <x:c r="U12" s="2"/>
      <x:c r="V12" s="9"/>
      <x:c r="W12" s="9" t="n">
        <x:v>1</x:v>
      </x:c>
      <x:c r="X12" s="9"/>
      <x:c r="Y12" s="2"/>
      <x:c r="Z12" s="2" t="str">
        <x:v>道路行人</x:v>
      </x:c>
      <x:c r="AA12" s="9" t="n">
        <x:v>45</x:v>
      </x:c>
      <x:c r="AB12" s="2" t="str">
        <x:v>男</x:v>
      </x:c>
      <x:c r="AC12" s="2"/>
      <x:c r="AD12" s="7"/>
      <x:c r="AE12" s="2" t="str"/>
      <x:c r="AF12" s="2" t="str">
        <x:v>未知</x:v>
      </x:c>
      <x:c r="AG12" s="2"/>
      <x:c r="AH12" s="2"/>
      <x:c r="AI12" s="2"/>
      <x:c r="AJ12" s="2" t="str">
        <x:v>警方制止无效后开枪击毙。</x:v>
      </x:c>
      <x:c r="AK12" s="2" t="str">
        <x:v>嫌疑人现场死亡。</x:v>
      </x:c>
      <x:c r="AL12" s="10"/>
      <x:c r="AM12" s="10"/>
      <x:c r="AN12" s="10" t="n">
        <x:v>43276</x:v>
      </x:c>
      <x:c r="AO12" s="2" t="str">
        <x:v>官方原文</x:v>
      </x:c>
      <x:c r="AP12" s="7" t="str">
        <x:v>AS010</x:v>
      </x:c>
      <x:c r="AQ12" s="7" t="str">
        <x:v>{"date":["AS010"],"location":["AS010"],"casualties":["AS010"],"classification":["AS010"],"motive":[],"outcome":["AS010"]}</x:v>
      </x:c>
      <x:c r="AR12" s="2"/>
      <x:c r="AS12" s="9"/>
      <x:c r="AT12" s="9"/>
      <x:c r="AU12" s="9"/>
      <x:c r="AV12" s="2"/>
      <x:c r="AW12" s="2"/>
      <x:c r="AX12" s="9"/>
      <x:c r="AY12" s="10"/>
      <x:c r="AZ12" s="7"/>
      <x:c r="BA12" s="7"/>
      <x:c r="BB12" s="7"/>
      <x:c r="BC12" s="7"/>
      <x:c r="BD12" s="2" t="str">
        <x:v>是</x:v>
      </x:c>
      <x:c r="BE12" s="2" t="str">
        <x:v>否</x:v>
      </x:c>
      <x:c r="BF12" s="2" t="str">
        <x:v>官方确认发生；随机性／扩大关系含研究解释；警方确认驾驶叉车撞击行人、制止无效后继续危害，但未明确目标选择及被害关系；不以道路场景和人数直接充当官方随机性认定。</x:v>
      </x:c>
      <x:c r="BG12" s="2" t="str"/>
      <x:c r="BH12" s="9" t="n">
        <x:v>2018</x:v>
      </x:c>
      <x:c r="BI12" s="9" t="n">
        <x:v>1</x:v>
      </x:c>
      <x:c r="BJ12" s="9" t="n">
        <x:v>10</x:v>
      </x:c>
      <x:c r="BK12" s="9" t="n">
        <x:v>0</x:v>
      </x:c>
      <x:c r="BL12" s="9" t="n">
        <x:v>0</x:v>
      </x:c>
      <x:c r="BM12" s="9" t="n">
        <x:v>1</x:v>
      </x:c>
      <x:c r="BN12" s="9" t="n">
        <x:v>0</x:v>
      </x:c>
      <x:c r="BO12" s="9" t="n">
        <x:v>1</x:v>
      </x:c>
    </x:row>
    <x:row r="13" ht="38" customHeight="1">
      <x:c r="A13" s="2" t="str">
        <x:v>A009</x:v>
      </x:c>
      <x:c r="B13" s="2" t="str">
        <x:v>2018-06-28</x:v>
      </x:c>
      <x:c r="C13" s="7" t="str">
        <x:v>上海浦北路小学周边袭击</x:v>
      </x:c>
      <x:c r="D13" s="2" t="str">
        <x:v>上海</x:v>
      </x:c>
      <x:c r="E13" s="2" t="str">
        <x:v>上海</x:v>
      </x:c>
      <x:c r="F13" s="2" t="str">
        <x:v>core</x:v>
      </x:c>
      <x:c r="G13" s="2" t="str">
        <x:v>校园及周边</x:v>
      </x:c>
      <x:c r="H13" s="2" t="str">
        <x:v>持械</x:v>
      </x:c>
      <x:c r="I13" s="9" t="n">
        <x:v>2</x:v>
      </x:c>
      <x:c r="J13" s="9" t="n">
        <x:v>2</x:v>
      </x:c>
      <x:c r="K13" s="2"/>
      <x:c r="L13" s="9"/>
      <x:c r="M13" s="9"/>
      <x:c r="N13" s="10" t="n">
        <x:v>44168</x:v>
      </x:c>
      <x:c r="O13" s="7"/>
      <x:c r="P13" s="7" t="str">
        <x:v>法院明确因个人不满杀害无辜儿童及家长，事先选择学校周边。</x:v>
      </x:c>
      <x:c r="Q13" s="2" t="str">
        <x:v>徐汇</x:v>
      </x:c>
      <x:c r="R13" s="2"/>
      <x:c r="S13" s="2" t="str">
        <x:v>day</x:v>
      </x:c>
      <x:c r="T13" s="2"/>
      <x:c r="U13" s="2"/>
      <x:c r="V13" s="9" t="n">
        <x:v>0</x:v>
      </x:c>
      <x:c r="W13" s="9"/>
      <x:c r="X13" s="9"/>
      <x:c r="Y13" s="2" t="str">
        <x:v>是</x:v>
      </x:c>
      <x:c r="Z13" s="2" t="str">
        <x:v>无关儿童及家长</x:v>
      </x:c>
      <x:c r="AA13" s="9"/>
      <x:c r="AB13" s="2" t="str">
        <x:v>男</x:v>
      </x:c>
      <x:c r="AC13" s="2"/>
      <x:c r="AD13" s="7" t="str">
        <x:v>工作生活不顺而泄愤报复无辜者。</x:v>
      </x:c>
      <x:c r="AE13" s="2" t="str">
        <x:v>生活挫折；泄愤</x:v>
      </x:c>
      <x:c r="AF13" s="2" t="str">
        <x:v>法院认定</x:v>
      </x:c>
      <x:c r="AG13" s="2"/>
      <x:c r="AH13" s="2"/>
      <x:c r="AI13" s="2"/>
      <x:c r="AJ13" s="2"/>
      <x:c r="AK13" s="2" t="str">
        <x:v>死刑并已执行。</x:v>
      </x:c>
      <x:c r="AL13" s="10"/>
      <x:c r="AM13" s="10" t="n">
        <x:v>44168</x:v>
      </x:c>
      <x:c r="AN13" s="10" t="n">
        <x:v>44168</x:v>
      </x:c>
      <x:c r="AO13" s="2" t="str">
        <x:v>官方转载</x:v>
      </x:c>
      <x:c r="AP13" s="7" t="str">
        <x:v>AS011</x:v>
      </x:c>
      <x:c r="AQ13" s="7" t="str">
        <x:v>{"date":["AS011"],"location":["AS011"],"casualties":["AS011"],"classification":["AS011"],"motive":["AS011"],"outcome":["AS011"]}</x:v>
      </x:c>
      <x:c r="AR13" s="2"/>
      <x:c r="AS13" s="9"/>
      <x:c r="AT13" s="9"/>
      <x:c r="AU13" s="9"/>
      <x:c r="AV13" s="2"/>
      <x:c r="AW13" s="2"/>
      <x:c r="AX13" s="9"/>
      <x:c r="AY13" s="10"/>
      <x:c r="AZ13" s="7"/>
      <x:c r="BA13" s="7"/>
      <x:c r="BB13" s="7"/>
      <x:c r="BC13" s="7"/>
      <x:c r="BD13" s="2" t="str">
        <x:v>是</x:v>
      </x:c>
      <x:c r="BE13" s="2" t="str">
        <x:v>是</x:v>
      </x:c>
      <x:c r="BF13" s="2" t="str">
        <x:v>官方事实直接支持；法院明确工作生活不顺后为泄愤事先选择学校附近，杀害无辜儿童和家长。</x:v>
      </x:c>
      <x:c r="BG13" s="2" t="str">
        <x:v>泄愤／转移报复；生活受挫／疏离／厌世</x:v>
      </x:c>
      <x:c r="BH13" s="9" t="n">
        <x:v>2018</x:v>
      </x:c>
      <x:c r="BI13" s="9" t="n">
        <x:v>2</x:v>
      </x:c>
      <x:c r="BJ13" s="9" t="n">
        <x:v>2</x:v>
      </x:c>
      <x:c r="BK13" s="9" t="n">
        <x:v>1</x:v>
      </x:c>
      <x:c r="BL13" s="9" t="n">
        <x:v>1</x:v>
      </x:c>
      <x:c r="BM13" s="9" t="n">
        <x:v>1</x:v>
      </x:c>
      <x:c r="BN13" s="9" t="n">
        <x:v>0</x:v>
      </x:c>
      <x:c r="BO13" s="9" t="n">
        <x:v>0</x:v>
      </x:c>
    </x:row>
    <x:row r="14" ht="38" customHeight="1">
      <x:c r="A14" s="2" t="str">
        <x:v>A045</x:v>
      </x:c>
      <x:c r="B14" s="2" t="str">
        <x:v>2018-07-05</x:v>
      </x:c>
      <x:c r="C14" s="7" t="str">
        <x:v>隆回南松村持刀伤人</x:v>
      </x:c>
      <x:c r="D14" s="2" t="str">
        <x:v>湖南</x:v>
      </x:c>
      <x:c r="E14" s="2" t="str">
        <x:v>邵阳</x:v>
      </x:c>
      <x:c r="F14" s="2" t="str">
        <x:v>pending</x:v>
      </x:c>
      <x:c r="G14" s="2" t="str">
        <x:v>社区住宅</x:v>
      </x:c>
      <x:c r="H14" s="2" t="str">
        <x:v>持械</x:v>
      </x:c>
      <x:c r="I14" s="9" t="n">
        <x:v>1</x:v>
      </x:c>
      <x:c r="J14" s="9" t="n">
        <x:v>6</x:v>
      </x:c>
      <x:c r="K14" s="2"/>
      <x:c r="L14" s="9"/>
      <x:c r="M14" s="9"/>
      <x:c r="N14" s="10" t="n">
        <x:v>43286</x:v>
      </x:c>
      <x:c r="O14" s="7" t="str">
        <x:v>通报7名被砍者中1名死亡，因此幸存受伤6人；不将7伤再加1死。</x:v>
      </x:c>
      <x:c r="P14" s="7" t="str">
        <x:v>官方通报多人伤亡但未明确动机及被害人与嫌疑人关系，不能仅以有儿童受害认定随机。</x:v>
      </x:c>
      <x:c r="Q14" s="2" t="str">
        <x:v>隆回</x:v>
      </x:c>
      <x:c r="R14" s="2"/>
      <x:c r="S14" s="2" t="str">
        <x:v>day</x:v>
      </x:c>
      <x:c r="T14" s="2"/>
      <x:c r="U14" s="2"/>
      <x:c r="V14" s="9"/>
      <x:c r="W14" s="9"/>
      <x:c r="X14" s="9"/>
      <x:c r="Y14" s="2" t="str">
        <x:v>是</x:v>
      </x:c>
      <x:c r="Z14" s="2"/>
      <x:c r="AA14" s="9" t="n">
        <x:v>40</x:v>
      </x:c>
      <x:c r="AB14" s="2" t="str">
        <x:v>男</x:v>
      </x:c>
      <x:c r="AC14" s="2"/>
      <x:c r="AD14" s="7"/>
      <x:c r="AE14" s="2" t="str"/>
      <x:c r="AF14" s="2" t="str">
        <x:v>未知</x:v>
      </x:c>
      <x:c r="AG14" s="2"/>
      <x:c r="AH14" s="2" t="str">
        <x:v>警方通报有故意伤害前科。</x:v>
      </x:c>
      <x:c r="AI14" s="2"/>
      <x:c r="AJ14" s="2"/>
      <x:c r="AK14" s="2" t="str">
        <x:v>逃离后被抓获。</x:v>
      </x:c>
      <x:c r="AL14" s="10"/>
      <x:c r="AM14" s="10"/>
      <x:c r="AN14" s="10" t="n">
        <x:v>43286</x:v>
      </x:c>
      <x:c r="AO14" s="2" t="str">
        <x:v>官方转载</x:v>
      </x:c>
      <x:c r="AP14" s="7" t="str">
        <x:v>AS049</x:v>
      </x:c>
      <x:c r="AQ14" s="7" t="str">
        <x:v>{"date":["AS049"],"location":["AS049"],"casualties":["AS049"],"classification":["AS049"],"motive":[],"outcome":["AS049"]}</x:v>
      </x:c>
      <x:c r="AR14" s="2"/>
      <x:c r="AS14" s="9"/>
      <x:c r="AT14" s="9"/>
      <x:c r="AU14" s="9"/>
      <x:c r="AV14" s="2"/>
      <x:c r="AW14" s="2"/>
      <x:c r="AX14" s="9"/>
      <x:c r="AY14" s="10"/>
      <x:c r="AZ14" s="7"/>
      <x:c r="BA14" s="7"/>
      <x:c r="BB14" s="7"/>
      <x:c r="BC14" s="7"/>
      <x:c r="BD14" s="2" t="str">
        <x:v>是</x:v>
      </x:c>
      <x:c r="BE14" s="2" t="str">
        <x:v>否</x:v>
      </x:c>
      <x:c r="BF14" s="2" t="str">
        <x:v>媒体调查／研究推断</x:v>
      </x:c>
      <x:c r="BG14" s="2" t="str"/>
      <x:c r="BH14" s="9" t="n">
        <x:v>2018</x:v>
      </x:c>
      <x:c r="BI14" s="9" t="n">
        <x:v>1</x:v>
      </x:c>
      <x:c r="BJ14" s="9" t="n">
        <x:v>6</x:v>
      </x:c>
      <x:c r="BK14" s="9" t="n">
        <x:v>0</x:v>
      </x:c>
      <x:c r="BL14" s="9" t="n">
        <x:v>0</x:v>
      </x:c>
      <x:c r="BM14" s="9" t="n">
        <x:v>1</x:v>
      </x:c>
      <x:c r="BN14" s="9" t="n">
        <x:v>0</x:v>
      </x:c>
      <x:c r="BO14" s="9" t="n">
        <x:v>0</x:v>
      </x:c>
    </x:row>
    <x:row r="15" ht="38" customHeight="1">
      <x:c r="A15" s="2" t="str">
        <x:v>A010</x:v>
      </x:c>
      <x:c r="B15" s="2" t="str">
        <x:v>2018-08-20</x:v>
      </x:c>
      <x:c r="C15" s="7" t="str">
        <x:v>镇江百盛家园南门持刀伤害路人</x:v>
      </x:c>
      <x:c r="D15" s="2" t="str">
        <x:v>江苏</x:v>
      </x:c>
      <x:c r="E15" s="2" t="str">
        <x:v>镇江</x:v>
      </x:c>
      <x:c r="F15" s="2" t="str">
        <x:v>core</x:v>
      </x:c>
      <x:c r="G15" s="2" t="str">
        <x:v>街道交通</x:v>
      </x:c>
      <x:c r="H15" s="2" t="str">
        <x:v>持械</x:v>
      </x:c>
      <x:c r="I15" s="9" t="n">
        <x:v>0</x:v>
      </x:c>
      <x:c r="J15" s="9" t="n">
        <x:v>7</x:v>
      </x:c>
      <x:c r="K15" s="2"/>
      <x:c r="L15" s="9"/>
      <x:c r="M15" s="9"/>
      <x:c r="N15" s="10" t="n">
        <x:v>43333</x:v>
      </x:c>
      <x:c r="O15" s="7" t="str">
        <x:v>8月21日警方通气会将初报5伤修订为7伤：另有2名伤势较轻者自行回家后被走访发现。7名受害者之外嫌疑人有伤并送医，另列attacker_injured=1；4人伤势较重不等于司法重伤。</x:v>
      </x:c>
      <x:c r="P15" s="7" t="str">
        <x:v>后续警方通气会披露持双刀沿多路段伤人，逃跑中主动砍伤过路女子并抢其电动车，支持向无关过路者实施主动袭击；不再仅以初报5名路人推断。</x:v>
      </x:c>
      <x:c r="Q15" s="2" t="str">
        <x:v>润州</x:v>
      </x:c>
      <x:c r="R15" s="2"/>
      <x:c r="S15" s="2" t="str">
        <x:v>day</x:v>
      </x:c>
      <x:c r="T15" s="2"/>
      <x:c r="U15" s="2"/>
      <x:c r="V15" s="9"/>
      <x:c r="W15" s="9"/>
      <x:c r="X15" s="9" t="n">
        <x:v>1</x:v>
      </x:c>
      <x:c r="Y15" s="2"/>
      <x:c r="Z15" s="2" t="str">
        <x:v>路人</x:v>
      </x:c>
      <x:c r="AA15" s="9" t="n">
        <x:v>30</x:v>
      </x:c>
      <x:c r="AB15" s="2" t="str">
        <x:v>男</x:v>
      </x:c>
      <x:c r="AC15" s="2"/>
      <x:c r="AD15" s="7"/>
      <x:c r="AE15" s="2" t="str"/>
      <x:c r="AF15" s="2" t="str">
        <x:v>未知</x:v>
      </x:c>
      <x:c r="AG15" s="2" t="str">
        <x:v>警方转述家属称有精神病史，未见司法鉴定。</x:v>
      </x:c>
      <x:c r="AH15" s="2"/>
      <x:c r="AI15" s="2"/>
      <x:c r="AJ15" s="2"/>
      <x:c r="AK15" s="2" t="str">
        <x:v>现场被抓获。</x:v>
      </x:c>
      <x:c r="AL15" s="10"/>
      <x:c r="AM15" s="10"/>
      <x:c r="AN15" s="10" t="n">
        <x:v>43334</x:v>
      </x:c>
      <x:c r="AO15" s="2" t="str">
        <x:v>官方转载</x:v>
      </x:c>
      <x:c r="AP15" s="7" t="str">
        <x:v>AS012；RS001</x:v>
      </x:c>
      <x:c r="AQ15" s="7" t="str">
        <x:v>{"date":["AS012","RS001"],"location":["AS012","RS001"],"casualties":["RS001"],"classification":["RS001"],"motive":[],"outcome":["RS001"]}</x:v>
      </x:c>
      <x:c r="AR15" s="2"/>
      <x:c r="AS15" s="9"/>
      <x:c r="AT15" s="9"/>
      <x:c r="AU15" s="9"/>
      <x:c r="AV15" s="2"/>
      <x:c r="AW15" s="2"/>
      <x:c r="AX15" s="9"/>
      <x:c r="AY15" s="10"/>
      <x:c r="AZ15" s="7"/>
      <x:c r="BA15" s="7"/>
      <x:c r="BB15" s="7"/>
      <x:c r="BC15" s="7" t="str">
        <x:v>案发日为8月20日，非报道日8月21日。</x:v>
      </x:c>
      <x:c r="BD15" s="2" t="str">
        <x:v>是</x:v>
      </x:c>
      <x:c r="BE15" s="2" t="str">
        <x:v>是</x:v>
      </x:c>
      <x:c r="BF15" s="2" t="str">
        <x:v>官方事实直接支持；后续警方通气会披露持双刀沿多路段行凶，逃离中主动砍伤过路女子并抢夺其电动车；该官方具体攻击过程支持原纠纷之外的过路者目标，证据强于仅初报多名路人受伤。</x:v>
      </x:c>
      <x:c r="BG15" s="2" t="str"/>
      <x:c r="BH15" s="9" t="n">
        <x:v>2018</x:v>
      </x:c>
      <x:c r="BI15" s="9" t="n">
        <x:v>0</x:v>
      </x:c>
      <x:c r="BJ15" s="9" t="n">
        <x:v>7</x:v>
      </x:c>
      <x:c r="BK15" s="9" t="n">
        <x:v>1</x:v>
      </x:c>
      <x:c r="BL15" s="9" t="n">
        <x:v>0</x:v>
      </x:c>
      <x:c r="BM15" s="9" t="n">
        <x:v>1</x:v>
      </x:c>
      <x:c r="BN15" s="9" t="n">
        <x:v>0</x:v>
      </x:c>
      <x:c r="BO15" s="9" t="n">
        <x:v>0</x:v>
      </x:c>
    </x:row>
    <x:row r="16" ht="38" customHeight="1">
      <x:c r="A16" s="2" t="str">
        <x:v>A011</x:v>
      </x:c>
      <x:c r="B16" s="2" t="str">
        <x:v>2018-09-12</x:v>
      </x:c>
      <x:c r="C16" s="7" t="str">
        <x:v>衡东洣江广场驾车及持械袭击</x:v>
      </x:c>
      <x:c r="D16" s="2" t="str">
        <x:v>湖南</x:v>
      </x:c>
      <x:c r="E16" s="2" t="str">
        <x:v>衡阳</x:v>
      </x:c>
      <x:c r="F16" s="2" t="str">
        <x:v>core</x:v>
      </x:c>
      <x:c r="G16" s="2" t="str">
        <x:v>公园广场</x:v>
      </x:c>
      <x:c r="H16" s="2" t="str">
        <x:v>复合</x:v>
      </x:c>
      <x:c r="I16" s="9" t="n">
        <x:v>15</x:v>
      </x:c>
      <x:c r="J16" s="9" t="n">
        <x:v>43</x:v>
      </x:c>
      <x:c r="K16" s="2"/>
      <x:c r="L16" s="9"/>
      <x:c r="M16" s="9"/>
      <x:c r="N16" s="10" t="n">
        <x:v>43494</x:v>
      </x:c>
      <x:c r="O16" s="7" t="str">
        <x:v>法院后续为43伤；不采用部分汇编44伤。</x:v>
      </x:c>
      <x:c r="P16" s="7" t="str">
        <x:v>法院认定驾车及持械攻击广场公共人群，目标与其个人怨恨无关。</x:v>
      </x:c>
      <x:c r="Q16" s="2" t="str">
        <x:v>衡东</x:v>
      </x:c>
      <x:c r="R16" s="2"/>
      <x:c r="S16" s="2" t="str">
        <x:v>day</x:v>
      </x:c>
      <x:c r="T16" s="2"/>
      <x:c r="U16" s="2"/>
      <x:c r="V16" s="9" t="n">
        <x:v>6</x:v>
      </x:c>
      <x:c r="W16" s="9"/>
      <x:c r="X16" s="9"/>
      <x:c r="Y16" s="2"/>
      <x:c r="Z16" s="2" t="str">
        <x:v>广场群众</x:v>
      </x:c>
      <x:c r="AA16" s="9"/>
      <x:c r="AB16" s="2" t="str">
        <x:v>男</x:v>
      </x:c>
      <x:c r="AC16" s="2"/>
      <x:c r="AD16" s="7" t="str">
        <x:v>因个人经历及不满产生报复社会念头。</x:v>
      </x:c>
      <x:c r="AE16" s="2" t="str">
        <x:v>报复社会</x:v>
      </x:c>
      <x:c r="AF16" s="2" t="str">
        <x:v>法院认定</x:v>
      </x:c>
      <x:c r="AG16" s="2"/>
      <x:c r="AH16" s="2"/>
      <x:c r="AI16" s="2"/>
      <x:c r="AJ16" s="2"/>
      <x:c r="AK16" s="2" t="str">
        <x:v>死刑并已执行。</x:v>
      </x:c>
      <x:c r="AL16" s="10" t="n">
        <x:v>43446</x:v>
      </x:c>
      <x:c r="AM16" s="10" t="n">
        <x:v>43494</x:v>
      </x:c>
      <x:c r="AN16" s="10" t="n">
        <x:v>43494</x:v>
      </x:c>
      <x:c r="AO16" s="2" t="str">
        <x:v>官方转载</x:v>
      </x:c>
      <x:c r="AP16" s="7" t="str">
        <x:v>AS013</x:v>
      </x:c>
      <x:c r="AQ16" s="7" t="str">
        <x:v>{"date":["AS013"],"location":["AS013"],"casualties":["AS013"],"classification":["AS013"],"motive":["AS013"],"outcome":["AS013"]}</x:v>
      </x:c>
      <x:c r="AR16" s="2"/>
      <x:c r="AS16" s="9"/>
      <x:c r="AT16" s="9"/>
      <x:c r="AU16" s="9"/>
      <x:c r="AV16" s="2"/>
      <x:c r="AW16" s="2"/>
      <x:c r="AX16" s="9"/>
      <x:c r="AY16" s="10"/>
      <x:c r="AZ16" s="7"/>
      <x:c r="BA16" s="7"/>
      <x:c r="BB16" s="7"/>
      <x:c r="BC16" s="7"/>
      <x:c r="BD16" s="2" t="str">
        <x:v>是</x:v>
      </x:c>
      <x:c r="BE16" s="2" t="str">
        <x:v>是</x:v>
      </x:c>
      <x:c r="BF16" s="2" t="str">
        <x:v>官方事实直接支持；法院认定个人怨恨后驾车冲撞广场公共人群并下车继续持械袭击，行为指向与原怨恨无关的在场公众。</x:v>
      </x:c>
      <x:c r="BG16" s="2" t="str">
        <x:v>泄愤／转移报复</x:v>
      </x:c>
      <x:c r="BH16" s="9" t="n">
        <x:v>2018</x:v>
      </x:c>
      <x:c r="BI16" s="9" t="n">
        <x:v>15</x:v>
      </x:c>
      <x:c r="BJ16" s="9" t="n">
        <x:v>43</x:v>
      </x:c>
      <x:c r="BK16" s="9" t="n">
        <x:v>1</x:v>
      </x:c>
      <x:c r="BL16" s="9" t="n">
        <x:v>1</x:v>
      </x:c>
      <x:c r="BM16" s="9" t="n">
        <x:v>1</x:v>
      </x:c>
      <x:c r="BN16" s="9" t="n">
        <x:v>0</x:v>
      </x:c>
      <x:c r="BO16" s="9" t="n">
        <x:v>0</x:v>
      </x:c>
    </x:row>
    <x:row r="17" ht="38" customHeight="1">
      <x:c r="A17" s="2" t="str">
        <x:v>A012</x:v>
      </x:c>
      <x:c r="B17" s="2" t="str">
        <x:v>2018-09-12</x:v>
      </x:c>
      <x:c r="C17" s="7" t="str">
        <x:v>北京海淀西山壹号院东门车辆冲撞</x:v>
      </x:c>
      <x:c r="D17" s="2" t="str">
        <x:v>北京</x:v>
      </x:c>
      <x:c r="E17" s="2" t="str">
        <x:v>北京</x:v>
      </x:c>
      <x:c r="F17" s="2" t="str">
        <x:v>core</x:v>
      </x:c>
      <x:c r="G17" s="2" t="str">
        <x:v>街道交通</x:v>
      </x:c>
      <x:c r="H17" s="2" t="str">
        <x:v>驾车</x:v>
      </x:c>
      <x:c r="I17" s="9" t="n">
        <x:v>0</x:v>
      </x:c>
      <x:c r="J17" s="9" t="n">
        <x:v>2</x:v>
      </x:c>
      <x:c r="K17" s="2"/>
      <x:c r="L17" s="9"/>
      <x:c r="M17" s="9"/>
      <x:c r="N17" s="10" t="n">
        <x:v>43747</x:v>
      </x:c>
      <x:c r="O17" s="7" t="str">
        <x:v>1名全身软组织损伤、1名轻微伤。</x:v>
      </x:c>
      <x:c r="P17" s="7" t="str">
        <x:v>法院认定为发泄家庭争执愤怒，肆意冲撞公共道路车辆；未发现先攻击丈夫的情节，按转移攻击无关人员归core。</x:v>
      </x:c>
      <x:c r="Q17" s="2" t="str">
        <x:v>海淀</x:v>
      </x:c>
      <x:c r="R17" s="2"/>
      <x:c r="S17" s="2" t="str">
        <x:v>day</x:v>
      </x:c>
      <x:c r="T17" s="2"/>
      <x:c r="U17" s="2"/>
      <x:c r="V17" s="9"/>
      <x:c r="W17" s="9"/>
      <x:c r="X17" s="9"/>
      <x:c r="Y17" s="2"/>
      <x:c r="Z17" s="2"/>
      <x:c r="AA17" s="9"/>
      <x:c r="AB17" s="2" t="str">
        <x:v>女</x:v>
      </x:c>
      <x:c r="AC17" s="2"/>
      <x:c r="AD17" s="7" t="str">
        <x:v>家庭争执后的个人泄愤。</x:v>
      </x:c>
      <x:c r="AE17" s="2" t="str">
        <x:v>家庭纠纷；转移报复</x:v>
      </x:c>
      <x:c r="AF17" s="2" t="str">
        <x:v>法院认定</x:v>
      </x:c>
      <x:c r="AG17" s="2"/>
      <x:c r="AH17" s="2"/>
      <x:c r="AI17" s="2"/>
      <x:c r="AJ17" s="2" t="str">
        <x:v>群众报警，本人在现场等候。</x:v>
      </x:c>
      <x:c r="AK17" s="2" t="str">
        <x:v>一审有期徒刑6年。</x:v>
      </x:c>
      <x:c r="AL17" s="10"/>
      <x:c r="AM17" s="10"/>
      <x:c r="AN17" s="10" t="n">
        <x:v>43747</x:v>
      </x:c>
      <x:c r="AO17" s="2" t="str">
        <x:v>官方转载</x:v>
      </x:c>
      <x:c r="AP17" s="7" t="str">
        <x:v>AS014</x:v>
      </x:c>
      <x:c r="AQ17" s="7" t="str">
        <x:v>{"date":["AS014"],"location":["AS014"],"casualties":["AS014"],"classification":["AS014"],"motive":["AS014"],"outcome":["AS014"]}</x:v>
      </x:c>
      <x:c r="AR17" s="2"/>
      <x:c r="AS17" s="9"/>
      <x:c r="AT17" s="9"/>
      <x:c r="AU17" s="9"/>
      <x:c r="AV17" s="2"/>
      <x:c r="AW17" s="2"/>
      <x:c r="AX17" s="9"/>
      <x:c r="AY17" s="10"/>
      <x:c r="AZ17" s="7"/>
      <x:c r="BA17" s="7"/>
      <x:c r="BB17" s="7"/>
      <x:c r="BC17" s="7" t="str">
        <x:v>报道日为10月9日，实际宣判日只写近日，judgment_date留空。</x:v>
      </x:c>
      <x:c r="BD17" s="2" t="str">
        <x:v>是</x:v>
      </x:c>
      <x:c r="BE17" s="2" t="str">
        <x:v>否</x:v>
      </x:c>
      <x:c r="BF17" s="2" t="str">
        <x:v>官方确认发生；随机性／扩大关系含研究解释；法院认定家庭争执后泄愤冲撞停放及正常行驶车辆，但现有记载未明确各被害人与原争执的关系；核心而非纠纷扩大的区分仍含研究解释，原理由中的未发现先攻击丈夫不构成正面证据。</x:v>
      </x:c>
      <x:c r="BG17" s="2" t="str">
        <x:v>婚姻／家庭／感情问题；泄愤／转移报复</x:v>
      </x:c>
      <x:c r="BH17" s="9" t="n">
        <x:v>2018</x:v>
      </x:c>
      <x:c r="BI17" s="9" t="n">
        <x:v>0</x:v>
      </x:c>
      <x:c r="BJ17" s="9" t="n">
        <x:v>2</x:v>
      </x:c>
      <x:c r="BK17" s="9" t="n">
        <x:v>0</x:v>
      </x:c>
      <x:c r="BL17" s="9" t="n">
        <x:v>1</x:v>
      </x:c>
      <x:c r="BM17" s="9" t="n">
        <x:v>1</x:v>
      </x:c>
      <x:c r="BN17" s="9" t="n">
        <x:v>0</x:v>
      </x:c>
      <x:c r="BO17" s="9" t="n">
        <x:v>0</x:v>
      </x:c>
    </x:row>
    <x:row r="18" ht="38" customHeight="1">
      <x:c r="A18" s="2" t="str">
        <x:v>A049</x:v>
      </x:c>
      <x:c r="B18" s="2" t="str">
        <x:v>2018-10-10</x:v>
      </x:c>
      <x:c r="C18" s="7" t="str">
        <x:v>重庆锦龙路公交站及891路公交车持械袭击</x:v>
      </x:c>
      <x:c r="D18" s="2" t="str">
        <x:v>重庆</x:v>
      </x:c>
      <x:c r="E18" s="2" t="str">
        <x:v>重庆</x:v>
      </x:c>
      <x:c r="F18" s="2" t="str">
        <x:v>core</x:v>
      </x:c>
      <x:c r="G18" s="2" t="str">
        <x:v>公共交通</x:v>
      </x:c>
      <x:c r="H18" s="2" t="str">
        <x:v>持械</x:v>
      </x:c>
      <x:c r="I18" s="9" t="n">
        <x:v>0</x:v>
      </x:c>
      <x:c r="J18" s="9" t="n">
        <x:v>5</x:v>
      </x:c>
      <x:c r="K18" s="2"/>
      <x:c r="L18" s="9"/>
      <x:c r="M18" s="9"/>
      <x:c r="N18" s="10" t="n">
        <x:v>43419</x:v>
      </x:c>
      <x:c r="O18" s="7" t="str">
        <x:v>3名候车学生、1名家长及1名司机共5伤；被劫持女孩未记受伤，不加数。</x:v>
      </x:c>
      <x:c r="P18" s="7" t="str">
        <x:v>警方确认家庭变故后向候车学生家长泄愤，进一步劫持车内陌生女孩并攻击司机。</x:v>
      </x:c>
      <x:c r="Q18" s="2" t="str">
        <x:v>九龙坡</x:v>
      </x:c>
      <x:c r="R18" s="2"/>
      <x:c r="S18" s="2" t="str">
        <x:v>day</x:v>
      </x:c>
      <x:c r="T18" s="2"/>
      <x:c r="U18" s="2"/>
      <x:c r="V18" s="9"/>
      <x:c r="W18" s="9"/>
      <x:c r="X18" s="9"/>
      <x:c r="Y18" s="2" t="str">
        <x:v>是</x:v>
      </x:c>
      <x:c r="Z18" s="2" t="str">
        <x:v>无关候车学生、家长、公交司机及被劫持女孩</x:v>
      </x:c>
      <x:c r="AA18" s="9" t="n">
        <x:v>44</x:v>
      </x:c>
      <x:c r="AB18" s="2" t="str">
        <x:v>男</x:v>
      </x:c>
      <x:c r="AC18" s="2"/>
      <x:c r="AD18" s="7" t="str">
        <x:v>警方认定家庭变故后酒后泄愤。</x:v>
      </x:c>
      <x:c r="AE18" s="2" t="str">
        <x:v>家庭变故；泄愤</x:v>
      </x:c>
      <x:c r="AF18" s="2" t="str">
        <x:v>警方初步通报</x:v>
      </x:c>
      <x:c r="AG18" s="2"/>
      <x:c r="AH18" s="2"/>
      <x:c r="AI18" s="2"/>
      <x:c r="AJ18" s="2" t="str">
        <x:v>司机营救女孩并阻止抢车；嫌疑人逃离后50分钟被警方抓获。</x:v>
      </x:c>
      <x:c r="AK18" s="2" t="str">
        <x:v>刑事拘留；未检出后续裁判。</x:v>
      </x:c>
      <x:c r="AL18" s="10"/>
      <x:c r="AM18" s="10"/>
      <x:c r="AN18" s="10" t="n">
        <x:v>43419</x:v>
      </x:c>
      <x:c r="AO18" s="2" t="str">
        <x:v>官方转载</x:v>
      </x:c>
      <x:c r="AP18" s="7" t="str">
        <x:v>AS053；AS054</x:v>
      </x:c>
      <x:c r="AQ18" s="7" t="str">
        <x:v>{"date":["AS053","AS054"],"location":["AS053","AS054"],"casualties":["AS053","AS054"],"classification":["AS053","AS054"],"motive":["AS053","AS054"],"outcome":["AS053","AS054"]}</x:v>
      </x:c>
      <x:c r="AR18" s="2"/>
      <x:c r="AS18" s="9"/>
      <x:c r="AT18" s="9"/>
      <x:c r="AU18" s="9"/>
      <x:c r="AV18" s="2"/>
      <x:c r="AW18" s="2"/>
      <x:c r="AX18" s="9"/>
      <x:c r="AY18" s="10"/>
      <x:c r="AZ18" s="7"/>
      <x:c r="BA18" s="7"/>
      <x:c r="BB18" s="7"/>
      <x:c r="BC18" s="7"/>
      <x:c r="BD18" s="2" t="str">
        <x:v>是</x:v>
      </x:c>
      <x:c r="BE18" s="2" t="str">
        <x:v>是</x:v>
      </x:c>
      <x:c r="BF18" s="2" t="str">
        <x:v>官方事实直接支持；警方明确家庭变故后酒后泄愤，攻击候车学生家长并劫持车内女孩、伤害司机，官方过程直接支持无关公众目标。</x:v>
      </x:c>
      <x:c r="BG18" s="2" t="str">
        <x:v>婚姻／家庭／感情问题；泄愤／转移报复</x:v>
      </x:c>
      <x:c r="BH18" s="9" t="n">
        <x:v>2018</x:v>
      </x:c>
      <x:c r="BI18" s="9" t="n">
        <x:v>0</x:v>
      </x:c>
      <x:c r="BJ18" s="9" t="n">
        <x:v>5</x:v>
      </x:c>
      <x:c r="BK18" s="9" t="n">
        <x:v>1</x:v>
      </x:c>
      <x:c r="BL18" s="9" t="n">
        <x:v>1</x:v>
      </x:c>
      <x:c r="BM18" s="9" t="n">
        <x:v>0</x:v>
      </x:c>
      <x:c r="BN18" s="9" t="n">
        <x:v>0</x:v>
      </x:c>
      <x:c r="BO18" s="9" t="n">
        <x:v>0</x:v>
      </x:c>
    </x:row>
    <x:row r="19" ht="38" customHeight="1">
      <x:c r="A19" s="2" t="str">
        <x:v>A013</x:v>
      </x:c>
      <x:c r="B19" s="2" t="str">
        <x:v>2018-10-26</x:v>
      </x:c>
      <x:c r="C19" s="7" t="str">
        <x:v>重庆鱼洞新世纪幼儿园袭击</x:v>
      </x:c>
      <x:c r="D19" s="2" t="str">
        <x:v>重庆</x:v>
      </x:c>
      <x:c r="E19" s="2" t="str">
        <x:v>重庆</x:v>
      </x:c>
      <x:c r="F19" s="2" t="str">
        <x:v>core</x:v>
      </x:c>
      <x:c r="G19" s="2" t="str">
        <x:v>校园及周边</x:v>
      </x:c>
      <x:c r="H19" s="2" t="str">
        <x:v>持械</x:v>
      </x:c>
      <x:c r="I19" s="9" t="n">
        <x:v>0</x:v>
      </x:c>
      <x:c r="J19" s="9" t="n">
        <x:v>14</x:v>
      </x:c>
      <x:c r="K19" s="2"/>
      <x:c r="L19" s="9"/>
      <x:c r="M19" s="9"/>
      <x:c r="N19" s="10" t="n">
        <x:v>43400</x:v>
      </x:c>
      <x:c r="O19" s="7" t="str">
        <x:v>重症临床描述未转化为司法重伤数；无人员死亡的警方澄清优先。</x:v>
      </x:c>
      <x:c r="P19" s="7" t="str">
        <x:v>公安负责人明确突然冲入幼儿群体持刀行凶，非特定私人对象。</x:v>
      </x:c>
      <x:c r="Q19" s="2" t="str">
        <x:v>巴南</x:v>
      </x:c>
      <x:c r="R19" s="2"/>
      <x:c r="S19" s="2" t="str">
        <x:v>day</x:v>
      </x:c>
      <x:c r="T19" s="2"/>
      <x:c r="U19" s="2"/>
      <x:c r="V19" s="9"/>
      <x:c r="W19" s="9"/>
      <x:c r="X19" s="9"/>
      <x:c r="Y19" s="2" t="str">
        <x:v>是</x:v>
      </x:c>
      <x:c r="Z19" s="2" t="str">
        <x:v>幼儿园儿童</x:v>
      </x:c>
      <x:c r="AA19" s="9" t="n">
        <x:v>39</x:v>
      </x:c>
      <x:c r="AB19" s="2" t="str">
        <x:v>女</x:v>
      </x:c>
      <x:c r="AC19" s="2"/>
      <x:c r="AD19" s="7"/>
      <x:c r="AE19" s="2" t="str"/>
      <x:c r="AF19" s="2" t="str">
        <x:v>未知</x:v>
      </x:c>
      <x:c r="AG19" s="2"/>
      <x:c r="AH19" s="2"/>
      <x:c r="AI19" s="2"/>
      <x:c r="AJ19" s="2" t="str">
        <x:v>现场被抓获。</x:v>
      </x:c>
      <x:c r="AK19" s="2" t="str">
        <x:v>被控制；未检出公开终审。</x:v>
      </x:c>
      <x:c r="AL19" s="10"/>
      <x:c r="AM19" s="10"/>
      <x:c r="AN19" s="10" t="n">
        <x:v>43400</x:v>
      </x:c>
      <x:c r="AO19" s="2" t="str">
        <x:v>官方转载</x:v>
      </x:c>
      <x:c r="AP19" s="7" t="str">
        <x:v>AS015；AS016</x:v>
      </x:c>
      <x:c r="AQ19" s="7" t="str">
        <x:v>{"date":["AS015","AS016"],"location":["AS015","AS016"],"casualties":["AS015","AS016"],"classification":["AS015","AS016"],"motive":[],"outcome":["AS015","AS016"]}</x:v>
      </x:c>
      <x:c r="AR19" s="2"/>
      <x:c r="AS19" s="9"/>
      <x:c r="AT19" s="9"/>
      <x:c r="AU19" s="9"/>
      <x:c r="AV19" s="2"/>
      <x:c r="AW19" s="2"/>
      <x:c r="AX19" s="9"/>
      <x:c r="AY19" s="10"/>
      <x:c r="AZ19" s="7"/>
      <x:c r="BA19" s="7"/>
      <x:c r="BB19" s="7"/>
      <x:c r="BC19" s="7"/>
      <x:c r="BD19" s="2" t="str">
        <x:v>是</x:v>
      </x:c>
      <x:c r="BE19" s="2" t="str">
        <x:v>否</x:v>
      </x:c>
      <x:c r="BF19" s="2" t="str">
        <x:v>官方确认发生；随机性／扩大关系含研究解释；公安负责人确认突然冲入幼儿群体持刀行凶，官方事实支持校园群体袭击；被害关系、原始目标及无关性没有明确披露，非特定私人对象为研究者依据场景作出的分类解释。</x:v>
      </x:c>
      <x:c r="BG19" s="2" t="str"/>
      <x:c r="BH19" s="9" t="n">
        <x:v>2018</x:v>
      </x:c>
      <x:c r="BI19" s="9" t="n">
        <x:v>0</x:v>
      </x:c>
      <x:c r="BJ19" s="9" t="n">
        <x:v>14</x:v>
      </x:c>
      <x:c r="BK19" s="9" t="n">
        <x:v>0</x:v>
      </x:c>
      <x:c r="BL19" s="9" t="n">
        <x:v>0</x:v>
      </x:c>
      <x:c r="BM19" s="9" t="n">
        <x:v>0</x:v>
      </x:c>
      <x:c r="BN19" s="9" t="n">
        <x:v>0</x:v>
      </x:c>
      <x:c r="BO19" s="9" t="n">
        <x:v>0</x:v>
      </x:c>
    </x:row>
    <x:row r="20" ht="38" customHeight="1">
      <x:c r="A20" s="2" t="str">
        <x:v>A014</x:v>
      </x:c>
      <x:c r="B20" s="2" t="str">
        <x:v>2018-10-28</x:v>
      </x:c>
      <x:c r="C20" s="7" t="str">
        <x:v>重庆万州公交车坠江（排除）</x:v>
      </x:c>
      <x:c r="D20" s="2" t="str">
        <x:v>重庆</x:v>
      </x:c>
      <x:c r="E20" s="2" t="str">
        <x:v>重庆</x:v>
      </x:c>
      <x:c r="F20" s="2" t="str">
        <x:v>excluded</x:v>
      </x:c>
      <x:c r="G20" s="2" t="str">
        <x:v>公共交通</x:v>
      </x:c>
      <x:c r="H20" s="2" t="str">
        <x:v>驾车</x:v>
      </x:c>
      <x:c r="I20" s="9"/>
      <x:c r="J20" s="9"/>
      <x:c r="K20" s="2"/>
      <x:c r="L20" s="9"/>
      <x:c r="M20" s="9" t="n">
        <x:v>13</x:v>
      </x:c>
      <x:c r="N20" s="10" t="n">
        <x:v>43406</x:v>
      </x:c>
      <x:c r="O20" s="7" t="str">
        <x:v>通报明确15名驾乘人员、打捞13名遗体；与随机袭击统计隔离，不把失联直接转换为精确死亡。</x:v>
      </x:c>
      <x:c r="P20" s="7" t="str">
        <x:v>官方查明由司机与乘客争执互殴导致车辆失控，缺少主动以无关乘客为攻击目标的证据。</x:v>
      </x:c>
      <x:c r="Q20" s="2" t="str">
        <x:v>万州</x:v>
      </x:c>
      <x:c r="R20" s="2"/>
      <x:c r="S20" s="2" t="str">
        <x:v>day</x:v>
      </x:c>
      <x:c r="T20" s="2"/>
      <x:c r="U20" s="2"/>
      <x:c r="V20" s="9"/>
      <x:c r="W20" s="9"/>
      <x:c r="X20" s="9"/>
      <x:c r="Y20" s="2"/>
      <x:c r="Z20" s="2" t="str">
        <x:v>司机与争执乘客、其他乘客</x:v>
      </x:c>
      <x:c r="AA20" s="9"/>
      <x:c r="AB20" s="2"/>
      <x:c r="AC20" s="2"/>
      <x:c r="AD20" s="7" t="str">
        <x:v>坐过站后的争执与互殴。</x:v>
      </x:c>
      <x:c r="AE20" s="2" t="str">
        <x:v>乘车纠纷</x:v>
      </x:c>
      <x:c r="AF20" s="2" t="str">
        <x:v>警方初步通报</x:v>
      </x:c>
      <x:c r="AG20" s="2"/>
      <x:c r="AH20" s="2"/>
      <x:c r="AI20" s="2"/>
      <x:c r="AJ20" s="2"/>
      <x:c r="AK20" s="2" t="str">
        <x:v>双方均涉嫌危害公共安全；官方调查原因已公布。</x:v>
      </x:c>
      <x:c r="AL20" s="10"/>
      <x:c r="AM20" s="10"/>
      <x:c r="AN20" s="10" t="n">
        <x:v>43406</x:v>
      </x:c>
      <x:c r="AO20" s="2" t="str">
        <x:v>官方转载</x:v>
      </x:c>
      <x:c r="AP20" s="7" t="str">
        <x:v>AS017</x:v>
      </x:c>
      <x:c r="AQ20" s="7" t="str">
        <x:v>{"date":["AS017"],"location":["AS017"],"casualties":["AS017"],"classification":["AS017"],"motive":["AS017"],"outcome":["AS017"]}</x:v>
      </x:c>
      <x:c r="AR20" s="2"/>
      <x:c r="AS20" s="9"/>
      <x:c r="AT20" s="9"/>
      <x:c r="AU20" s="9"/>
      <x:c r="AV20" s="2"/>
      <x:c r="AW20" s="2"/>
      <x:c r="AX20" s="9"/>
      <x:c r="AY20" s="10"/>
      <x:c r="AZ20" s="7"/>
      <x:c r="BA20" s="7"/>
      <x:c r="BB20" s="7"/>
      <x:c r="BC20" s="7"/>
      <x:c r="BD20" s="2" t="str">
        <x:v>是</x:v>
      </x:c>
      <x:c r="BE20" s="2" t="str">
        <x:v>否</x:v>
      </x:c>
      <x:c r="BF20" s="2" t="str">
        <x:v>媒体调查／研究推断</x:v>
      </x:c>
      <x:c r="BG20" s="2" t="str">
        <x:v>其他已披露背景</x:v>
      </x:c>
      <x:c r="BH20" s="9" t="n">
        <x:v>2018</x:v>
      </x:c>
      <x:c r="BI20" s="9" t="n">
        <x:v>13</x:v>
      </x:c>
      <x:c r="BJ20" s="9" t="n">
        <x:v>0</x:v>
      </x:c>
      <x:c r="BK20" s="9" t="n">
        <x:v>0</x:v>
      </x:c>
      <x:c r="BL20" s="9" t="n">
        <x:v>1</x:v>
      </x:c>
      <x:c r="BM20" s="9" t="n">
        <x:v>0</x:v>
      </x:c>
      <x:c r="BN20" s="9" t="n">
        <x:v>1</x:v>
      </x:c>
      <x:c r="BO20" s="9" t="n">
        <x:v>1</x:v>
      </x:c>
    </x:row>
    <x:row r="21" ht="38" customHeight="1">
      <x:c r="A21" s="2" t="str">
        <x:v>A015</x:v>
      </x:c>
      <x:c r="B21" s="2" t="str">
        <x:v>2018-11-22</x:v>
      </x:c>
      <x:c r="C21" s="7" t="str">
        <x:v>建昌二小周边驾车撞学生</x:v>
      </x:c>
      <x:c r="D21" s="2" t="str">
        <x:v>辽宁</x:v>
      </x:c>
      <x:c r="E21" s="2" t="str">
        <x:v>葫芦岛</x:v>
      </x:c>
      <x:c r="F21" s="2" t="str">
        <x:v>core</x:v>
      </x:c>
      <x:c r="G21" s="2" t="str">
        <x:v>校园及周边</x:v>
      </x:c>
      <x:c r="H21" s="2" t="str">
        <x:v>驾车</x:v>
      </x:c>
      <x:c r="I21" s="9" t="n">
        <x:v>6</x:v>
      </x:c>
      <x:c r="J21" s="9" t="n">
        <x:v>20</x:v>
      </x:c>
      <x:c r="K21" s="2"/>
      <x:c r="L21" s="9"/>
      <x:c r="M21" s="9"/>
      <x:c r="N21" s="10" t="n">
        <x:v>43655</x:v>
      </x:c>
      <x:c r="O21" s="7" t="str">
        <x:v>6名死者均为儿童。</x:v>
      </x:c>
      <x:c r="P21" s="7" t="str">
        <x:v>法院查明因个人生活问题蓄意冲撞无关学生队伍。</x:v>
      </x:c>
      <x:c r="Q21" s="2" t="str">
        <x:v>建昌</x:v>
      </x:c>
      <x:c r="R21" s="2"/>
      <x:c r="S21" s="2" t="str">
        <x:v>day</x:v>
      </x:c>
      <x:c r="T21" s="2"/>
      <x:c r="U21" s="2"/>
      <x:c r="V21" s="9"/>
      <x:c r="W21" s="9"/>
      <x:c r="X21" s="9"/>
      <x:c r="Y21" s="2" t="str">
        <x:v>是</x:v>
      </x:c>
      <x:c r="Z21" s="2" t="str">
        <x:v>学生及带队教师</x:v>
      </x:c>
      <x:c r="AA21" s="9"/>
      <x:c r="AB21" s="2" t="str">
        <x:v>男</x:v>
      </x:c>
      <x:c r="AC21" s="2"/>
      <x:c r="AD21" s="7" t="str">
        <x:v>经济压力、婚姻及人际问题等不满。</x:v>
      </x:c>
      <x:c r="AE21" s="2" t="str">
        <x:v>经济压力；婚姻矛盾；泄愤</x:v>
      </x:c>
      <x:c r="AF21" s="2" t="str">
        <x:v>法院认定</x:v>
      </x:c>
      <x:c r="AG21" s="2"/>
      <x:c r="AH21" s="2"/>
      <x:c r="AI21" s="2"/>
      <x:c r="AJ21" s="2"/>
      <x:c r="AK21" s="2" t="str">
        <x:v>一审死刑；未核实执行公告。</x:v>
      </x:c>
      <x:c r="AL21" s="10" t="n">
        <x:v>43655</x:v>
      </x:c>
      <x:c r="AM21" s="10"/>
      <x:c r="AN21" s="10" t="n">
        <x:v>43655</x:v>
      </x:c>
      <x:c r="AO21" s="2" t="str">
        <x:v>官方转载</x:v>
      </x:c>
      <x:c r="AP21" s="7" t="str">
        <x:v>AS018</x:v>
      </x:c>
      <x:c r="AQ21" s="7" t="str">
        <x:v>{"date":["AS018"],"location":["AS018"],"casualties":["AS018"],"classification":["AS018"],"motive":["AS018"],"outcome":["AS018"]}</x:v>
      </x:c>
      <x:c r="AR21" s="2"/>
      <x:c r="AS21" s="9"/>
      <x:c r="AT21" s="9"/>
      <x:c r="AU21" s="9"/>
      <x:c r="AV21" s="2"/>
      <x:c r="AW21" s="2"/>
      <x:c r="AX21" s="9"/>
      <x:c r="AY21" s="10"/>
      <x:c r="AZ21" s="7"/>
      <x:c r="BA21" s="7"/>
      <x:c r="BB21" s="7"/>
      <x:c r="BC21" s="7"/>
      <x:c r="BD21" s="2" t="str">
        <x:v>是</x:v>
      </x:c>
      <x:c r="BE21" s="2" t="str">
        <x:v>是</x:v>
      </x:c>
      <x:c r="BF21" s="2" t="str">
        <x:v>官方事实直接支持；法院认定经济、婚姻等个人不满后蓄意冲撞学生队伍，官方行为事实支持将个人不满转向无关学生。</x:v>
      </x:c>
      <x:c r="BG21" s="2" t="str">
        <x:v>婚姻／家庭／感情问题；泄愤／转移报复；经济／工作／财产纠纷</x:v>
      </x:c>
      <x:c r="BH21" s="9" t="n">
        <x:v>2018</x:v>
      </x:c>
      <x:c r="BI21" s="9" t="n">
        <x:v>6</x:v>
      </x:c>
      <x:c r="BJ21" s="9" t="n">
        <x:v>20</x:v>
      </x:c>
      <x:c r="BK21" s="9" t="n">
        <x:v>1</x:v>
      </x:c>
      <x:c r="BL21" s="9" t="n">
        <x:v>1</x:v>
      </x:c>
      <x:c r="BM21" s="9" t="n">
        <x:v>0</x:v>
      </x:c>
      <x:c r="BN21" s="9" t="n">
        <x:v>0</x:v>
      </x:c>
      <x:c r="BO21" s="9" t="n">
        <x:v>0</x:v>
      </x:c>
    </x:row>
    <x:row r="22" ht="38" customHeight="1">
      <x:c r="A22" s="2" t="str">
        <x:v>A016</x:v>
      </x:c>
      <x:c r="B22" s="2" t="str">
        <x:v>2018-12-05</x:v>
      </x:c>
      <x:c r="C22" s="7" t="str">
        <x:v>夹江3路公交车爆炸</x:v>
      </x:c>
      <x:c r="D22" s="2" t="str">
        <x:v>四川</x:v>
      </x:c>
      <x:c r="E22" s="2" t="str">
        <x:v>乐山</x:v>
      </x:c>
      <x:c r="F22" s="2" t="str">
        <x:v>core</x:v>
      </x:c>
      <x:c r="G22" s="2" t="str">
        <x:v>公共交通</x:v>
      </x:c>
      <x:c r="H22" s="2" t="str">
        <x:v>爆炸</x:v>
      </x:c>
      <x:c r="I22" s="9" t="n">
        <x:v>0</x:v>
      </x:c>
      <x:c r="J22" s="9"/>
      <x:c r="K22" s="2" t="str">
        <x:v>法院列16名受司法鉴定伤者及其他多人受伤；初报17人。</x:v>
      </x:c>
      <x:c r="L22" s="9" t="n">
        <x:v>17</x:v>
      </x:c>
      <x:c r="M22" s="9"/>
      <x:c r="N22" s="10" t="n">
        <x:v>44122</x:v>
      </x:c>
      <x:c r="O22" s="7" t="str">
        <x:v>16名达到列明司法伤情，另有多人受伤；不把16当全体伤者，保守下限取17，精确值未知。</x:v>
      </x:c>
      <x:c r="P22" s="7" t="str">
        <x:v>法院认定为报复社会而袭击公交车上的无关乘客。</x:v>
      </x:c>
      <x:c r="Q22" s="2" t="str">
        <x:v>夹江</x:v>
      </x:c>
      <x:c r="R22" s="2"/>
      <x:c r="S22" s="2" t="str">
        <x:v>day</x:v>
      </x:c>
      <x:c r="T22" s="2"/>
      <x:c r="U22" s="2"/>
      <x:c r="V22" s="9" t="n">
        <x:v>1</x:v>
      </x:c>
      <x:c r="W22" s="9"/>
      <x:c r="X22" s="9"/>
      <x:c r="Y22" s="2"/>
      <x:c r="Z22" s="2" t="str">
        <x:v>公交乘客</x:v>
      </x:c>
      <x:c r="AA22" s="9"/>
      <x:c r="AB22" s="2" t="str">
        <x:v>男</x:v>
      </x:c>
      <x:c r="AC22" s="2"/>
      <x:c r="AD22" s="7" t="str">
        <x:v>土地补偿及家庭问题引发不满，转向报复社会。</x:v>
      </x:c>
      <x:c r="AE22" s="2" t="str">
        <x:v>土地补偿纠纷；家庭纠纷；报复社会</x:v>
      </x:c>
      <x:c r="AF22" s="2" t="str">
        <x:v>法院认定</x:v>
      </x:c>
      <x:c r="AG22" s="2"/>
      <x:c r="AH22" s="2"/>
      <x:c r="AI22" s="2"/>
      <x:c r="AJ22" s="2"/>
      <x:c r="AK22" s="2" t="str">
        <x:v>死刑缓期二年执行、限制减刑，二审维持。</x:v>
      </x:c>
      <x:c r="AL22" s="10" t="n">
        <x:v>43784</x:v>
      </x:c>
      <x:c r="AM22" s="10"/>
      <x:c r="AN22" s="10" t="n">
        <x:v>44122</x:v>
      </x:c>
      <x:c r="AO22" s="2" t="str">
        <x:v>官方转载</x:v>
      </x:c>
      <x:c r="AP22" s="7" t="str">
        <x:v>AS019</x:v>
      </x:c>
      <x:c r="AQ22" s="7" t="str">
        <x:v>{"date":["AS019"],"location":["AS019"],"casualties":["AS019"],"classification":["AS019"],"motive":["AS019"],"outcome":["AS019"]}</x:v>
      </x:c>
      <x:c r="AR22" s="2"/>
      <x:c r="AS22" s="9"/>
      <x:c r="AT22" s="9"/>
      <x:c r="AU22" s="9"/>
      <x:c r="AV22" s="2"/>
      <x:c r="AW22" s="2"/>
      <x:c r="AX22" s="9"/>
      <x:c r="AY22" s="10"/>
      <x:c r="AZ22" s="7"/>
      <x:c r="BA22" s="7"/>
      <x:c r="BB22" s="7"/>
      <x:c r="BC22" s="7"/>
      <x:c r="BD22" s="2" t="str">
        <x:v>是</x:v>
      </x:c>
      <x:c r="BE22" s="2" t="str">
        <x:v>是</x:v>
      </x:c>
      <x:c r="BF22" s="2" t="str">
        <x:v>官方事实直接支持；法院认定为报复社会在公交车引爆爆炸物，攻击目标为公共交通乘客。</x:v>
      </x:c>
      <x:c r="BG22" s="2" t="str">
        <x:v>婚姻／家庭／感情问题；泄愤／转移报复；经济／工作／财产纠纷</x:v>
      </x:c>
      <x:c r="BH22" s="9" t="n">
        <x:v>2018</x:v>
      </x:c>
      <x:c r="BI22" s="9" t="n">
        <x:v>0</x:v>
      </x:c>
      <x:c r="BJ22" s="9" t="n">
        <x:v>17</x:v>
      </x:c>
      <x:c r="BK22" s="9" t="n">
        <x:v>1</x:v>
      </x:c>
      <x:c r="BL22" s="9" t="n">
        <x:v>1</x:v>
      </x:c>
      <x:c r="BM22" s="9" t="n">
        <x:v>0</x:v>
      </x:c>
      <x:c r="BN22" s="9" t="n">
        <x:v>0</x:v>
      </x:c>
      <x:c r="BO22" s="9" t="n">
        <x:v>1</x:v>
      </x:c>
    </x:row>
    <x:row r="23" ht="38" customHeight="1">
      <x:c r="A23" s="2" t="str">
        <x:v>A017</x:v>
      </x:c>
      <x:c r="B23" s="2" t="str">
        <x:v>2018-12-25</x:v>
      </x:c>
      <x:c r="C23" s="7" t="str">
        <x:v>龙岩持刀袭击及劫持公交车冲撞</x:v>
      </x:c>
      <x:c r="D23" s="2" t="str">
        <x:v>福建</x:v>
      </x:c>
      <x:c r="E23" s="2" t="str">
        <x:v>龙岩</x:v>
      </x:c>
      <x:c r="F23" s="2" t="str">
        <x:v>expanded</x:v>
      </x:c>
      <x:c r="G23" s="2" t="str">
        <x:v>公共交通</x:v>
      </x:c>
      <x:c r="H23" s="2" t="str">
        <x:v>复合</x:v>
      </x:c>
      <x:c r="I23" s="9" t="n">
        <x:v>8</x:v>
      </x:c>
      <x:c r="J23" s="9" t="n">
        <x:v>25</x:v>
      </x:c>
      <x:c r="K23" s="2"/>
      <x:c r="L23" s="9"/>
      <x:c r="M23" s="9"/>
      <x:c r="N23" s="10" t="n">
        <x:v>43494</x:v>
      </x:c>
      <x:c r="O23" s="7" t="str">
        <x:v>采用法院后续8死25伤；不沿用初报5死或8死22伤。</x:v>
      </x:c>
      <x:c r="P23" s="7" t="str">
        <x:v>先攻击与本人相关的人员，继而劫车冲撞沿途无关群众，扩展到不特定人员。</x:v>
      </x:c>
      <x:c r="Q23" s="2" t="str">
        <x:v>新罗</x:v>
      </x:c>
      <x:c r="R23" s="2"/>
      <x:c r="S23" s="2" t="str">
        <x:v>day</x:v>
      </x:c>
      <x:c r="T23" s="2"/>
      <x:c r="U23" s="2"/>
      <x:c r="V23" s="9"/>
      <x:c r="W23" s="9"/>
      <x:c r="X23" s="9"/>
      <x:c r="Y23" s="2"/>
      <x:c r="Z23" s="2" t="str">
        <x:v>原有特定对象及沿途无关群众</x:v>
      </x:c>
      <x:c r="AA23" s="9" t="n">
        <x:v>48</x:v>
      </x:c>
      <x:c r="AB23" s="2" t="str">
        <x:v>男</x:v>
      </x:c>
      <x:c r="AC23" s="2" t="str">
        <x:v>无业</x:v>
      </x:c>
      <x:c r="AD23" s="7" t="str">
        <x:v>原有人际矛盾后袭击，继而劫持车辆危害公共安全。</x:v>
      </x:c>
      <x:c r="AE23" s="2" t="str">
        <x:v>人际纠纷；扩大报复</x:v>
      </x:c>
      <x:c r="AF23" s="2" t="str">
        <x:v>警方初步通报</x:v>
      </x:c>
      <x:c r="AG23" s="2"/>
      <x:c r="AH23" s="2"/>
      <x:c r="AI23" s="2"/>
      <x:c r="AJ23" s="2"/>
      <x:c r="AK23" s="2" t="str">
        <x:v>一审死刑；部分汇编称2019年8月执行，本轮未打开可靠原文核实，不录入执行日。</x:v>
      </x:c>
      <x:c r="AL23" s="10" t="n">
        <x:v>43493</x:v>
      </x:c>
      <x:c r="AM23" s="10"/>
      <x:c r="AN23" s="10" t="n">
        <x:v>43495</x:v>
      </x:c>
      <x:c r="AO23" s="2" t="str">
        <x:v>官方转载</x:v>
      </x:c>
      <x:c r="AP23" s="7" t="str">
        <x:v>AS020；AS055</x:v>
      </x:c>
      <x:c r="AQ23" s="7" t="str">
        <x:v>{"date":["AS020"],"location":["AS020"],"casualties":["AS020"],"classification":["AS055"],"motive":["AS055"],"outcome":["AS020"]}</x:v>
      </x:c>
      <x:c r="AR23" s="2"/>
      <x:c r="AS23" s="9"/>
      <x:c r="AT23" s="9"/>
      <x:c r="AU23" s="9"/>
      <x:c r="AV23" s="2"/>
      <x:c r="AW23" s="2"/>
      <x:c r="AX23" s="9"/>
      <x:c r="AY23" s="10"/>
      <x:c r="AZ23" s="7"/>
      <x:c r="BA23" s="7"/>
      <x:c r="BB23" s="7"/>
      <x:c r="BC23" s="7"/>
      <x:c r="BD23" s="2" t="str">
        <x:v>是</x:v>
      </x:c>
      <x:c r="BE23" s="2" t="str">
        <x:v>是</x:v>
      </x:c>
      <x:c r="BF23" s="2" t="str">
        <x:v>官方事实直接支持；法院和公安调查明确先因积怨攻击居委会等相关人员，随后劫持公交冲撞沿途群众，原目标到无关公众的扩大过程直接可见。</x:v>
      </x:c>
      <x:c r="BG23" s="2" t="str">
        <x:v>其他已披露背景</x:v>
      </x:c>
      <x:c r="BH23" s="9" t="n">
        <x:v>2018</x:v>
      </x:c>
      <x:c r="BI23" s="9" t="n">
        <x:v>8</x:v>
      </x:c>
      <x:c r="BJ23" s="9" t="n">
        <x:v>25</x:v>
      </x:c>
      <x:c r="BK23" s="9" t="n">
        <x:v>1</x:v>
      </x:c>
      <x:c r="BL23" s="9" t="n">
        <x:v>1</x:v>
      </x:c>
      <x:c r="BM23" s="9" t="n">
        <x:v>0</x:v>
      </x:c>
      <x:c r="BN23" s="9" t="n">
        <x:v>0</x:v>
      </x:c>
      <x:c r="BO23" s="9" t="n">
        <x:v>0</x:v>
      </x:c>
    </x:row>
    <x:row r="24" ht="38" customHeight="1">
      <x:c r="A24" s="2" t="str">
        <x:v>A018</x:v>
      </x:c>
      <x:c r="B24" s="2" t="str">
        <x:v>2019-01-08</x:v>
      </x:c>
      <x:c r="C24" s="7" t="str">
        <x:v>北京宣师一附小持械伤害学生</x:v>
      </x:c>
      <x:c r="D24" s="2" t="str">
        <x:v>北京</x:v>
      </x:c>
      <x:c r="E24" s="2" t="str">
        <x:v>北京</x:v>
      </x:c>
      <x:c r="F24" s="2" t="str">
        <x:v>core</x:v>
      </x:c>
      <x:c r="G24" s="2" t="str">
        <x:v>校园及周边</x:v>
      </x:c>
      <x:c r="H24" s="2" t="str">
        <x:v>持械</x:v>
      </x:c>
      <x:c r="I24" s="9" t="n">
        <x:v>0</x:v>
      </x:c>
      <x:c r="J24" s="9" t="n">
        <x:v>20</x:v>
      </x:c>
      <x:c r="K24" s="2"/>
      <x:c r="L24" s="9"/>
      <x:c r="M24" s="9"/>
      <x:c r="N24" s="10" t="n">
        <x:v>43473</x:v>
      </x:c>
      <x:c r="O24" s="7" t="str">
        <x:v>3人伤势较重属临床初报，未写入司法重伤字段。</x:v>
      </x:c>
      <x:c r="P24" s="7" t="str">
        <x:v>为维修劳务合同问题不满而转向无关学生。</x:v>
      </x:c>
      <x:c r="Q24" s="2" t="str">
        <x:v>西城</x:v>
      </x:c>
      <x:c r="R24" s="2"/>
      <x:c r="S24" s="2" t="str">
        <x:v>day</x:v>
      </x:c>
      <x:c r="T24" s="2"/>
      <x:c r="U24" s="2"/>
      <x:c r="V24" s="9"/>
      <x:c r="W24" s="9"/>
      <x:c r="X24" s="9"/>
      <x:c r="Y24" s="2" t="str">
        <x:v>是</x:v>
      </x:c>
      <x:c r="Z24" s="2" t="str">
        <x:v>无关小学生</x:v>
      </x:c>
      <x:c r="AA24" s="9" t="n">
        <x:v>49</x:v>
      </x:c>
      <x:c r="AB24" s="2" t="str">
        <x:v>男</x:v>
      </x:c>
      <x:c r="AC24" s="2" t="str">
        <x:v>学校维修劳务人员</x:v>
      </x:c>
      <x:c r="AD24" s="7" t="str">
        <x:v>劳务合同到期续聘问题引发不满。</x:v>
      </x:c>
      <x:c r="AE24" s="2" t="str">
        <x:v>工作纠纷；转移报复</x:v>
      </x:c>
      <x:c r="AF24" s="2" t="str">
        <x:v>警方初步通报</x:v>
      </x:c>
      <x:c r="AG24" s="2"/>
      <x:c r="AH24" s="2"/>
      <x:c r="AI24" s="2"/>
      <x:c r="AJ24" s="2" t="str">
        <x:v>现场控制嫌疑人并救治学生。</x:v>
      </x:c>
      <x:c r="AK24" s="2" t="str">
        <x:v>嫌疑人被控制；未找到裁判。</x:v>
      </x:c>
      <x:c r="AL24" s="10"/>
      <x:c r="AM24" s="10"/>
      <x:c r="AN24" s="10" t="n">
        <x:v>43473</x:v>
      </x:c>
      <x:c r="AO24" s="2" t="str">
        <x:v>官方转载</x:v>
      </x:c>
      <x:c r="AP24" s="7" t="str">
        <x:v>AS021</x:v>
      </x:c>
      <x:c r="AQ24" s="7" t="str">
        <x:v>{"date":["AS021"],"location":["AS021"],"casualties":["AS021"],"classification":["AS021"],"motive":["AS021"],"outcome":["AS021"]}</x:v>
      </x:c>
      <x:c r="AR24" s="2"/>
      <x:c r="AS24" s="9"/>
      <x:c r="AT24" s="9"/>
      <x:c r="AU24" s="9"/>
      <x:c r="AV24" s="2"/>
      <x:c r="AW24" s="2"/>
      <x:c r="AX24" s="9"/>
      <x:c r="AY24" s="10"/>
      <x:c r="AZ24" s="7"/>
      <x:c r="BA24" s="7"/>
      <x:c r="BB24" s="7"/>
      <x:c r="BC24" s="7"/>
      <x:c r="BD24" s="2" t="str">
        <x:v>是</x:v>
      </x:c>
      <x:c r="BE24" s="2" t="str">
        <x:v>是</x:v>
      </x:c>
      <x:c r="BF24" s="2" t="str">
        <x:v>官方事实直接支持；官方发布会明确维修劳务合同纠纷后转而伤害20名小学生，原纠纷是劳动聘用问题，实际受害者是学生群体。</x:v>
      </x:c>
      <x:c r="BG24" s="2" t="str">
        <x:v>泄愤／转移报复；经济／工作／财产纠纷</x:v>
      </x:c>
      <x:c r="BH24" s="9" t="n">
        <x:v>2019</x:v>
      </x:c>
      <x:c r="BI24" s="9" t="n">
        <x:v>0</x:v>
      </x:c>
      <x:c r="BJ24" s="9" t="n">
        <x:v>20</x:v>
      </x:c>
      <x:c r="BK24" s="9" t="n">
        <x:v>1</x:v>
      </x:c>
      <x:c r="BL24" s="9" t="n">
        <x:v>1</x:v>
      </x:c>
      <x:c r="BM24" s="9" t="n">
        <x:v>1</x:v>
      </x:c>
      <x:c r="BN24" s="9" t="n">
        <x:v>0</x:v>
      </x:c>
      <x:c r="BO24" s="9" t="n">
        <x:v>0</x:v>
      </x:c>
    </x:row>
    <x:row r="25" ht="38" customHeight="1">
      <x:c r="A25" s="2" t="str">
        <x:v>A019</x:v>
      </x:c>
      <x:c r="B25" s="2" t="str">
        <x:v>2019-01-14</x:v>
      </x:c>
      <x:c r="C25" s="7" t="str">
        <x:v>东莞虎门怀德社区持刀伤人</x:v>
      </x:c>
      <x:c r="D25" s="2" t="str">
        <x:v>广东</x:v>
      </x:c>
      <x:c r="E25" s="2" t="str">
        <x:v>东莞</x:v>
      </x:c>
      <x:c r="F25" s="2" t="str">
        <x:v>pending</x:v>
      </x:c>
      <x:c r="G25" s="2" t="str">
        <x:v>街道交通</x:v>
      </x:c>
      <x:c r="H25" s="2" t="str">
        <x:v>持械</x:v>
      </x:c>
      <x:c r="I25" s="9" t="n">
        <x:v>1</x:v>
      </x:c>
      <x:c r="J25" s="9" t="n">
        <x:v>8</x:v>
      </x:c>
      <x:c r="K25" s="2"/>
      <x:c r="L25" s="9"/>
      <x:c r="M25" s="9"/>
      <x:c r="N25" s="10" t="n">
        <x:v>43480</x:v>
      </x:c>
      <x:c r="O25" s="7" t="str">
        <x:v>2人伤情较重、6人较轻为初报临床描述。</x:v>
      </x:c>
      <x:c r="P25" s="7" t="str">
        <x:v>警方确认发生，但本轮可靠资料未明确受害者与嫌疑人关系及选择目标方式。</x:v>
      </x:c>
      <x:c r="Q25" s="2" t="str">
        <x:v>虎门镇</x:v>
      </x:c>
      <x:c r="R25" s="2"/>
      <x:c r="S25" s="2" t="str">
        <x:v>day</x:v>
      </x:c>
      <x:c r="T25" s="2"/>
      <x:c r="U25" s="2"/>
      <x:c r="V25" s="9"/>
      <x:c r="W25" s="9"/>
      <x:c r="X25" s="9"/>
      <x:c r="Y25" s="2"/>
      <x:c r="Z25" s="2"/>
      <x:c r="AA25" s="9"/>
      <x:c r="AB25" s="2" t="str">
        <x:v>男</x:v>
      </x:c>
      <x:c r="AC25" s="2"/>
      <x:c r="AD25" s="7"/>
      <x:c r="AE25" s="2" t="str"/>
      <x:c r="AF25" s="2" t="str">
        <x:v>未知</x:v>
      </x:c>
      <x:c r="AG25" s="2"/>
      <x:c r="AH25" s="2"/>
      <x:c r="AI25" s="2"/>
      <x:c r="AJ25" s="2"/>
      <x:c r="AK25" s="2" t="str">
        <x:v>被抓获；具体原因在调查。</x:v>
      </x:c>
      <x:c r="AL25" s="10"/>
      <x:c r="AM25" s="10"/>
      <x:c r="AN25" s="10" t="n">
        <x:v>43480</x:v>
      </x:c>
      <x:c r="AO25" s="2" t="str">
        <x:v>官方转载</x:v>
      </x:c>
      <x:c r="AP25" s="7" t="str">
        <x:v>AS022</x:v>
      </x:c>
      <x:c r="AQ25" s="7" t="str">
        <x:v>{"date":["AS022"],"location":["AS022"],"casualties":["AS022"],"classification":["AS022"],"motive":[],"outcome":["AS022"]}</x:v>
      </x:c>
      <x:c r="AR25" s="2"/>
      <x:c r="AS25" s="9"/>
      <x:c r="AT25" s="9"/>
      <x:c r="AU25" s="9"/>
      <x:c r="AV25" s="2"/>
      <x:c r="AW25" s="2"/>
      <x:c r="AX25" s="9"/>
      <x:c r="AY25" s="10"/>
      <x:c r="AZ25" s="7"/>
      <x:c r="BA25" s="7"/>
      <x:c r="BB25" s="7"/>
      <x:c r="BC25" s="7" t="str">
        <x:v>不因排除涉恐或多人受害自动认定随机。</x:v>
      </x:c>
      <x:c r="BD25" s="2" t="str">
        <x:v>是</x:v>
      </x:c>
      <x:c r="BE25" s="2" t="str">
        <x:v>否</x:v>
      </x:c>
      <x:c r="BF25" s="2" t="str">
        <x:v>媒体调查／研究推断</x:v>
      </x:c>
      <x:c r="BG25" s="2" t="str"/>
      <x:c r="BH25" s="9" t="n">
        <x:v>2019</x:v>
      </x:c>
      <x:c r="BI25" s="9" t="n">
        <x:v>1</x:v>
      </x:c>
      <x:c r="BJ25" s="9" t="n">
        <x:v>8</x:v>
      </x:c>
      <x:c r="BK25" s="9" t="n">
        <x:v>0</x:v>
      </x:c>
      <x:c r="BL25" s="9" t="n">
        <x:v>0</x:v>
      </x:c>
      <x:c r="BM25" s="9" t="n">
        <x:v>1</x:v>
      </x:c>
      <x:c r="BN25" s="9" t="n">
        <x:v>0</x:v>
      </x:c>
      <x:c r="BO25" s="9" t="n">
        <x:v>0</x:v>
      </x:c>
    </x:row>
    <x:row r="26" ht="38" customHeight="1">
      <x:c r="A26" s="2" t="str">
        <x:v>A020</x:v>
      </x:c>
      <x:c r="B26" s="2" t="str">
        <x:v>2019-01-14</x:v>
      </x:c>
      <x:c r="C26" s="7" t="str">
        <x:v>福州仓山红江路等处持刀伤人</x:v>
      </x:c>
      <x:c r="D26" s="2" t="str">
        <x:v>福建</x:v>
      </x:c>
      <x:c r="E26" s="2" t="str">
        <x:v>福州</x:v>
      </x:c>
      <x:c r="F26" s="2" t="str">
        <x:v>expanded</x:v>
      </x:c>
      <x:c r="G26" s="2" t="str">
        <x:v>街道交通</x:v>
      </x:c>
      <x:c r="H26" s="2" t="str">
        <x:v>持械</x:v>
      </x:c>
      <x:c r="I26" s="9" t="n">
        <x:v>1</x:v>
      </x:c>
      <x:c r="J26" s="9" t="n">
        <x:v>19</x:v>
      </x:c>
      <x:c r="K26" s="2"/>
      <x:c r="L26" s="9"/>
      <x:c r="M26" s="9"/>
      <x:c r="N26" s="10" t="n">
        <x:v>43480</x:v>
      </x:c>
      <x:c r="O26" s="7" t="str">
        <x:v>1名伤者危重为临床描述。</x:v>
      </x:c>
      <x:c r="P26" s="7" t="str">
        <x:v>从与前妻男友的纠纷转为逃跑途中伤害无关路人。</x:v>
      </x:c>
      <x:c r="Q26" s="2" t="str">
        <x:v>仓山</x:v>
      </x:c>
      <x:c r="R26" s="2"/>
      <x:c r="S26" s="2" t="str">
        <x:v>day</x:v>
      </x:c>
      <x:c r="T26" s="2"/>
      <x:c r="U26" s="2"/>
      <x:c r="V26" s="9"/>
      <x:c r="W26" s="9"/>
      <x:c r="X26" s="9"/>
      <x:c r="Y26" s="2"/>
      <x:c r="Z26" s="2" t="str">
        <x:v>原纠纷对象及无关路人</x:v>
      </x:c>
      <x:c r="AA26" s="9" t="n">
        <x:v>48</x:v>
      </x:c>
      <x:c r="AB26" s="2" t="str">
        <x:v>男</x:v>
      </x:c>
      <x:c r="AC26" s="2"/>
      <x:c r="AD26" s="7" t="str">
        <x:v>与前妻及其男友的感情纠纷后，伤害扩大到无关路人。</x:v>
      </x:c>
      <x:c r="AE26" s="2" t="str">
        <x:v>感情纠纷；扩大伤害</x:v>
      </x:c>
      <x:c r="AF26" s="2" t="str">
        <x:v>警方初步通报</x:v>
      </x:c>
      <x:c r="AG26" s="2"/>
      <x:c r="AH26" s="2"/>
      <x:c r="AI26" s="2"/>
      <x:c r="AJ26" s="2"/>
      <x:c r="AK26" s="2" t="str">
        <x:v>逃跑后跳河，通报时下落不明；未找到后续。</x:v>
      </x:c>
      <x:c r="AL26" s="10"/>
      <x:c r="AM26" s="10"/>
      <x:c r="AN26" s="10" t="n">
        <x:v>43480</x:v>
      </x:c>
      <x:c r="AO26" s="2" t="str">
        <x:v>官方转载</x:v>
      </x:c>
      <x:c r="AP26" s="7" t="str">
        <x:v>AS023</x:v>
      </x:c>
      <x:c r="AQ26" s="7" t="str">
        <x:v>{"date":["AS023"],"location":["AS023"],"casualties":["AS023"],"classification":["AS023"],"motive":["AS023"],"outcome":["AS023"]}</x:v>
      </x:c>
      <x:c r="AR26" s="2"/>
      <x:c r="AS26" s="9"/>
      <x:c r="AT26" s="9"/>
      <x:c r="AU26" s="9"/>
      <x:c r="AV26" s="2"/>
      <x:c r="AW26" s="2"/>
      <x:c r="AX26" s="9"/>
      <x:c r="AY26" s="10"/>
      <x:c r="AZ26" s="7"/>
      <x:c r="BA26" s="7"/>
      <x:c r="BB26" s="7"/>
      <x:c r="BC26" s="7"/>
      <x:c r="BD26" s="2" t="str">
        <x:v>是</x:v>
      </x:c>
      <x:c r="BE26" s="2" t="str">
        <x:v>是</x:v>
      </x:c>
      <x:c r="BF26" s="2" t="str">
        <x:v>官方事实直接支持；警方续报明确起因为与前妻及其男友纠纷，逃跑途中继续伤害路人并抢车，扩大过程直接披露。</x:v>
      </x:c>
      <x:c r="BG26" s="2" t="str">
        <x:v>其他已披露背景；婚姻／家庭／感情问题</x:v>
      </x:c>
      <x:c r="BH26" s="9" t="n">
        <x:v>2019</x:v>
      </x:c>
      <x:c r="BI26" s="9" t="n">
        <x:v>1</x:v>
      </x:c>
      <x:c r="BJ26" s="9" t="n">
        <x:v>19</x:v>
      </x:c>
      <x:c r="BK26" s="9" t="n">
        <x:v>1</x:v>
      </x:c>
      <x:c r="BL26" s="9" t="n">
        <x:v>1</x:v>
      </x:c>
      <x:c r="BM26" s="9" t="n">
        <x:v>1</x:v>
      </x:c>
      <x:c r="BN26" s="9" t="n">
        <x:v>0</x:v>
      </x:c>
      <x:c r="BO26" s="9" t="n">
        <x:v>0</x:v>
      </x:c>
    </x:row>
    <x:row r="27" ht="38" customHeight="1">
      <x:c r="A27" s="2" t="str">
        <x:v>A046</x:v>
      </x:c>
      <x:c r="B27" s="2" t="str">
        <x:v>2019-02-05</x:v>
      </x:c>
      <x:c r="C27" s="7" t="str">
        <x:v>会宁多户村民住宅伤人</x:v>
      </x:c>
      <x:c r="D27" s="2" t="str">
        <x:v>甘肃</x:v>
      </x:c>
      <x:c r="E27" s="2" t="str">
        <x:v>白银</x:v>
      </x:c>
      <x:c r="F27" s="2" t="str">
        <x:v>pending</x:v>
      </x:c>
      <x:c r="G27" s="2" t="str">
        <x:v>社区住宅</x:v>
      </x:c>
      <x:c r="H27" s="2" t="str">
        <x:v>持械</x:v>
      </x:c>
      <x:c r="I27" s="9" t="n">
        <x:v>8</x:v>
      </x:c>
      <x:c r="J27" s="9" t="n">
        <x:v>7</x:v>
      </x:c>
      <x:c r="K27" s="2"/>
      <x:c r="L27" s="9"/>
      <x:c r="M27" s="9"/>
      <x:c r="N27" s="10" t="n">
        <x:v>43504</x:v>
      </x:c>
      <x:c r="O27" s="7"/>
      <x:c r="P27" s="7" t="str">
        <x:v>警方初报指婚姻猜疑下定向进入村民家报复；是否涉及无关对象未充分披露，不按多人伤亡认定随机，也不武断将全案排除。</x:v>
      </x:c>
      <x:c r="Q27" s="2" t="str">
        <x:v>会宁</x:v>
      </x:c>
      <x:c r="R27" s="2"/>
      <x:c r="S27" s="2" t="str">
        <x:v>day</x:v>
      </x:c>
      <x:c r="T27" s="2"/>
      <x:c r="U27" s="2"/>
      <x:c r="V27" s="9"/>
      <x:c r="W27" s="9"/>
      <x:c r="X27" s="9"/>
      <x:c r="Y27" s="2" t="str">
        <x:v>是</x:v>
      </x:c>
      <x:c r="Z27" s="2" t="str">
        <x:v>村民家庭，多户具体关系未完全核实</x:v>
      </x:c>
      <x:c r="AA27" s="9"/>
      <x:c r="AB27" s="2" t="str">
        <x:v>男</x:v>
      </x:c>
      <x:c r="AC27" s="2"/>
      <x:c r="AD27" s="7" t="str">
        <x:v>警方转述供述：怀疑妻子与他人存在不正当关系而报复。</x:v>
      </x:c>
      <x:c r="AE27" s="2" t="str">
        <x:v>婚姻纠纷</x:v>
      </x:c>
      <x:c r="AF27" s="2" t="str">
        <x:v>警方初步通报</x:v>
      </x:c>
      <x:c r="AG27" s="2"/>
      <x:c r="AH27" s="2"/>
      <x:c r="AI27" s="2"/>
      <x:c r="AJ27" s="2"/>
      <x:c r="AK27" s="2" t="str">
        <x:v>当日被抓获；未取得裁判。</x:v>
      </x:c>
      <x:c r="AL27" s="10"/>
      <x:c r="AM27" s="10"/>
      <x:c r="AN27" s="10" t="n">
        <x:v>43504</x:v>
      </x:c>
      <x:c r="AO27" s="2" t="str">
        <x:v>官方转载</x:v>
      </x:c>
      <x:c r="AP27" s="7" t="str">
        <x:v>AS050</x:v>
      </x:c>
      <x:c r="AQ27" s="7" t="str">
        <x:v>{"date":["AS050"],"location":["AS050"],"casualties":["AS050"],"classification":["AS050"],"motive":["AS050"],"outcome":["AS050"]}</x:v>
      </x:c>
      <x:c r="AR27" s="2"/>
      <x:c r="AS27" s="9"/>
      <x:c r="AT27" s="9"/>
      <x:c r="AU27" s="9"/>
      <x:c r="AV27" s="2"/>
      <x:c r="AW27" s="2"/>
      <x:c r="AX27" s="9"/>
      <x:c r="AY27" s="10"/>
      <x:c r="AZ27" s="7"/>
      <x:c r="BA27" s="7"/>
      <x:c r="BB27" s="7"/>
      <x:c r="BC27" s="7" t="str">
        <x:v>媒体转述的邻里纠纷、家暴、纵火需裁判佐证；不将其直接扩展为已查明案情。</x:v>
      </x:c>
      <x:c r="BD27" s="2" t="str">
        <x:v>是</x:v>
      </x:c>
      <x:c r="BE27" s="2" t="str">
        <x:v>否</x:v>
      </x:c>
      <x:c r="BF27" s="2" t="str">
        <x:v>媒体调查／研究推断</x:v>
      </x:c>
      <x:c r="BG27" s="2" t="str">
        <x:v>其他已披露背景</x:v>
      </x:c>
      <x:c r="BH27" s="9" t="n">
        <x:v>2019</x:v>
      </x:c>
      <x:c r="BI27" s="9" t="n">
        <x:v>8</x:v>
      </x:c>
      <x:c r="BJ27" s="9" t="n">
        <x:v>7</x:v>
      </x:c>
      <x:c r="BK27" s="9" t="n">
        <x:v>0</x:v>
      </x:c>
      <x:c r="BL27" s="9" t="n">
        <x:v>1</x:v>
      </x:c>
      <x:c r="BM27" s="9" t="n">
        <x:v>1</x:v>
      </x:c>
      <x:c r="BN27" s="9" t="n">
        <x:v>0</x:v>
      </x:c>
      <x:c r="BO27" s="9" t="n">
        <x:v>0</x:v>
      </x:c>
    </x:row>
    <x:row r="28" ht="38" customHeight="1">
      <x:c r="A28" s="2" t="str">
        <x:v>A021</x:v>
      </x:c>
      <x:c r="B28" s="2" t="str">
        <x:v>2019-02-21</x:v>
      </x:c>
      <x:c r="C28" s="7" t="str">
        <x:v>吉安韶山西路学校周边持刀伤人</x:v>
      </x:c>
      <x:c r="D28" s="2" t="str">
        <x:v>江西</x:v>
      </x:c>
      <x:c r="E28" s="2" t="str">
        <x:v>吉安</x:v>
      </x:c>
      <x:c r="F28" s="2" t="str">
        <x:v>pending</x:v>
      </x:c>
      <x:c r="G28" s="2" t="str">
        <x:v>校园及周边</x:v>
      </x:c>
      <x:c r="H28" s="2" t="str">
        <x:v>持械</x:v>
      </x:c>
      <x:c r="I28" s="9" t="n">
        <x:v>0</x:v>
      </x:c>
      <x:c r="J28" s="9" t="n">
        <x:v>11</x:v>
      </x:c>
      <x:c r="K28" s="2"/>
      <x:c r="L28" s="9"/>
      <x:c r="M28" s="9"/>
      <x:c r="N28" s="10" t="n">
        <x:v>43517</x:v>
      </x:c>
      <x:c r="O28" s="7"/>
      <x:c r="P28" s="7" t="str">
        <x:v>警方确认事件及11伤；无关路人、随机选择方式主要见媒体叙述，尚未检出明确官方性质认定或两家独立原始调查。</x:v>
      </x:c>
      <x:c r="Q28" s="2" t="str">
        <x:v>吉州</x:v>
      </x:c>
      <x:c r="R28" s="2"/>
      <x:c r="S28" s="2" t="str">
        <x:v>day</x:v>
      </x:c>
      <x:c r="T28" s="2"/>
      <x:c r="U28" s="2"/>
      <x:c r="V28" s="9"/>
      <x:c r="W28" s="9"/>
      <x:c r="X28" s="9"/>
      <x:c r="Y28" s="2" t="str">
        <x:v>是</x:v>
      </x:c>
      <x:c r="Z28" s="2" t="str">
        <x:v>学生、辅警及路人，关系细节未披露</x:v>
      </x:c>
      <x:c r="AA28" s="9" t="n">
        <x:v>33</x:v>
      </x:c>
      <x:c r="AB28" s="2" t="str">
        <x:v>男</x:v>
      </x:c>
      <x:c r="AC28" s="2"/>
      <x:c r="AD28" s="7"/>
      <x:c r="AE28" s="2" t="str"/>
      <x:c r="AF28" s="2" t="str">
        <x:v>未知</x:v>
      </x:c>
      <x:c r="AG28" s="2" t="str">
        <x:v>警方转述家属称有精神病治疗史，未见司法鉴定。</x:v>
      </x:c>
      <x:c r="AH28" s="2"/>
      <x:c r="AI28" s="2"/>
      <x:c r="AJ28" s="2" t="str">
        <x:v>执勤民警和群众迅速控制。</x:v>
      </x:c>
      <x:c r="AK28" s="2" t="str">
        <x:v>被控制；后续司法处置未核实。</x:v>
      </x:c>
      <x:c r="AL28" s="10"/>
      <x:c r="AM28" s="10"/>
      <x:c r="AN28" s="10" t="n">
        <x:v>43517</x:v>
      </x:c>
      <x:c r="AO28" s="2" t="str">
        <x:v>官方转载</x:v>
      </x:c>
      <x:c r="AP28" s="7" t="str">
        <x:v>AS024；AS025</x:v>
      </x:c>
      <x:c r="AQ28" s="7" t="str">
        <x:v>{"date":["AS024","AS025"],"location":["AS024","AS025"],"casualties":["AS024","AS025"],"classification":["AS024","AS025"],"motive":[],"outcome":["AS024","AS025"]}</x:v>
      </x:c>
      <x:c r="AR28" s="2"/>
      <x:c r="AS28" s="9"/>
      <x:c r="AT28" s="9"/>
      <x:c r="AU28" s="9"/>
      <x:c r="AV28" s="2"/>
      <x:c r="AW28" s="2"/>
      <x:c r="AX28" s="9"/>
      <x:c r="AY28" s="10"/>
      <x:c r="AZ28" s="7"/>
      <x:c r="BA28" s="7"/>
      <x:c r="BB28" s="7"/>
      <x:c r="BC28" s="7"/>
      <x:c r="BD28" s="2" t="str">
        <x:v>是</x:v>
      </x:c>
      <x:c r="BE28" s="2" t="str">
        <x:v>否</x:v>
      </x:c>
      <x:c r="BF28" s="2" t="str">
        <x:v>媒体调查／研究推断</x:v>
      </x:c>
      <x:c r="BG28" s="2" t="str"/>
      <x:c r="BH28" s="9" t="n">
        <x:v>2019</x:v>
      </x:c>
      <x:c r="BI28" s="9" t="n">
        <x:v>0</x:v>
      </x:c>
      <x:c r="BJ28" s="9" t="n">
        <x:v>11</x:v>
      </x:c>
      <x:c r="BK28" s="9" t="n">
        <x:v>0</x:v>
      </x:c>
      <x:c r="BL28" s="9" t="n">
        <x:v>0</x:v>
      </x:c>
      <x:c r="BM28" s="9" t="n">
        <x:v>1</x:v>
      </x:c>
      <x:c r="BN28" s="9" t="n">
        <x:v>0</x:v>
      </x:c>
      <x:c r="BO28" s="9" t="n">
        <x:v>0</x:v>
      </x:c>
    </x:row>
    <x:row r="29" ht="38" customHeight="1">
      <x:c r="A29" s="2" t="str">
        <x:v>A047</x:v>
      </x:c>
      <x:c r="B29" s="2" t="str">
        <x:v>2019-02-26</x:v>
      </x:c>
      <x:c r="C29" s="7" t="str">
        <x:v>平顶山财经学校同学纠纷伤人（排除）</x:v>
      </x:c>
      <x:c r="D29" s="2" t="str">
        <x:v>河南</x:v>
      </x:c>
      <x:c r="E29" s="2" t="str">
        <x:v>平顶山</x:v>
      </x:c>
      <x:c r="F29" s="2" t="str">
        <x:v>excluded</x:v>
      </x:c>
      <x:c r="G29" s="2" t="str">
        <x:v>校园及周边</x:v>
      </x:c>
      <x:c r="H29" s="2" t="str">
        <x:v>持械</x:v>
      </x:c>
      <x:c r="I29" s="9" t="n">
        <x:v>1</x:v>
      </x:c>
      <x:c r="J29" s="9" t="n">
        <x:v>3</x:v>
      </x:c>
      <x:c r="K29" s="2"/>
      <x:c r="L29" s="9"/>
      <x:c r="M29" s="9"/>
      <x:c r="N29" s="10" t="n">
        <x:v>43525</x:v>
      </x:c>
      <x:c r="O29" s="7"/>
      <x:c r="P29" s="7" t="str">
        <x:v>警方及采访表明系与特定同学的既有矛盾，未见扩大到无关学生证据。</x:v>
      </x:c>
      <x:c r="Q29" s="2"/>
      <x:c r="R29" s="2"/>
      <x:c r="S29" s="2" t="str">
        <x:v>day</x:v>
      </x:c>
      <x:c r="T29" s="2"/>
      <x:c r="U29" s="2"/>
      <x:c r="V29" s="9"/>
      <x:c r="W29" s="9"/>
      <x:c r="X29" s="9"/>
      <x:c r="Y29" s="2"/>
      <x:c r="Z29" s="2" t="str">
        <x:v>有既往矛盾的同班同学</x:v>
      </x:c>
      <x:c r="AA29" s="9"/>
      <x:c r="AB29" s="2" t="str">
        <x:v>男</x:v>
      </x:c>
      <x:c r="AC29" s="2" t="str">
        <x:v>学生</x:v>
      </x:c>
      <x:c r="AD29" s="7" t="str">
        <x:v>同学间矛盾。</x:v>
      </x:c>
      <x:c r="AE29" s="2" t="str">
        <x:v>同学纠纷</x:v>
      </x:c>
      <x:c r="AF29" s="2" t="str">
        <x:v>警方初步通报</x:v>
      </x:c>
      <x:c r="AG29" s="2"/>
      <x:c r="AH29" s="2"/>
      <x:c r="AI29" s="2"/>
      <x:c r="AJ29" s="2"/>
      <x:c r="AK29" s="2" t="str">
        <x:v>被抓获。</x:v>
      </x:c>
      <x:c r="AL29" s="10"/>
      <x:c r="AM29" s="10"/>
      <x:c r="AN29" s="10" t="n">
        <x:v>43525</x:v>
      </x:c>
      <x:c r="AO29" s="2" t="str">
        <x:v>官方转载</x:v>
      </x:c>
      <x:c r="AP29" s="7" t="str">
        <x:v>AS051</x:v>
      </x:c>
      <x:c r="AQ29" s="7" t="str">
        <x:v>{"date":["AS051"],"location":["AS051"],"casualties":["AS051"],"classification":["AS051"],"motive":["AS051"],"outcome":["AS051"]}</x:v>
      </x:c>
      <x:c r="AR29" s="2"/>
      <x:c r="AS29" s="9"/>
      <x:c r="AT29" s="9"/>
      <x:c r="AU29" s="9"/>
      <x:c r="AV29" s="2"/>
      <x:c r="AW29" s="2"/>
      <x:c r="AX29" s="9"/>
      <x:c r="AY29" s="10"/>
      <x:c r="AZ29" s="7"/>
      <x:c r="BA29" s="7"/>
      <x:c r="BB29" s="7"/>
      <x:c r="BC29" s="7"/>
      <x:c r="BD29" s="2" t="str">
        <x:v>是</x:v>
      </x:c>
      <x:c r="BE29" s="2" t="str">
        <x:v>否</x:v>
      </x:c>
      <x:c r="BF29" s="2" t="str">
        <x:v>媒体调查／研究推断</x:v>
      </x:c>
      <x:c r="BG29" s="2" t="str">
        <x:v>其他已披露背景</x:v>
      </x:c>
      <x:c r="BH29" s="9" t="n">
        <x:v>2019</x:v>
      </x:c>
      <x:c r="BI29" s="9" t="n">
        <x:v>1</x:v>
      </x:c>
      <x:c r="BJ29" s="9" t="n">
        <x:v>3</x:v>
      </x:c>
      <x:c r="BK29" s="9" t="n">
        <x:v>0</x:v>
      </x:c>
      <x:c r="BL29" s="9" t="n">
        <x:v>1</x:v>
      </x:c>
      <x:c r="BM29" s="9" t="n">
        <x:v>1</x:v>
      </x:c>
      <x:c r="BN29" s="9" t="n">
        <x:v>0</x:v>
      </x:c>
      <x:c r="BO29" s="9" t="n">
        <x:v>0</x:v>
      </x:c>
    </x:row>
    <x:row r="30" ht="38" customHeight="1">
      <x:c r="A30" s="2" t="str">
        <x:v>A022</x:v>
      </x:c>
      <x:c r="B30" s="2" t="str">
        <x:v>2019-03-14</x:v>
      </x:c>
      <x:c r="C30" s="7" t="str">
        <x:v>唐山丰润光华道小学周边伤害学生</x:v>
      </x:c>
      <x:c r="D30" s="2" t="str">
        <x:v>河北</x:v>
      </x:c>
      <x:c r="E30" s="2" t="str">
        <x:v>唐山</x:v>
      </x:c>
      <x:c r="F30" s="2" t="str">
        <x:v>pending</x:v>
      </x:c>
      <x:c r="G30" s="2" t="str">
        <x:v>校园及周边</x:v>
      </x:c>
      <x:c r="H30" s="2" t="str">
        <x:v>持械</x:v>
      </x:c>
      <x:c r="I30" s="9"/>
      <x:c r="J30" s="9"/>
      <x:c r="K30" s="2" t="str">
        <x:v>受伤学生人数未由已核对官方材料明确；网传17人不采入精确字段。</x:v>
      </x:c>
      <x:c r="L30" s="9"/>
      <x:c r="M30" s="9"/>
      <x:c r="N30" s="10" t="n">
        <x:v>43538</x:v>
      </x:c>
      <x:c r="O30" s="7"/>
      <x:c r="P30" s="7" t="str">
        <x:v>本轮仅获取媒体对通报的转述及网传人数，随机性和完整伤亡需再核，不把17人作为确数。</x:v>
      </x:c>
      <x:c r="Q30" s="2" t="str">
        <x:v>丰润</x:v>
      </x:c>
      <x:c r="R30" s="2"/>
      <x:c r="S30" s="2" t="str">
        <x:v>day</x:v>
      </x:c>
      <x:c r="T30" s="2"/>
      <x:c r="U30" s="2"/>
      <x:c r="V30" s="9"/>
      <x:c r="W30" s="9"/>
      <x:c r="X30" s="9"/>
      <x:c r="Y30" s="2" t="str">
        <x:v>是</x:v>
      </x:c>
      <x:c r="Z30" s="2"/>
      <x:c r="AA30" s="9" t="n">
        <x:v>54</x:v>
      </x:c>
      <x:c r="AB30" s="2" t="str">
        <x:v>男</x:v>
      </x:c>
      <x:c r="AC30" s="2"/>
      <x:c r="AD30" s="7"/>
      <x:c r="AE30" s="2" t="str"/>
      <x:c r="AF30" s="2" t="str">
        <x:v>未知</x:v>
      </x:c>
      <x:c r="AG30" s="2"/>
      <x:c r="AH30" s="2"/>
      <x:c r="AI30" s="2"/>
      <x:c r="AJ30" s="2"/>
      <x:c r="AK30" s="2" t="str">
        <x:v>报道引述警方称嫌疑人已控制。</x:v>
      </x:c>
      <x:c r="AL30" s="10"/>
      <x:c r="AM30" s="10"/>
      <x:c r="AN30" s="10" t="n">
        <x:v>43538</x:v>
      </x:c>
      <x:c r="AO30" s="2" t="str">
        <x:v>单一媒体</x:v>
      </x:c>
      <x:c r="AP30" s="7" t="str">
        <x:v>AS026</x:v>
      </x:c>
      <x:c r="AQ30" s="7" t="str">
        <x:v>{"date":["AS026"],"location":["AS026"],"casualties":["AS026"],"classification":["AS026"],"motive":[],"outcome":["AS026"]}</x:v>
      </x:c>
      <x:c r="AR30" s="2"/>
      <x:c r="AS30" s="9"/>
      <x:c r="AT30" s="9"/>
      <x:c r="AU30" s="9"/>
      <x:c r="AV30" s="2"/>
      <x:c r="AW30" s="2"/>
      <x:c r="AX30" s="9"/>
      <x:c r="AY30" s="10"/>
      <x:c r="AZ30" s="7"/>
      <x:c r="BA30" s="7"/>
      <x:c r="BB30" s="7"/>
      <x:c r="BC30" s="7" t="str">
        <x:v>12月开庭存在二手汇编线索，尚未取得原法院公告，未记录判决。</x:v>
      </x:c>
      <x:c r="BD30" s="2" t="str">
        <x:v>否</x:v>
      </x:c>
      <x:c r="BE30" s="2" t="str">
        <x:v>否</x:v>
      </x:c>
      <x:c r="BF30" s="2" t="str">
        <x:v>媒体调查／研究推断</x:v>
      </x:c>
      <x:c r="BG30" s="2" t="str"/>
      <x:c r="BH30" s="9" t="n">
        <x:v>2019</x:v>
      </x:c>
      <x:c r="BI30" s="9" t="n">
        <x:v>0</x:v>
      </x:c>
      <x:c r="BJ30" s="9" t="n">
        <x:v>0</x:v>
      </x:c>
      <x:c r="BK30" s="9" t="n">
        <x:v>0</x:v>
      </x:c>
      <x:c r="BL30" s="9" t="n">
        <x:v>0</x:v>
      </x:c>
      <x:c r="BM30" s="9" t="n">
        <x:v>1</x:v>
      </x:c>
      <x:c r="BN30" s="9" t="n">
        <x:v>1</x:v>
      </x:c>
      <x:c r="BO30" s="9" t="n">
        <x:v>1</x:v>
      </x:c>
    </x:row>
    <x:row r="31" ht="38" customHeight="1">
      <x:c r="A31" s="2" t="str">
        <x:v>A023</x:v>
      </x:c>
      <x:c r="B31" s="2" t="str">
        <x:v>2019-03-22</x:v>
      </x:c>
      <x:c r="C31" s="7" t="str">
        <x:v>枣阳姚岗社区驾车冲撞行人</x:v>
      </x:c>
      <x:c r="D31" s="2" t="str">
        <x:v>湖北</x:v>
      </x:c>
      <x:c r="E31" s="2" t="str">
        <x:v>襄阳</x:v>
      </x:c>
      <x:c r="F31" s="2" t="str">
        <x:v>expanded</x:v>
      </x:c>
      <x:c r="G31" s="2" t="str">
        <x:v>街道交通</x:v>
      </x:c>
      <x:c r="H31" s="2" t="str">
        <x:v>复合</x:v>
      </x:c>
      <x:c r="I31" s="9" t="n">
        <x:v>6</x:v>
      </x:c>
      <x:c r="J31" s="9" t="n">
        <x:v>8</x:v>
      </x:c>
      <x:c r="K31" s="2"/>
      <x:c r="L31" s="9"/>
      <x:c r="M31" s="9"/>
      <x:c r="N31" s="10" t="n">
        <x:v>43546</x:v>
      </x:c>
      <x:c r="O31" s="7" t="str">
        <x:v>官方6名受害人死亡（5成人1未成年）、8伤（含妻女），另嫌疑人1死。部分转述7死7伤将嫌疑人或初报混入，不采。</x:v>
      </x:c>
      <x:c r="P31" s="7" t="str">
        <x:v>先伤害妻女，随后驾车攻击街道无关行人。</x:v>
      </x:c>
      <x:c r="Q31" s="2" t="str">
        <x:v>枣阳</x:v>
      </x:c>
      <x:c r="R31" s="2"/>
      <x:c r="S31" s="2" t="str">
        <x:v>day</x:v>
      </x:c>
      <x:c r="T31" s="2"/>
      <x:c r="U31" s="2"/>
      <x:c r="V31" s="9"/>
      <x:c r="W31" s="9" t="n">
        <x:v>1</x:v>
      </x:c>
      <x:c r="X31" s="9"/>
      <x:c r="Y31" s="2" t="str">
        <x:v>是</x:v>
      </x:c>
      <x:c r="Z31" s="2" t="str">
        <x:v>妻女及无关行人</x:v>
      </x:c>
      <x:c r="AA31" s="9" t="n">
        <x:v>44</x:v>
      </x:c>
      <x:c r="AB31" s="2" t="str">
        <x:v>男</x:v>
      </x:c>
      <x:c r="AC31" s="2" t="str">
        <x:v>餐馆店主</x:v>
      </x:c>
      <x:c r="AD31" s="7"/>
      <x:c r="AE31" s="2" t="str"/>
      <x:c r="AF31" s="2" t="str">
        <x:v>未知</x:v>
      </x:c>
      <x:c r="AG31" s="2" t="str">
        <x:v>邻居声称有精神病史，警方当时仍在调查；非鉴定结论。</x:v>
      </x:c>
      <x:c r="AH31" s="2"/>
      <x:c r="AI31" s="2"/>
      <x:c r="AJ31" s="2" t="str">
        <x:v>民警将持续行凶者击毙。</x:v>
      </x:c>
      <x:c r="AK31" s="2" t="str">
        <x:v>嫌疑人现场死亡。</x:v>
      </x:c>
      <x:c r="AL31" s="10"/>
      <x:c r="AM31" s="10"/>
      <x:c r="AN31" s="10" t="n">
        <x:v>43546</x:v>
      </x:c>
      <x:c r="AO31" s="2" t="str">
        <x:v>官方转载</x:v>
      </x:c>
      <x:c r="AP31" s="7" t="str">
        <x:v>AS027</x:v>
      </x:c>
      <x:c r="AQ31" s="7" t="str">
        <x:v>{"date":["AS027"],"location":["AS027"],"casualties":["AS027"],"classification":["AS027"],"motive":[],"outcome":["AS027"]}</x:v>
      </x:c>
      <x:c r="AR31" s="2"/>
      <x:c r="AS31" s="9"/>
      <x:c r="AT31" s="9"/>
      <x:c r="AU31" s="9"/>
      <x:c r="AV31" s="2"/>
      <x:c r="AW31" s="2"/>
      <x:c r="AX31" s="9"/>
      <x:c r="AY31" s="10"/>
      <x:c r="AZ31" s="7"/>
      <x:c r="BA31" s="7"/>
      <x:c r="BB31" s="7"/>
      <x:c r="BC31" s="7"/>
      <x:c r="BD31" s="2" t="str">
        <x:v>是</x:v>
      </x:c>
      <x:c r="BE31" s="2" t="str">
        <x:v>是</x:v>
      </x:c>
      <x:c r="BF31" s="2" t="str">
        <x:v>官方事实直接支持；市政府通报明确先伤害妻女，随后驾车冲撞街道行人，特定家属目标到其他公众的过程明确。</x:v>
      </x:c>
      <x:c r="BG31" s="2" t="str"/>
      <x:c r="BH31" s="9" t="n">
        <x:v>2019</x:v>
      </x:c>
      <x:c r="BI31" s="9" t="n">
        <x:v>6</x:v>
      </x:c>
      <x:c r="BJ31" s="9" t="n">
        <x:v>8</x:v>
      </x:c>
      <x:c r="BK31" s="9" t="n">
        <x:v>1</x:v>
      </x:c>
      <x:c r="BL31" s="9" t="n">
        <x:v>0</x:v>
      </x:c>
      <x:c r="BM31" s="9" t="n">
        <x:v>1</x:v>
      </x:c>
      <x:c r="BN31" s="9" t="n">
        <x:v>0</x:v>
      </x:c>
      <x:c r="BO31" s="9" t="n">
        <x:v>0</x:v>
      </x:c>
    </x:row>
    <x:row r="32" ht="38" customHeight="1">
      <x:c r="A32" s="2" t="str">
        <x:v>A024</x:v>
      </x:c>
      <x:c r="B32" s="2" t="str">
        <x:v>2019-04-03</x:v>
      </x:c>
      <x:c r="C32" s="7" t="str">
        <x:v>宁远柏家坪完小持刀袭击学生</x:v>
      </x:c>
      <x:c r="D32" s="2" t="str">
        <x:v>湖南</x:v>
      </x:c>
      <x:c r="E32" s="2" t="str">
        <x:v>永州</x:v>
      </x:c>
      <x:c r="F32" s="2" t="str">
        <x:v>core</x:v>
      </x:c>
      <x:c r="G32" s="2" t="str">
        <x:v>校园及周边</x:v>
      </x:c>
      <x:c r="H32" s="2" t="str">
        <x:v>持械</x:v>
      </x:c>
      <x:c r="I32" s="9" t="n">
        <x:v>2</x:v>
      </x:c>
      <x:c r="J32" s="9" t="n">
        <x:v>2</x:v>
      </x:c>
      <x:c r="K32" s="2"/>
      <x:c r="L32" s="9"/>
      <x:c r="M32" s="9"/>
      <x:c r="N32" s="10" t="n">
        <x:v>43843</x:v>
      </x:c>
      <x:c r="O32" s="7" t="str">
        <x:v>另有检方资料细分1重伤1轻伤，但本记录仅保留已打开来源支持的2伤。</x:v>
      </x:c>
      <x:c r="P32" s="7" t="str">
        <x:v>司法材料描述袭击者产生杀害儿童想法后进入小学攻击无关学生。</x:v>
      </x:c>
      <x:c r="Q32" s="2" t="str">
        <x:v>宁远</x:v>
      </x:c>
      <x:c r="R32" s="2"/>
      <x:c r="S32" s="2" t="str">
        <x:v>day</x:v>
      </x:c>
      <x:c r="T32" s="2"/>
      <x:c r="U32" s="2"/>
      <x:c r="V32" s="9"/>
      <x:c r="W32" s="9"/>
      <x:c r="X32" s="9"/>
      <x:c r="Y32" s="2" t="str">
        <x:v>是</x:v>
      </x:c>
      <x:c r="Z32" s="2" t="str">
        <x:v>无关在校学生</x:v>
      </x:c>
      <x:c r="AA32" s="9" t="n">
        <x:v>31</x:v>
      </x:c>
      <x:c r="AB32" s="2" t="str">
        <x:v>男</x:v>
      </x:c>
      <x:c r="AC32" s="2"/>
      <x:c r="AD32" s="7"/>
      <x:c r="AE32" s="2" t="str"/>
      <x:c r="AF32" s="2" t="str">
        <x:v>未知</x:v>
      </x:c>
      <x:c r="AG32" s="2" t="str">
        <x:v>司法材料记载精神分裂症现症期，限制刑事责任能力；不将诊断自动编码为动机。</x:v>
      </x:c>
      <x:c r="AH32" s="2"/>
      <x:c r="AI32" s="2" t="str">
        <x:v>此前多轮检查已指出门卫和出入管理问题，未有效整改。</x:v>
      </x:c>
      <x:c r="AJ32" s="2"/>
      <x:c r="AK32" s="2" t="str">
        <x:v>袭击者被捕；所检得判决为校长与门卫责任案，不能作为袭击者终审判决。</x:v>
      </x:c>
      <x:c r="AL32" s="10"/>
      <x:c r="AM32" s="10"/>
      <x:c r="AN32" s="10" t="n">
        <x:v>43843</x:v>
      </x:c>
      <x:c r="AO32" s="2" t="str">
        <x:v>官方转载</x:v>
      </x:c>
      <x:c r="AP32" s="7" t="str">
        <x:v>AS028</x:v>
      </x:c>
      <x:c r="AQ32" s="7" t="str">
        <x:v>{"date":["AS028"],"location":["AS028"],"casualties":["AS028"],"classification":["AS028"],"motive":[],"outcome":["AS028"]}</x:v>
      </x:c>
      <x:c r="AR32" s="2"/>
      <x:c r="AS32" s="9"/>
      <x:c r="AT32" s="9"/>
      <x:c r="AU32" s="9"/>
      <x:c r="AV32" s="2"/>
      <x:c r="AW32" s="2"/>
      <x:c r="AX32" s="9"/>
      <x:c r="AY32" s="10"/>
      <x:c r="AZ32" s="7"/>
      <x:c r="BA32" s="7"/>
      <x:c r="BB32" s="7"/>
      <x:c r="BC32" s="7"/>
      <x:c r="BD32" s="2" t="str">
        <x:v>是</x:v>
      </x:c>
      <x:c r="BE32" s="2" t="str">
        <x:v>是</x:v>
      </x:c>
      <x:c r="BF32" s="2" t="str">
        <x:v>官方事实直接支持；司法材料披露产生杀害儿童想法后进入小学持续攻击学生，支持面向儿童群体的主动袭击；依据为法院描述的目标形成和行为过程，不只依据死伤人数。</x:v>
      </x:c>
      <x:c r="BG32" s="2" t="str"/>
      <x:c r="BH32" s="9" t="n">
        <x:v>2019</x:v>
      </x:c>
      <x:c r="BI32" s="9" t="n">
        <x:v>2</x:v>
      </x:c>
      <x:c r="BJ32" s="9" t="n">
        <x:v>2</x:v>
      </x:c>
      <x:c r="BK32" s="9" t="n">
        <x:v>1</x:v>
      </x:c>
      <x:c r="BL32" s="9" t="n">
        <x:v>0</x:v>
      </x:c>
      <x:c r="BM32" s="9" t="n">
        <x:v>1</x:v>
      </x:c>
      <x:c r="BN32" s="9" t="n">
        <x:v>0</x:v>
      </x:c>
      <x:c r="BO32" s="9" t="n">
        <x:v>0</x:v>
      </x:c>
    </x:row>
    <x:row r="33" ht="38" customHeight="1">
      <x:c r="A33" s="2" t="str">
        <x:v>A025</x:v>
      </x:c>
      <x:c r="B33" s="2" t="str">
        <x:v>2019-04-30</x:v>
      </x:c>
      <x:c r="C33" s="7" t="str">
        <x:v>厦门彭某随机袭击女子及纵火</x:v>
      </x:c>
      <x:c r="D33" s="2" t="str">
        <x:v>福建</x:v>
      </x:c>
      <x:c r="E33" s="2" t="str">
        <x:v>厦门</x:v>
      </x:c>
      <x:c r="F33" s="2" t="str">
        <x:v>core</x:v>
      </x:c>
      <x:c r="G33" s="2" t="str">
        <x:v>街道交通</x:v>
      </x:c>
      <x:c r="H33" s="2" t="str">
        <x:v>复合</x:v>
      </x:c>
      <x:c r="I33" s="9" t="n">
        <x:v>1</x:v>
      </x:c>
      <x:c r="J33" s="9" t="n">
        <x:v>1</x:v>
      </x:c>
      <x:c r="K33" s="2"/>
      <x:c r="L33" s="9"/>
      <x:c r="M33" s="9"/>
      <x:c r="N33" s="10" t="n">
        <x:v>43938</x:v>
      </x:c>
      <x:c r="O33" s="7" t="str">
        <x:v>1名受害人死亡、另1名轻微伤；行为人自焚伤情未给数值。</x:v>
      </x:c>
      <x:c r="P33" s="7" t="str">
        <x:v>法院明确以杀人报复社会为目的，连续寻找独行女性袭击，与其经营及家庭问题无关。</x:v>
      </x:c>
      <x:c r="Q33" s="2"/>
      <x:c r="R33" s="2"/>
      <x:c r="S33" s="2" t="str">
        <x:v>day</x:v>
      </x:c>
      <x:c r="T33" s="2"/>
      <x:c r="U33" s="2"/>
      <x:c r="V33" s="9" t="n">
        <x:v>0</x:v>
      </x:c>
      <x:c r="W33" s="9"/>
      <x:c r="X33" s="9"/>
      <x:c r="Y33" s="2"/>
      <x:c r="Z33" s="2" t="str">
        <x:v>随机选择的独行女性</x:v>
      </x:c>
      <x:c r="AA33" s="9"/>
      <x:c r="AB33" s="2" t="str">
        <x:v>男</x:v>
      </x:c>
      <x:c r="AC33" s="2" t="str">
        <x:v>馒头店经营者</x:v>
      </x:c>
      <x:c r="AD33" s="7" t="str">
        <x:v>经营受查、赌博损失、婚姻破裂等个人挫折后报复社会。</x:v>
      </x:c>
      <x:c r="AE33" s="2" t="str">
        <x:v>经济损失；婚姻矛盾；报复社会</x:v>
      </x:c>
      <x:c r="AF33" s="2" t="str">
        <x:v>法院认定</x:v>
      </x:c>
      <x:c r="AG33" s="2"/>
      <x:c r="AH33" s="2"/>
      <x:c r="AI33" s="2"/>
      <x:c r="AJ33" s="2" t="str">
        <x:v>警方追捕并抓获。</x:v>
      </x:c>
      <x:c r="AK33" s="2" t="str">
        <x:v>故意杀人罪死刑、放火罪4年，决定执行死刑；执行未核实。</x:v>
      </x:c>
      <x:c r="AL33" s="10" t="n">
        <x:v>43931</x:v>
      </x:c>
      <x:c r="AM33" s="10"/>
      <x:c r="AN33" s="10" t="n">
        <x:v>43938</x:v>
      </x:c>
      <x:c r="AO33" s="2" t="str">
        <x:v>官方转载</x:v>
      </x:c>
      <x:c r="AP33" s="7" t="str">
        <x:v>AS029</x:v>
      </x:c>
      <x:c r="AQ33" s="7" t="str">
        <x:v>{"date":["AS029"],"location":["AS029"],"casualties":["AS029"],"classification":["AS029"],"motive":["AS029"],"outcome":["AS029"]}</x:v>
      </x:c>
      <x:c r="AR33" s="2"/>
      <x:c r="AS33" s="9"/>
      <x:c r="AT33" s="9"/>
      <x:c r="AU33" s="9"/>
      <x:c r="AV33" s="2"/>
      <x:c r="AW33" s="2"/>
      <x:c r="AX33" s="9"/>
      <x:c r="AY33" s="10"/>
      <x:c r="AZ33" s="7"/>
      <x:c r="BA33" s="7"/>
      <x:c r="BB33" s="7"/>
      <x:c r="BC33" s="7"/>
      <x:c r="BD33" s="2" t="str">
        <x:v>是</x:v>
      </x:c>
      <x:c r="BE33" s="2" t="str">
        <x:v>是</x:v>
      </x:c>
      <x:c r="BF33" s="2" t="str">
        <x:v>官方事实直接支持；法院明确为报复社会连续寻找独行女性袭击，实际被害人与个人经营及婚姻问题无关。</x:v>
      </x:c>
      <x:c r="BG33" s="2" t="str">
        <x:v>婚姻／家庭／感情问题；泄愤／转移报复；经济／工作／财产纠纷</x:v>
      </x:c>
      <x:c r="BH33" s="9" t="n">
        <x:v>2019</x:v>
      </x:c>
      <x:c r="BI33" s="9" t="n">
        <x:v>1</x:v>
      </x:c>
      <x:c r="BJ33" s="9" t="n">
        <x:v>1</x:v>
      </x:c>
      <x:c r="BK33" s="9" t="n">
        <x:v>1</x:v>
      </x:c>
      <x:c r="BL33" s="9" t="n">
        <x:v>1</x:v>
      </x:c>
      <x:c r="BM33" s="9" t="n">
        <x:v>1</x:v>
      </x:c>
      <x:c r="BN33" s="9" t="n">
        <x:v>0</x:v>
      </x:c>
      <x:c r="BO33" s="9" t="n">
        <x:v>0</x:v>
      </x:c>
    </x:row>
    <x:row r="34" ht="38" customHeight="1">
      <x:c r="A34" s="2" t="str">
        <x:v>A044</x:v>
      </x:c>
      <x:c r="B34" s="2" t="str">
        <x:v>2019-05-16</x:v>
      </x:c>
      <x:c r="C34" s="7" t="str">
        <x:v>深圳驾驶人癫痫发作车辆失控（排除）</x:v>
      </x:c>
      <x:c r="D34" s="2" t="str">
        <x:v>广东</x:v>
      </x:c>
      <x:c r="E34" s="2" t="str">
        <x:v>深圳</x:v>
      </x:c>
      <x:c r="F34" s="2" t="str">
        <x:v>excluded</x:v>
      </x:c>
      <x:c r="G34" s="2" t="str">
        <x:v>街道交通</x:v>
      </x:c>
      <x:c r="H34" s="2" t="str">
        <x:v>驾车</x:v>
      </x:c>
      <x:c r="I34" s="9" t="n">
        <x:v>3</x:v>
      </x:c>
      <x:c r="J34" s="9" t="n">
        <x:v>8</x:v>
      </x:c>
      <x:c r="K34" s="2"/>
      <x:c r="L34" s="9"/>
      <x:c r="M34" s="9"/>
      <x:c r="N34" s="10" t="n">
        <x:v>43823</x:v>
      </x:c>
      <x:c r="O34" s="7" t="str">
        <x:v>1重伤5轻伤2轻微伤，法院精确8伤。</x:v>
      </x:c>
      <x:c r="P34" s="7" t="str">
        <x:v>法院明确疾病发作导致失控，虽罪名为危害公共安全且属间接故意，仍无主动随机攻击意图。</x:v>
      </x:c>
      <x:c r="Q34" s="2" t="str">
        <x:v>南山</x:v>
      </x:c>
      <x:c r="R34" s="2"/>
      <x:c r="S34" s="2" t="str">
        <x:v>day</x:v>
      </x:c>
      <x:c r="T34" s="2"/>
      <x:c r="U34" s="2"/>
      <x:c r="V34" s="9" t="n">
        <x:v>1</x:v>
      </x:c>
      <x:c r="W34" s="9"/>
      <x:c r="X34" s="9"/>
      <x:c r="Y34" s="2"/>
      <x:c r="Z34" s="2"/>
      <x:c r="AA34" s="9"/>
      <x:c r="AB34" s="2" t="str">
        <x:v>男</x:v>
      </x:c>
      <x:c r="AC34" s="2"/>
      <x:c r="AD34" s="7"/>
      <x:c r="AE34" s="2" t="str"/>
      <x:c r="AF34" s="2" t="str">
        <x:v>未知</x:v>
      </x:c>
      <x:c r="AG34" s="2" t="str">
        <x:v>确诊癫痫，属于神经系统疾病，不能作精神疾病动机。</x:v>
      </x:c>
      <x:c r="AH34" s="2"/>
      <x:c r="AI34" s="2" t="str">
        <x:v>既往确诊及交通意外后仍驾驶。</x:v>
      </x:c>
      <x:c r="AJ34" s="2"/>
      <x:c r="AK34" s="2" t="str">
        <x:v>有期徒刑13年。</x:v>
      </x:c>
      <x:c r="AL34" s="10" t="n">
        <x:v>43822</x:v>
      </x:c>
      <x:c r="AM34" s="10"/>
      <x:c r="AN34" s="10" t="n">
        <x:v>43823</x:v>
      </x:c>
      <x:c r="AO34" s="2" t="str">
        <x:v>官方转载</x:v>
      </x:c>
      <x:c r="AP34" s="7" t="str">
        <x:v>AS048</x:v>
      </x:c>
      <x:c r="AQ34" s="7" t="str">
        <x:v>{"date":["AS048"],"location":["AS048"],"casualties":["AS048"],"classification":["AS048"],"motive":[],"outcome":["AS048"]}</x:v>
      </x:c>
      <x:c r="AR34" s="2"/>
      <x:c r="AS34" s="9"/>
      <x:c r="AT34" s="9"/>
      <x:c r="AU34" s="9"/>
      <x:c r="AV34" s="2"/>
      <x:c r="AW34" s="2"/>
      <x:c r="AX34" s="9"/>
      <x:c r="AY34" s="10"/>
      <x:c r="AZ34" s="7"/>
      <x:c r="BA34" s="7"/>
      <x:c r="BB34" s="7"/>
      <x:c r="BC34" s="7"/>
      <x:c r="BD34" s="2" t="str">
        <x:v>是</x:v>
      </x:c>
      <x:c r="BE34" s="2" t="str">
        <x:v>否</x:v>
      </x:c>
      <x:c r="BF34" s="2" t="str">
        <x:v>媒体调查／研究推断</x:v>
      </x:c>
      <x:c r="BG34" s="2" t="str"/>
      <x:c r="BH34" s="9" t="n">
        <x:v>2019</x:v>
      </x:c>
      <x:c r="BI34" s="9" t="n">
        <x:v>3</x:v>
      </x:c>
      <x:c r="BJ34" s="9" t="n">
        <x:v>8</x:v>
      </x:c>
      <x:c r="BK34" s="9" t="n">
        <x:v>0</x:v>
      </x:c>
      <x:c r="BL34" s="9" t="n">
        <x:v>0</x:v>
      </x:c>
      <x:c r="BM34" s="9" t="n">
        <x:v>1</x:v>
      </x:c>
      <x:c r="BN34" s="9" t="n">
        <x:v>0</x:v>
      </x:c>
      <x:c r="BO34" s="9" t="n">
        <x:v>0</x:v>
      </x:c>
    </x:row>
    <x:row r="35" ht="38" customHeight="1">
      <x:c r="A35" s="2" t="str">
        <x:v>A026</x:v>
      </x:c>
      <x:c r="B35" s="2" t="str">
        <x:v>2019-05-24</x:v>
      </x:c>
      <x:c r="C35" s="7" t="str">
        <x:v>南昌红谷滩随机杀害行人</x:v>
      </x:c>
      <x:c r="D35" s="2" t="str">
        <x:v>江西</x:v>
      </x:c>
      <x:c r="E35" s="2" t="str">
        <x:v>南昌</x:v>
      </x:c>
      <x:c r="F35" s="2" t="str">
        <x:v>core</x:v>
      </x:c>
      <x:c r="G35" s="2" t="str">
        <x:v>街道交通</x:v>
      </x:c>
      <x:c r="H35" s="2" t="str">
        <x:v>持械</x:v>
      </x:c>
      <x:c r="I35" s="9" t="n">
        <x:v>1</x:v>
      </x:c>
      <x:c r="J35" s="9" t="n">
        <x:v>0</x:v>
      </x:c>
      <x:c r="K35" s="2"/>
      <x:c r="L35" s="9"/>
      <x:c r="M35" s="9"/>
      <x:c r="N35" s="10" t="n">
        <x:v>43986</x:v>
      </x:c>
      <x:c r="O35" s="7"/>
      <x:c r="P35" s="7" t="str">
        <x:v>法院查明尾随经过的陌生女性并选择一人袭击。</x:v>
      </x:c>
      <x:c r="Q35" s="2" t="str">
        <x:v>红谷滩</x:v>
      </x:c>
      <x:c r="R35" s="2"/>
      <x:c r="S35" s="2" t="str">
        <x:v>day</x:v>
      </x:c>
      <x:c r="T35" s="2"/>
      <x:c r="U35" s="2"/>
      <x:c r="V35" s="9"/>
      <x:c r="W35" s="9"/>
      <x:c r="X35" s="9"/>
      <x:c r="Y35" s="2"/>
      <x:c r="Z35" s="2" t="str">
        <x:v>陌生行人</x:v>
      </x:c>
      <x:c r="AA35" s="9"/>
      <x:c r="AB35" s="2" t="str">
        <x:v>男</x:v>
      </x:c>
      <x:c r="AC35" s="2"/>
      <x:c r="AD35" s="7"/>
      <x:c r="AE35" s="2" t="str"/>
      <x:c r="AF35" s="2" t="str">
        <x:v>未知</x:v>
      </x:c>
      <x:c r="AG35" s="2" t="str">
        <x:v>双相情感障碍缓解期，完全刑事责任能力。</x:v>
      </x:c>
      <x:c r="AH35" s="2"/>
      <x:c r="AI35" s="2"/>
      <x:c r="AJ35" s="2" t="str">
        <x:v>警方寻找过程中主动投案。</x:v>
      </x:c>
      <x:c r="AK35" s="2" t="str">
        <x:v>二审维持死刑；未检出执行公告。</x:v>
      </x:c>
      <x:c r="AL35" s="10" t="n">
        <x:v>43986</x:v>
      </x:c>
      <x:c r="AM35" s="10"/>
      <x:c r="AN35" s="10" t="n">
        <x:v>43986</x:v>
      </x:c>
      <x:c r="AO35" s="2" t="str">
        <x:v>官方转载</x:v>
      </x:c>
      <x:c r="AP35" s="7" t="str">
        <x:v>AS030</x:v>
      </x:c>
      <x:c r="AQ35" s="7" t="str">
        <x:v>{"date":["AS030"],"location":["AS030"],"casualties":["AS030"],"classification":["AS030"],"motive":[],"outcome":["AS030"]}</x:v>
      </x:c>
      <x:c r="AR35" s="2"/>
      <x:c r="AS35" s="9"/>
      <x:c r="AT35" s="9"/>
      <x:c r="AU35" s="9"/>
      <x:c r="AV35" s="2"/>
      <x:c r="AW35" s="2"/>
      <x:c r="AX35" s="9"/>
      <x:c r="AY35" s="10"/>
      <x:c r="AZ35" s="7"/>
      <x:c r="BA35" s="7"/>
      <x:c r="BB35" s="7"/>
      <x:c r="BC35" s="7" t="str">
        <x:v>不将未经本来源证实的赌博或就业传闻作为动机。</x:v>
      </x:c>
      <x:c r="BD35" s="2" t="str">
        <x:v>是</x:v>
      </x:c>
      <x:c r="BE35" s="2" t="str">
        <x:v>是</x:v>
      </x:c>
      <x:c r="BF35" s="2" t="str">
        <x:v>官方事实直接支持；法院查明尾随陌生女性后选择一人袭击，陌生目标关系直接披露。</x:v>
      </x:c>
      <x:c r="BG35" s="2" t="str"/>
      <x:c r="BH35" s="9" t="n">
        <x:v>2019</x:v>
      </x:c>
      <x:c r="BI35" s="9" t="n">
        <x:v>1</x:v>
      </x:c>
      <x:c r="BJ35" s="9" t="n">
        <x:v>0</x:v>
      </x:c>
      <x:c r="BK35" s="9" t="n">
        <x:v>1</x:v>
      </x:c>
      <x:c r="BL35" s="9" t="n">
        <x:v>0</x:v>
      </x:c>
      <x:c r="BM35" s="9" t="n">
        <x:v>1</x:v>
      </x:c>
      <x:c r="BN35" s="9" t="n">
        <x:v>0</x:v>
      </x:c>
      <x:c r="BO35" s="9" t="n">
        <x:v>0</x:v>
      </x:c>
    </x:row>
    <x:row r="36" ht="38" customHeight="1">
      <x:c r="A36" s="2" t="str">
        <x:v>A048</x:v>
      </x:c>
      <x:c r="B36" s="2" t="str">
        <x:v>2019-06-21</x:v>
      </x:c>
      <x:c r="C36" s="7" t="str">
        <x:v>天门华泰中学早自习持刀伤人</x:v>
      </x:c>
      <x:c r="D36" s="2" t="str">
        <x:v>湖北</x:v>
      </x:c>
      <x:c r="E36" s="2" t="str">
        <x:v>天门</x:v>
      </x:c>
      <x:c r="F36" s="2" t="str">
        <x:v>pending</x:v>
      </x:c>
      <x:c r="G36" s="2" t="str">
        <x:v>校园及周边</x:v>
      </x:c>
      <x:c r="H36" s="2" t="str">
        <x:v>持械</x:v>
      </x:c>
      <x:c r="I36" s="9" t="n">
        <x:v>0</x:v>
      </x:c>
      <x:c r="J36" s="9" t="n">
        <x:v>8</x:v>
      </x:c>
      <x:c r="K36" s="2"/>
      <x:c r="L36" s="9"/>
      <x:c r="M36" s="9"/>
      <x:c r="N36" s="10" t="n">
        <x:v>43637</x:v>
      </x:c>
      <x:c r="O36" s="7" t="str">
        <x:v>2人在ICU是临床观察，不自动记为2名司法重伤。</x:v>
      </x:c>
      <x:c r="P36" s="7" t="str">
        <x:v>同班多人被伤且有劝阻者受伤，但未披露初始关系、纠纷或目标选择，随机性不明。</x:v>
      </x:c>
      <x:c r="Q36" s="2"/>
      <x:c r="R36" s="2"/>
      <x:c r="S36" s="2" t="str">
        <x:v>day</x:v>
      </x:c>
      <x:c r="T36" s="2"/>
      <x:c r="U36" s="2"/>
      <x:c r="V36" s="9"/>
      <x:c r="W36" s="9"/>
      <x:c r="X36" s="9"/>
      <x:c r="Y36" s="2" t="str">
        <x:v>是</x:v>
      </x:c>
      <x:c r="Z36" s="2" t="str">
        <x:v>同班学生，含劝阻者</x:v>
      </x:c>
      <x:c r="AA36" s="9" t="n">
        <x:v>16</x:v>
      </x:c>
      <x:c r="AB36" s="2" t="str">
        <x:v>男</x:v>
      </x:c>
      <x:c r="AC36" s="2" t="str">
        <x:v>学生</x:v>
      </x:c>
      <x:c r="AD36" s="7"/>
      <x:c r="AE36" s="2" t="str"/>
      <x:c r="AF36" s="2" t="str">
        <x:v>未知</x:v>
      </x:c>
      <x:c r="AG36" s="2" t="str">
        <x:v>教师称正在进行精神鉴定；结果未知，不记为确诊。</x:v>
      </x:c>
      <x:c r="AH36" s="2"/>
      <x:c r="AI36" s="2"/>
      <x:c r="AJ36" s="2" t="str">
        <x:v>警方与学校工作人员当场制服。</x:v>
      </x:c>
      <x:c r="AK36" s="2" t="str">
        <x:v>被控制，后续司法结果未知。</x:v>
      </x:c>
      <x:c r="AL36" s="10"/>
      <x:c r="AM36" s="10"/>
      <x:c r="AN36" s="10" t="n">
        <x:v>43637</x:v>
      </x:c>
      <x:c r="AO36" s="2" t="str">
        <x:v>官方转载</x:v>
      </x:c>
      <x:c r="AP36" s="7" t="str">
        <x:v>AS052</x:v>
      </x:c>
      <x:c r="AQ36" s="7" t="str">
        <x:v>{"date":["AS052"],"location":["AS052"],"casualties":["AS052"],"classification":["AS052"],"motive":[],"outcome":["AS052"]}</x:v>
      </x:c>
      <x:c r="AR36" s="2"/>
      <x:c r="AS36" s="9"/>
      <x:c r="AT36" s="9"/>
      <x:c r="AU36" s="9"/>
      <x:c r="AV36" s="2"/>
      <x:c r="AW36" s="2"/>
      <x:c r="AX36" s="9"/>
      <x:c r="AY36" s="10"/>
      <x:c r="AZ36" s="7"/>
      <x:c r="BA36" s="7"/>
      <x:c r="BB36" s="7"/>
      <x:c r="BC36" s="7"/>
      <x:c r="BD36" s="2" t="str">
        <x:v>是</x:v>
      </x:c>
      <x:c r="BE36" s="2" t="str">
        <x:v>否</x:v>
      </x:c>
      <x:c r="BF36" s="2" t="str">
        <x:v>媒体调查／研究推断</x:v>
      </x:c>
      <x:c r="BG36" s="2" t="str"/>
      <x:c r="BH36" s="9" t="n">
        <x:v>2019</x:v>
      </x:c>
      <x:c r="BI36" s="9" t="n">
        <x:v>0</x:v>
      </x:c>
      <x:c r="BJ36" s="9" t="n">
        <x:v>8</x:v>
      </x:c>
      <x:c r="BK36" s="9" t="n">
        <x:v>0</x:v>
      </x:c>
      <x:c r="BL36" s="9" t="n">
        <x:v>0</x:v>
      </x:c>
      <x:c r="BM36" s="9" t="n">
        <x:v>1</x:v>
      </x:c>
      <x:c r="BN36" s="9" t="n">
        <x:v>0</x:v>
      </x:c>
      <x:c r="BO36" s="9" t="n">
        <x:v>0</x:v>
      </x:c>
    </x:row>
    <x:row r="37" ht="38" customHeight="1">
      <x:c r="A37" s="2" t="str">
        <x:v>A027</x:v>
      </x:c>
      <x:c r="B37" s="2" t="str">
        <x:v>2019-07-31</x:v>
      </x:c>
      <x:c r="C37" s="7" t="str">
        <x:v>重庆南岸小区车库杀害无辜路人</x:v>
      </x:c>
      <x:c r="D37" s="2" t="str">
        <x:v>重庆</x:v>
      </x:c>
      <x:c r="E37" s="2" t="str">
        <x:v>重庆</x:v>
      </x:c>
      <x:c r="F37" s="2" t="str">
        <x:v>core</x:v>
      </x:c>
      <x:c r="G37" s="2" t="str">
        <x:v>社区住宅</x:v>
      </x:c>
      <x:c r="H37" s="2" t="str">
        <x:v>持械</x:v>
      </x:c>
      <x:c r="I37" s="9" t="n">
        <x:v>1</x:v>
      </x:c>
      <x:c r="J37" s="9"/>
      <x:c r="K37" s="2"/>
      <x:c r="L37" s="9"/>
      <x:c r="M37" s="9"/>
      <x:c r="N37" s="10" t="n">
        <x:v>43683</x:v>
      </x:c>
      <x:c r="O37" s="7"/>
      <x:c r="P37" s="7" t="str">
        <x:v>未找到前女友后转向与纠纷无关的过路女子。</x:v>
      </x:c>
      <x:c r="Q37" s="2" t="str">
        <x:v>南岸</x:v>
      </x:c>
      <x:c r="R37" s="2"/>
      <x:c r="S37" s="2" t="str">
        <x:v>day</x:v>
      </x:c>
      <x:c r="T37" s="2"/>
      <x:c r="U37" s="2"/>
      <x:c r="V37" s="9"/>
      <x:c r="W37" s="9"/>
      <x:c r="X37" s="9"/>
      <x:c r="Y37" s="2"/>
      <x:c r="Z37" s="2" t="str">
        <x:v>无关路人</x:v>
      </x:c>
      <x:c r="AA37" s="9" t="n">
        <x:v>18</x:v>
      </x:c>
      <x:c r="AB37" s="2" t="str">
        <x:v>男</x:v>
      </x:c>
      <x:c r="AC37" s="2"/>
      <x:c r="AD37" s="7" t="str">
        <x:v>寻找前女友未果后迁怒无关者，具体心理原因未披露。</x:v>
      </x:c>
      <x:c r="AE37" s="2" t="str">
        <x:v>感情纠纷；转移报复</x:v>
      </x:c>
      <x:c r="AF37" s="2" t="str">
        <x:v>警方初步通报</x:v>
      </x:c>
      <x:c r="AG37" s="2"/>
      <x:c r="AH37" s="2"/>
      <x:c r="AI37" s="2"/>
      <x:c r="AJ37" s="2"/>
      <x:c r="AK37" s="2" t="str">
        <x:v>被抓获；未找到后续裁判。</x:v>
      </x:c>
      <x:c r="AL37" s="10"/>
      <x:c r="AM37" s="10"/>
      <x:c r="AN37" s="10" t="n">
        <x:v>43683</x:v>
      </x:c>
      <x:c r="AO37" s="2" t="str">
        <x:v>官方转载</x:v>
      </x:c>
      <x:c r="AP37" s="7" t="str">
        <x:v>AS031</x:v>
      </x:c>
      <x:c r="AQ37" s="7" t="str">
        <x:v>{"date":["AS031"],"location":["AS031"],"casualties":["AS031"],"classification":["AS031"],"motive":["AS031"],"outcome":["AS031"]}</x:v>
      </x:c>
      <x:c r="AR37" s="2"/>
      <x:c r="AS37" s="9"/>
      <x:c r="AT37" s="9"/>
      <x:c r="AU37" s="9"/>
      <x:c r="AV37" s="2"/>
      <x:c r="AW37" s="2"/>
      <x:c r="AX37" s="9"/>
      <x:c r="AY37" s="10"/>
      <x:c r="AZ37" s="7"/>
      <x:c r="BA37" s="7"/>
      <x:c r="BB37" s="7"/>
      <x:c r="BC37" s="7"/>
      <x:c r="BD37" s="2" t="str">
        <x:v>是</x:v>
      </x:c>
      <x:c r="BE37" s="2" t="str">
        <x:v>是</x:v>
      </x:c>
      <x:c r="BF37" s="2" t="str">
        <x:v>官方事实直接支持；警方通报明确寻找前女友未果后刺死小区车库无关女子，原纠纷对象与实际受害者不同。</x:v>
      </x:c>
      <x:c r="BG37" s="2" t="str">
        <x:v>婚姻／家庭／感情问题；泄愤／转移报复</x:v>
      </x:c>
      <x:c r="BH37" s="9" t="n">
        <x:v>2019</x:v>
      </x:c>
      <x:c r="BI37" s="9" t="n">
        <x:v>1</x:v>
      </x:c>
      <x:c r="BJ37" s="9" t="n">
        <x:v>0</x:v>
      </x:c>
      <x:c r="BK37" s="9" t="n">
        <x:v>1</x:v>
      </x:c>
      <x:c r="BL37" s="9" t="n">
        <x:v>1</x:v>
      </x:c>
      <x:c r="BM37" s="9" t="n">
        <x:v>1</x:v>
      </x:c>
      <x:c r="BN37" s="9" t="n">
        <x:v>0</x:v>
      </x:c>
      <x:c r="BO37" s="9" t="n">
        <x:v>1</x:v>
      </x:c>
    </x:row>
    <x:row r="38" ht="38" customHeight="1">
      <x:c r="A38" s="2" t="str">
        <x:v>A028</x:v>
      </x:c>
      <x:c r="B38" s="2" t="str">
        <x:v>2019-09-02</x:v>
      </x:c>
      <x:c r="C38" s="7" t="str">
        <x:v>恩施朝阳坡小学袭击</x:v>
      </x:c>
      <x:c r="D38" s="2" t="str">
        <x:v>湖北</x:v>
      </x:c>
      <x:c r="E38" s="2" t="str">
        <x:v>恩施州</x:v>
      </x:c>
      <x:c r="F38" s="2" t="str">
        <x:v>core</x:v>
      </x:c>
      <x:c r="G38" s="2" t="str">
        <x:v>校园及周边</x:v>
      </x:c>
      <x:c r="H38" s="2" t="str">
        <x:v>持械</x:v>
      </x:c>
      <x:c r="I38" s="9" t="n">
        <x:v>8</x:v>
      </x:c>
      <x:c r="J38" s="9" t="n">
        <x:v>2</x:v>
      </x:c>
      <x:c r="K38" s="2"/>
      <x:c r="L38" s="9"/>
      <x:c r="M38" s="9"/>
      <x:c r="N38" s="10" t="n">
        <x:v>43826</x:v>
      </x:c>
      <x:c r="O38" s="7"/>
      <x:c r="P38" s="7" t="str">
        <x:v>法院确认对在校学生实施故意杀人，初始警方报道描述进入学校持刀攻击儿童群体；尚无针对既有私人纠纷对象的证据。</x:v>
      </x:c>
      <x:c r="Q38" s="2" t="str">
        <x:v>恩施市</x:v>
      </x:c>
      <x:c r="R38" s="2"/>
      <x:c r="S38" s="2" t="str">
        <x:v>day</x:v>
      </x:c>
      <x:c r="T38" s="2"/>
      <x:c r="U38" s="2"/>
      <x:c r="V38" s="9"/>
      <x:c r="W38" s="9"/>
      <x:c r="X38" s="9"/>
      <x:c r="Y38" s="2" t="str">
        <x:v>是</x:v>
      </x:c>
      <x:c r="Z38" s="2" t="str">
        <x:v>在校学生</x:v>
      </x:c>
      <x:c r="AA38" s="9" t="n">
        <x:v>40</x:v>
      </x:c>
      <x:c r="AB38" s="2" t="str">
        <x:v>男</x:v>
      </x:c>
      <x:c r="AC38" s="2"/>
      <x:c r="AD38" s="7"/>
      <x:c r="AE38" s="2" t="str"/>
      <x:c r="AF38" s="2" t="str">
        <x:v>未知</x:v>
      </x:c>
      <x:c r="AG38" s="2"/>
      <x:c r="AH38" s="2"/>
      <x:c r="AI38" s="2"/>
      <x:c r="AJ38" s="2"/>
      <x:c r="AK38" s="2" t="str">
        <x:v>死刑并已执行。</x:v>
      </x:c>
      <x:c r="AL38" s="10" t="n">
        <x:v>43773</x:v>
      </x:c>
      <x:c r="AM38" s="10" t="n">
        <x:v>43826</x:v>
      </x:c>
      <x:c r="AN38" s="10" t="n">
        <x:v>43826</x:v>
      </x:c>
      <x:c r="AO38" s="2" t="str">
        <x:v>官方转载</x:v>
      </x:c>
      <x:c r="AP38" s="7" t="str">
        <x:v>AS032；AS056</x:v>
      </x:c>
      <x:c r="AQ38" s="7" t="str">
        <x:v>{"date":["AS032"],"location":["AS032"],"casualties":["AS032"],"classification":["AS032"],"motive":[],"outcome":["AS032"],"method":["AS056"]}</x:v>
      </x:c>
      <x:c r="AR38" s="2"/>
      <x:c r="AS38" s="9"/>
      <x:c r="AT38" s="9"/>
      <x:c r="AU38" s="9"/>
      <x:c r="AV38" s="2"/>
      <x:c r="AW38" s="2"/>
      <x:c r="AX38" s="9"/>
      <x:c r="AY38" s="10"/>
      <x:c r="AZ38" s="7"/>
      <x:c r="BA38" s="7"/>
      <x:c r="BB38" s="7"/>
      <x:c r="BC38" s="7" t="str">
        <x:v>动机、精神状态未在所用法院材料明确，留空。</x:v>
      </x:c>
      <x:c r="BD38" s="2" t="str">
        <x:v>是</x:v>
      </x:c>
      <x:c r="BE38" s="2" t="str">
        <x:v>否</x:v>
      </x:c>
      <x:c r="BF38" s="2" t="str">
        <x:v>官方确认发生；随机性／扩大关系含研究解释；法院布告确认故意杀人及8名学生死亡、2人受伤，但未披露被害关系和选择机制；初报中的校园群体袭击及未发现私人纠纷不能单独算官方明确支持随机性。</x:v>
      </x:c>
      <x:c r="BG38" s="2" t="str"/>
      <x:c r="BH38" s="9" t="n">
        <x:v>2019</x:v>
      </x:c>
      <x:c r="BI38" s="9" t="n">
        <x:v>8</x:v>
      </x:c>
      <x:c r="BJ38" s="9" t="n">
        <x:v>2</x:v>
      </x:c>
      <x:c r="BK38" s="9" t="n">
        <x:v>0</x:v>
      </x:c>
      <x:c r="BL38" s="9" t="n">
        <x:v>0</x:v>
      </x:c>
      <x:c r="BM38" s="9" t="n">
        <x:v>1</x:v>
      </x:c>
      <x:c r="BN38" s="9" t="n">
        <x:v>0</x:v>
      </x:c>
      <x:c r="BO38" s="9" t="n">
        <x:v>0</x:v>
      </x:c>
    </x:row>
    <x:row r="39" ht="38" customHeight="1">
      <x:c r="A39" s="2" t="str">
        <x:v>A029</x:v>
      </x:c>
      <x:c r="B39" s="2" t="str">
        <x:v>2019-11-11</x:v>
      </x:c>
      <x:c r="C39" s="7" t="str">
        <x:v>云南开远东城幼儿园腐蚀性液体袭击</x:v>
      </x:c>
      <x:c r="D39" s="2" t="str">
        <x:v>云南</x:v>
      </x:c>
      <x:c r="E39" s="2" t="str">
        <x:v>红河州</x:v>
      </x:c>
      <x:c r="F39" s="2" t="str">
        <x:v>core</x:v>
      </x:c>
      <x:c r="G39" s="2" t="str">
        <x:v>校园及周边</x:v>
      </x:c>
      <x:c r="H39" s="2" t="str">
        <x:v>其他</x:v>
      </x:c>
      <x:c r="I39" s="9" t="n">
        <x:v>0</x:v>
      </x:c>
      <x:c r="J39" s="9" t="n">
        <x:v>54</x:v>
      </x:c>
      <x:c r="K39" s="2"/>
      <x:c r="L39" s="9"/>
      <x:c r="M39" s="9"/>
      <x:c r="N39" s="10" t="n">
        <x:v>43781</x:v>
      </x:c>
      <x:c r="O39" s="7" t="str">
        <x:v>51幼儿、3教师共54伤；2人重度症状为临床表述，司法重伤数留空。</x:v>
      </x:c>
      <x:c r="P39" s="7" t="str">
        <x:v>警方明确报复社会而向无关幼儿与教师喷洒腐蚀性液体。</x:v>
      </x:c>
      <x:c r="Q39" s="2" t="str">
        <x:v>开远</x:v>
      </x:c>
      <x:c r="R39" s="2"/>
      <x:c r="S39" s="2" t="str">
        <x:v>day</x:v>
      </x:c>
      <x:c r="T39" s="2"/>
      <x:c r="U39" s="2"/>
      <x:c r="V39" s="9"/>
      <x:c r="W39" s="9"/>
      <x:c r="X39" s="9"/>
      <x:c r="Y39" s="2" t="str">
        <x:v>是</x:v>
      </x:c>
      <x:c r="Z39" s="2" t="str">
        <x:v>幼儿及教师</x:v>
      </x:c>
      <x:c r="AA39" s="9" t="n">
        <x:v>23</x:v>
      </x:c>
      <x:c r="AB39" s="2" t="str">
        <x:v>男</x:v>
      </x:c>
      <x:c r="AC39" s="2" t="str">
        <x:v>无业</x:v>
      </x:c>
      <x:c r="AD39" s="7" t="str">
        <x:v>警方转述嫌疑人供述：成长及工作生活不顺，产生悲观和报复社会心理。</x:v>
      </x:c>
      <x:c r="AE39" s="2" t="str">
        <x:v>生活挫折；报复社会</x:v>
      </x:c>
      <x:c r="AF39" s="2" t="str">
        <x:v>警方初步通报</x:v>
      </x:c>
      <x:c r="AG39" s="2"/>
      <x:c r="AH39" s="2"/>
      <x:c r="AI39" s="2"/>
      <x:c r="AJ39" s="2" t="str">
        <x:v>警方当日下午抓获。</x:v>
      </x:c>
      <x:c r="AK39" s="2" t="str">
        <x:v>被控制；未检出判决。</x:v>
      </x:c>
      <x:c r="AL39" s="10"/>
      <x:c r="AM39" s="10"/>
      <x:c r="AN39" s="10" t="n">
        <x:v>43781</x:v>
      </x:c>
      <x:c r="AO39" s="2" t="str">
        <x:v>官方转载</x:v>
      </x:c>
      <x:c r="AP39" s="7" t="str">
        <x:v>AS033</x:v>
      </x:c>
      <x:c r="AQ39" s="7" t="str">
        <x:v>{"date":["AS033"],"location":["AS033"],"casualties":["AS033"],"classification":["AS033"],"motive":["AS033"],"outcome":["AS033"]}</x:v>
      </x:c>
      <x:c r="AR39" s="2"/>
      <x:c r="AS39" s="9"/>
      <x:c r="AT39" s="9"/>
      <x:c r="AU39" s="9"/>
      <x:c r="AV39" s="2"/>
      <x:c r="AW39" s="2"/>
      <x:c r="AX39" s="9"/>
      <x:c r="AY39" s="10"/>
      <x:c r="AZ39" s="7"/>
      <x:c r="BA39" s="7"/>
      <x:c r="BB39" s="7"/>
      <x:c r="BC39" s="7"/>
      <x:c r="BD39" s="2" t="str">
        <x:v>是</x:v>
      </x:c>
      <x:c r="BE39" s="2" t="str">
        <x:v>是</x:v>
      </x:c>
      <x:c r="BF39" s="2" t="str">
        <x:v>官方事实直接支持；警方通报供述生活不顺后报复社会，向幼儿园师生喷洒腐蚀性液体，公开目标和行为明确。</x:v>
      </x:c>
      <x:c r="BG39" s="2" t="str">
        <x:v>泄愤／转移报复；生活受挫／疏离／厌世</x:v>
      </x:c>
      <x:c r="BH39" s="9" t="n">
        <x:v>2019</x:v>
      </x:c>
      <x:c r="BI39" s="9" t="n">
        <x:v>0</x:v>
      </x:c>
      <x:c r="BJ39" s="9" t="n">
        <x:v>54</x:v>
      </x:c>
      <x:c r="BK39" s="9" t="n">
        <x:v>1</x:v>
      </x:c>
      <x:c r="BL39" s="9" t="n">
        <x:v>1</x:v>
      </x:c>
      <x:c r="BM39" s="9" t="n">
        <x:v>0</x:v>
      </x:c>
      <x:c r="BN39" s="9" t="n">
        <x:v>0</x:v>
      </x:c>
      <x:c r="BO39" s="9" t="n">
        <x:v>0</x:v>
      </x:c>
    </x:row>
    <x:row r="40" ht="38" customHeight="1">
      <x:c r="A40" s="2" t="str">
        <x:v>A030</x:v>
      </x:c>
      <x:c r="B40" s="2" t="str">
        <x:v>2019-12-06</x:v>
      </x:c>
      <x:c r="C40" s="7" t="str">
        <x:v>北京马家堡被盗车辆冲撞</x:v>
      </x:c>
      <x:c r="D40" s="2" t="str">
        <x:v>北京</x:v>
      </x:c>
      <x:c r="E40" s="2" t="str">
        <x:v>北京</x:v>
      </x:c>
      <x:c r="F40" s="2" t="str">
        <x:v>pending</x:v>
      </x:c>
      <x:c r="G40" s="2" t="str">
        <x:v>街道交通</x:v>
      </x:c>
      <x:c r="H40" s="2" t="str">
        <x:v>驾车</x:v>
      </x:c>
      <x:c r="I40" s="9" t="n">
        <x:v>2</x:v>
      </x:c>
      <x:c r="J40" s="9" t="n">
        <x:v>7</x:v>
      </x:c>
      <x:c r="K40" s="2"/>
      <x:c r="L40" s="9"/>
      <x:c r="M40" s="9"/>
      <x:c r="N40" s="10" t="n">
        <x:v>43805</x:v>
      </x:c>
      <x:c r="O40" s="7"/>
      <x:c r="P40" s="7" t="str">
        <x:v>通报确认盗车及沿途碰撞，未明确撞人故意还是逃离中的肇事，随机主动袭击证据不足。</x:v>
      </x:c>
      <x:c r="Q40" s="2" t="str">
        <x:v>丰台</x:v>
      </x:c>
      <x:c r="R40" s="2"/>
      <x:c r="S40" s="2" t="str">
        <x:v>day</x:v>
      </x:c>
      <x:c r="T40" s="2"/>
      <x:c r="U40" s="2"/>
      <x:c r="V40" s="9"/>
      <x:c r="W40" s="9"/>
      <x:c r="X40" s="9"/>
      <x:c r="Y40" s="2"/>
      <x:c r="Z40" s="2"/>
      <x:c r="AA40" s="9" t="n">
        <x:v>57</x:v>
      </x:c>
      <x:c r="AB40" s="2" t="str">
        <x:v>男</x:v>
      </x:c>
      <x:c r="AC40" s="2"/>
      <x:c r="AD40" s="7"/>
      <x:c r="AE40" s="2" t="str"/>
      <x:c r="AF40" s="2" t="str">
        <x:v>未知</x:v>
      </x:c>
      <x:c r="AG40" s="2"/>
      <x:c r="AH40" s="2"/>
      <x:c r="AI40" s="2"/>
      <x:c r="AJ40" s="2"/>
      <x:c r="AK40" s="2" t="str">
        <x:v>被警方拦截控制；未检出裁判。</x:v>
      </x:c>
      <x:c r="AL40" s="10"/>
      <x:c r="AM40" s="10"/>
      <x:c r="AN40" s="10" t="n">
        <x:v>43805</x:v>
      </x:c>
      <x:c r="AO40" s="2" t="str">
        <x:v>官方转载</x:v>
      </x:c>
      <x:c r="AP40" s="7" t="str">
        <x:v>AS034</x:v>
      </x:c>
      <x:c r="AQ40" s="7" t="str">
        <x:v>{"date":["AS034"],"location":["AS034"],"casualties":["AS034"],"classification":["AS034"],"motive":[],"outcome":["AS034"]}</x:v>
      </x:c>
      <x:c r="AR40" s="2"/>
      <x:c r="AS40" s="9"/>
      <x:c r="AT40" s="9"/>
      <x:c r="AU40" s="9"/>
      <x:c r="AV40" s="2"/>
      <x:c r="AW40" s="2"/>
      <x:c r="AX40" s="9"/>
      <x:c r="AY40" s="10"/>
      <x:c r="AZ40" s="7"/>
      <x:c r="BA40" s="7"/>
      <x:c r="BB40" s="7"/>
      <x:c r="BC40" s="7"/>
      <x:c r="BD40" s="2" t="str">
        <x:v>是</x:v>
      </x:c>
      <x:c r="BE40" s="2" t="str">
        <x:v>否</x:v>
      </x:c>
      <x:c r="BF40" s="2" t="str">
        <x:v>媒体调查／研究推断</x:v>
      </x:c>
      <x:c r="BG40" s="2" t="str"/>
      <x:c r="BH40" s="9" t="n">
        <x:v>2019</x:v>
      </x:c>
      <x:c r="BI40" s="9" t="n">
        <x:v>2</x:v>
      </x:c>
      <x:c r="BJ40" s="9" t="n">
        <x:v>7</x:v>
      </x:c>
      <x:c r="BK40" s="9" t="n">
        <x:v>0</x:v>
      </x:c>
      <x:c r="BL40" s="9" t="n">
        <x:v>0</x:v>
      </x:c>
      <x:c r="BM40" s="9" t="n">
        <x:v>0</x:v>
      </x:c>
      <x:c r="BN40" s="9" t="n">
        <x:v>0</x:v>
      </x:c>
      <x:c r="BO40" s="9" t="n">
        <x:v>0</x:v>
      </x:c>
    </x:row>
    <x:row r="41" ht="38" customHeight="1">
      <x:c r="A41" s="2" t="str">
        <x:v>A031</x:v>
      </x:c>
      <x:c r="B41" s="2" t="str">
        <x:v>2019-12-15</x:v>
      </x:c>
      <x:c r="C41" s="7" t="str">
        <x:v>上海静安持刀警情与警方开枪处置</x:v>
      </x:c>
      <x:c r="D41" s="2" t="str">
        <x:v>上海</x:v>
      </x:c>
      <x:c r="E41" s="2" t="str">
        <x:v>上海</x:v>
      </x:c>
      <x:c r="F41" s="2" t="str">
        <x:v>pending</x:v>
      </x:c>
      <x:c r="G41" s="2" t="str">
        <x:v>街道交通</x:v>
      </x:c>
      <x:c r="H41" s="2" t="str">
        <x:v>持械</x:v>
      </x:c>
      <x:c r="I41" s="9" t="n">
        <x:v>0</x:v>
      </x:c>
      <x:c r="J41" s="9"/>
      <x:c r="K41" s="2" t="str">
        <x:v>2名路人为警方枪弹所伤；直接遭刀伤人数未获证实。</x:v>
      </x:c>
      <x:c r="L41" s="9"/>
      <x:c r="M41" s="9"/>
      <x:c r="N41" s="10" t="n">
        <x:v>43824</x:v>
      </x:c>
      <x:c r="O41" s="7" t="str">
        <x:v>枪伤处置受害者独列response_injured=2，injured留空；不得计作2名刀伤。</x:v>
      </x:c>
      <x:c r="P41" s="7" t="str">
        <x:v>有持刀逼近他人的报道，但2名路人伤情来自警方枪弹；不能把此数作为嫌疑人随机砍伤人数。</x:v>
      </x:c>
      <x:c r="Q41" s="2" t="str">
        <x:v>静安</x:v>
      </x:c>
      <x:c r="R41" s="2"/>
      <x:c r="S41" s="2" t="str">
        <x:v>day</x:v>
      </x:c>
      <x:c r="T41" s="2"/>
      <x:c r="U41" s="2"/>
      <x:c r="V41" s="9"/>
      <x:c r="W41" s="9"/>
      <x:c r="X41" s="9" t="n">
        <x:v>1</x:v>
      </x:c>
      <x:c r="Y41" s="2"/>
      <x:c r="Z41" s="2"/>
      <x:c r="AA41" s="9"/>
      <x:c r="AB41" s="2" t="str">
        <x:v>男</x:v>
      </x:c>
      <x:c r="AC41" s="2"/>
      <x:c r="AD41" s="7"/>
      <x:c r="AE41" s="2" t="str"/>
      <x:c r="AF41" s="2" t="str">
        <x:v>未知</x:v>
      </x:c>
      <x:c r="AG41" s="2"/>
      <x:c r="AH41" s="2"/>
      <x:c r="AI41" s="2" t="str">
        <x:v>邻居称当日下午持物比划并报警；属于报道中的目击陈述。</x:v>
      </x:c>
      <x:c r="AJ41" s="2" t="str">
        <x:v>民警劝阻后开枪制服。</x:v>
      </x:c>
      <x:c r="AK41" s="2" t="str">
        <x:v>持刀者和两名路人送医；其中一路人仍在ICU。</x:v>
      </x:c>
      <x:c r="AL41" s="10"/>
      <x:c r="AM41" s="10"/>
      <x:c r="AN41" s="10" t="n">
        <x:v>43824</x:v>
      </x:c>
      <x:c r="AO41" s="2" t="str">
        <x:v>单一媒体</x:v>
      </x:c>
      <x:c r="AP41" s="7" t="str">
        <x:v>AS035</x:v>
      </x:c>
      <x:c r="AQ41" s="7" t="str">
        <x:v>{"date":["AS035"],"location":["AS035"],"casualties":["AS035"],"classification":["AS035"],"motive":[],"outcome":["AS035"]}</x:v>
      </x:c>
      <x:c r="AR41" s="2"/>
      <x:c r="AS41" s="9"/>
      <x:c r="AT41" s="9" t="n">
        <x:v>2</x:v>
      </x:c>
      <x:c r="AU41" s="9"/>
      <x:c r="AV41" s="2"/>
      <x:c r="AW41" s="2"/>
      <x:c r="AX41" s="9"/>
      <x:c r="AY41" s="10"/>
      <x:c r="AZ41" s="7"/>
      <x:c r="BA41" s="7"/>
      <x:c r="BB41" s="7"/>
      <x:c r="BC41" s="7" t="str">
        <x:v>部分汇编案发日写12月19日，本调查报道明确12月15日。</x:v>
      </x:c>
      <x:c r="BD41" s="2" t="str">
        <x:v>否</x:v>
      </x:c>
      <x:c r="BE41" s="2" t="str">
        <x:v>否</x:v>
      </x:c>
      <x:c r="BF41" s="2" t="str">
        <x:v>媒体调查／研究推断</x:v>
      </x:c>
      <x:c r="BG41" s="2" t="str"/>
      <x:c r="BH41" s="9" t="n">
        <x:v>2019</x:v>
      </x:c>
      <x:c r="BI41" s="9" t="n">
        <x:v>0</x:v>
      </x:c>
      <x:c r="BJ41" s="9" t="n">
        <x:v>0</x:v>
      </x:c>
      <x:c r="BK41" s="9" t="n">
        <x:v>0</x:v>
      </x:c>
      <x:c r="BL41" s="9" t="n">
        <x:v>0</x:v>
      </x:c>
      <x:c r="BM41" s="9" t="n">
        <x:v>0</x:v>
      </x:c>
      <x:c r="BN41" s="9" t="n">
        <x:v>0</x:v>
      </x:c>
      <x:c r="BO41" s="9" t="n">
        <x:v>1</x:v>
      </x:c>
    </x:row>
    <x:row r="42" ht="38" customHeight="1">
      <x:c r="A42" s="2" t="str">
        <x:v>A032</x:v>
      </x:c>
      <x:c r="B42" s="2" t="str">
        <x:v>2020-01-20</x:v>
      </x:c>
      <x:c r="C42" s="7" t="str">
        <x:v>北京朝阳医院伤医及伤害劝阻者</x:v>
      </x:c>
      <x:c r="D42" s="2" t="str">
        <x:v>北京</x:v>
      </x:c>
      <x:c r="E42" s="2" t="str">
        <x:v>北京</x:v>
      </x:c>
      <x:c r="F42" s="2" t="str">
        <x:v>expanded</x:v>
      </x:c>
      <x:c r="G42" s="2" t="str">
        <x:v>医疗机构</x:v>
      </x:c>
      <x:c r="H42" s="2" t="str">
        <x:v>持械</x:v>
      </x:c>
      <x:c r="I42" s="9" t="n">
        <x:v>0</x:v>
      </x:c>
      <x:c r="J42" s="9" t="n">
        <x:v>4</x:v>
      </x:c>
      <x:c r="K42" s="2"/>
      <x:c r="L42" s="9"/>
      <x:c r="M42" s="9"/>
      <x:c r="N42" s="10" t="n">
        <x:v>44229</x:v>
      </x:c>
      <x:c r="O42" s="7" t="str">
        <x:v>1名重伤二级、1名轻伤二级、2名轻微伤。</x:v>
      </x:c>
      <x:c r="P42" s="7" t="str">
        <x:v>起始明确针对诊治医生，继而主动砍伤3名阻拦其行凶者；属于纠纷扩展而非核心随机选人。</x:v>
      </x:c>
      <x:c r="Q42" s="2" t="str">
        <x:v>朝阳</x:v>
      </x:c>
      <x:c r="R42" s="2"/>
      <x:c r="S42" s="2" t="str">
        <x:v>day</x:v>
      </x:c>
      <x:c r="T42" s="2"/>
      <x:c r="U42" s="2"/>
      <x:c r="V42" s="9" t="n">
        <x:v>1</x:v>
      </x:c>
      <x:c r="W42" s="9"/>
      <x:c r="X42" s="9"/>
      <x:c r="Y42" s="2"/>
      <x:c r="Z42" s="2" t="str">
        <x:v>诊治医生及3名阻拦者</x:v>
      </x:c>
      <x:c r="AA42" s="9"/>
      <x:c r="AB42" s="2" t="str">
        <x:v>男</x:v>
      </x:c>
      <x:c r="AC42" s="2"/>
      <x:c r="AD42" s="7" t="str">
        <x:v>认为眼睛治疗效果未达个人预期，对诊治医生怨恨。</x:v>
      </x:c>
      <x:c r="AE42" s="2" t="str">
        <x:v>医患纠纷；扩大伤害</x:v>
      </x:c>
      <x:c r="AF42" s="2" t="str">
        <x:v>法院认定</x:v>
      </x:c>
      <x:c r="AG42" s="2"/>
      <x:c r="AH42" s="2"/>
      <x:c r="AI42" s="2"/>
      <x:c r="AJ42" s="2" t="str">
        <x:v>3名旁人阻止时被伤；作案后让人报警并在现场等候。</x:v>
      </x:c>
      <x:c r="AK42" s="2" t="str">
        <x:v>一审死刑缓期二年执行。</x:v>
      </x:c>
      <x:c r="AL42" s="10" t="n">
        <x:v>44229</x:v>
      </x:c>
      <x:c r="AM42" s="10"/>
      <x:c r="AN42" s="10" t="n">
        <x:v>44229</x:v>
      </x:c>
      <x:c r="AO42" s="2" t="str">
        <x:v>官方转载</x:v>
      </x:c>
      <x:c r="AP42" s="7" t="str">
        <x:v>AS036</x:v>
      </x:c>
      <x:c r="AQ42" s="7" t="str">
        <x:v>{"date":["AS036"],"location":["AS036"],"casualties":["AS036"],"classification":["AS036"],"motive":["AS036"],"outcome":["AS036"]}</x:v>
      </x:c>
      <x:c r="AR42" s="2"/>
      <x:c r="AS42" s="9"/>
      <x:c r="AT42" s="9"/>
      <x:c r="AU42" s="9"/>
      <x:c r="AV42" s="2"/>
      <x:c r="AW42" s="2"/>
      <x:c r="AX42" s="9"/>
      <x:c r="AY42" s="10"/>
      <x:c r="AZ42" s="7"/>
      <x:c r="BA42" s="7"/>
      <x:c r="BB42" s="7"/>
      <x:c r="BC42" s="7" t="str">
        <x:v>被害医生姓名从事件标题及字段中省略。</x:v>
      </x:c>
      <x:c r="BD42" s="2" t="str">
        <x:v>是</x:v>
      </x:c>
      <x:c r="BE42" s="2" t="str">
        <x:v>是</x:v>
      </x:c>
      <x:c r="BF42" s="2" t="str">
        <x:v>官方事实直接支持；法院明确因诊疗不满攻击医生，随后砍伤3名阻拦者，原医患纠纷之外人员被主动攻击的过程明确；阻拦者参与现场制止不等同原纠纷当事人。</x:v>
      </x:c>
      <x:c r="BG42" s="2" t="str">
        <x:v>其他已披露背景</x:v>
      </x:c>
      <x:c r="BH42" s="9" t="n">
        <x:v>2020</x:v>
      </x:c>
      <x:c r="BI42" s="9" t="n">
        <x:v>0</x:v>
      </x:c>
      <x:c r="BJ42" s="9" t="n">
        <x:v>4</x:v>
      </x:c>
      <x:c r="BK42" s="9" t="n">
        <x:v>1</x:v>
      </x:c>
      <x:c r="BL42" s="9" t="n">
        <x:v>1</x:v>
      </x:c>
      <x:c r="BM42" s="9" t="n">
        <x:v>1</x:v>
      </x:c>
      <x:c r="BN42" s="9" t="n">
        <x:v>0</x:v>
      </x:c>
      <x:c r="BO42" s="9" t="n">
        <x:v>0</x:v>
      </x:c>
    </x:row>
    <x:row r="43" ht="38" customHeight="1">
      <x:c r="A43" s="2" t="str">
        <x:v>A033</x:v>
      </x:c>
      <x:c r="B43" s="2" t="str">
        <x:v>2020-04-15</x:v>
      </x:c>
      <x:c r="C43" s="7" t="str">
        <x:v>滦平沿省道驾车及持石袭击行人</x:v>
      </x:c>
      <x:c r="D43" s="2" t="str">
        <x:v>河北</x:v>
      </x:c>
      <x:c r="E43" s="2" t="str">
        <x:v>承德</x:v>
      </x:c>
      <x:c r="F43" s="2" t="str">
        <x:v>core</x:v>
      </x:c>
      <x:c r="G43" s="2" t="str">
        <x:v>街道交通</x:v>
      </x:c>
      <x:c r="H43" s="2" t="str">
        <x:v>复合</x:v>
      </x:c>
      <x:c r="I43" s="9" t="n">
        <x:v>2</x:v>
      </x:c>
      <x:c r="J43" s="9" t="n">
        <x:v>7</x:v>
      </x:c>
      <x:c r="K43" s="2"/>
      <x:c r="L43" s="9"/>
      <x:c r="M43" s="9"/>
      <x:c r="N43" s="10" t="n">
        <x:v>43971</x:v>
      </x:c>
      <x:c r="O43" s="7"/>
      <x:c r="P43" s="7" t="str">
        <x:v>检方明确报复社会而连续冲撞多名行人，并继续持石袭击，与具体私人对象无关。</x:v>
      </x:c>
      <x:c r="Q43" s="2" t="str">
        <x:v>滦平</x:v>
      </x:c>
      <x:c r="R43" s="2"/>
      <x:c r="S43" s="2" t="str">
        <x:v>day</x:v>
      </x:c>
      <x:c r="T43" s="2"/>
      <x:c r="U43" s="2"/>
      <x:c r="V43" s="9"/>
      <x:c r="W43" s="9"/>
      <x:c r="X43" s="9"/>
      <x:c r="Y43" s="2"/>
      <x:c r="Z43" s="2" t="str">
        <x:v>道路行人</x:v>
      </x:c>
      <x:c r="AA43" s="9" t="n">
        <x:v>30</x:v>
      </x:c>
      <x:c r="AB43" s="2" t="str">
        <x:v>男</x:v>
      </x:c>
      <x:c r="AC43" s="2" t="str">
        <x:v>曾从事法语翻译</x:v>
      </x:c>
      <x:c r="AD43" s="7" t="str">
        <x:v>检方通报指厌世、自杀及报复社会念头；尚未取得终审认定。</x:v>
      </x:c>
      <x:c r="AE43" s="2" t="str">
        <x:v>报复社会；自杀倾向</x:v>
      </x:c>
      <x:c r="AF43" s="2" t="str">
        <x:v>检方指控</x:v>
      </x:c>
      <x:c r="AG43" s="2"/>
      <x:c r="AH43" s="2"/>
      <x:c r="AI43" s="2"/>
      <x:c r="AJ43" s="2" t="str">
        <x:v>现场群众控制。</x:v>
      </x:c>
      <x:c r="AK43" s="2" t="str">
        <x:v>2020年5月14日获批逮捕；未检出裁判。</x:v>
      </x:c>
      <x:c r="AL43" s="10"/>
      <x:c r="AM43" s="10"/>
      <x:c r="AN43" s="10" t="n">
        <x:v>43971</x:v>
      </x:c>
      <x:c r="AO43" s="2" t="str">
        <x:v>官方转载</x:v>
      </x:c>
      <x:c r="AP43" s="7" t="str">
        <x:v>AS037</x:v>
      </x:c>
      <x:c r="AQ43" s="7" t="str">
        <x:v>{"date":["AS037"],"location":["AS037"],"casualties":["AS037"],"classification":["AS037"],"motive":["AS037"],"outcome":["AS037"]}</x:v>
      </x:c>
      <x:c r="AR43" s="2"/>
      <x:c r="AS43" s="9"/>
      <x:c r="AT43" s="9"/>
      <x:c r="AU43" s="9"/>
      <x:c r="AV43" s="2" t="str">
        <x:v>检方批捕阶段通报</x:v>
      </x:c>
      <x:c r="AW43" s="2"/>
      <x:c r="AX43" s="9"/>
      <x:c r="AY43" s="10"/>
      <x:c r="AZ43" s="7"/>
      <x:c r="BA43" s="7"/>
      <x:c r="BB43" s="7"/>
      <x:c r="BC43" s="7" t="str">
        <x:v>动机来自检方批捕阶段通报，不作为法院最终认定。</x:v>
      </x:c>
      <x:c r="BD43" s="2" t="str">
        <x:v>是</x:v>
      </x:c>
      <x:c r="BE43" s="2" t="str">
        <x:v>是</x:v>
      </x:c>
      <x:c r="BF43" s="2" t="str">
        <x:v>官方事实直接支持；检方通报明确厌世、报复社会后沿省道连续撞击行人并持石继续攻击，直接支持公众目标；证据层级为检方指控，不能写成法院最终认定。</x:v>
      </x:c>
      <x:c r="BG43" s="2" t="str">
        <x:v>求死／求入狱；泄愤／转移报复</x:v>
      </x:c>
      <x:c r="BH43" s="9" t="n">
        <x:v>2020</x:v>
      </x:c>
      <x:c r="BI43" s="9" t="n">
        <x:v>2</x:v>
      </x:c>
      <x:c r="BJ43" s="9" t="n">
        <x:v>7</x:v>
      </x:c>
      <x:c r="BK43" s="9" t="n">
        <x:v>1</x:v>
      </x:c>
      <x:c r="BL43" s="9" t="n">
        <x:v>1</x:v>
      </x:c>
      <x:c r="BM43" s="9" t="n">
        <x:v>1</x:v>
      </x:c>
      <x:c r="BN43" s="9" t="n">
        <x:v>0</x:v>
      </x:c>
      <x:c r="BO43" s="9" t="n">
        <x:v>0</x:v>
      </x:c>
    </x:row>
    <x:row r="44" ht="38" customHeight="1">
      <x:c r="A44" s="2" t="str">
        <x:v>A034</x:v>
      </x:c>
      <x:c r="B44" s="2" t="str">
        <x:v>2020-06-04</x:v>
      </x:c>
      <x:c r="C44" s="7" t="str">
        <x:v>苍梧旺甫镇中心小学持刀伤人</x:v>
      </x:c>
      <x:c r="D44" s="2" t="str">
        <x:v>广西</x:v>
      </x:c>
      <x:c r="E44" s="2" t="str">
        <x:v>梧州</x:v>
      </x:c>
      <x:c r="F44" s="2" t="str">
        <x:v>expanded</x:v>
      </x:c>
      <x:c r="G44" s="2" t="str">
        <x:v>校园及周边</x:v>
      </x:c>
      <x:c r="H44" s="2" t="str">
        <x:v>持械</x:v>
      </x:c>
      <x:c r="I44" s="9" t="n">
        <x:v>0</x:v>
      </x:c>
      <x:c r="J44" s="9" t="n">
        <x:v>41</x:v>
      </x:c>
      <x:c r="K44" s="2"/>
      <x:c r="L44" s="9"/>
      <x:c r="M44" s="9"/>
      <x:c r="N44" s="10" t="n">
        <x:v>44195</x:v>
      </x:c>
      <x:c r="O44" s="7" t="str">
        <x:v>采用法院最终41伤，取代初报39伤。</x:v>
      </x:c>
      <x:c r="P44" s="7" t="str">
        <x:v>先因工作纠纷袭击同事，随后攻击与该纠纷无关的学生等人员。</x:v>
      </x:c>
      <x:c r="Q44" s="2" t="str">
        <x:v>苍梧</x:v>
      </x:c>
      <x:c r="R44" s="2"/>
      <x:c r="S44" s="2" t="str">
        <x:v>day</x:v>
      </x:c>
      <x:c r="T44" s="2"/>
      <x:c r="U44" s="2"/>
      <x:c r="V44" s="9" t="n">
        <x:v>1</x:v>
      </x:c>
      <x:c r="W44" s="9"/>
      <x:c r="X44" s="9"/>
      <x:c r="Y44" s="2" t="str">
        <x:v>是</x:v>
      </x:c>
      <x:c r="Z44" s="2" t="str">
        <x:v>同事、副校长及无关学生</x:v>
      </x:c>
      <x:c r="AA44" s="9"/>
      <x:c r="AB44" s="2" t="str">
        <x:v>男</x:v>
      </x:c>
      <x:c r="AC44" s="2" t="str">
        <x:v>学校保安</x:v>
      </x:c>
      <x:c r="AD44" s="7" t="str">
        <x:v>工作与请假等争执后行凶，扩大至学生群体。</x:v>
      </x:c>
      <x:c r="AE44" s="2" t="str">
        <x:v>工作纠纷；扩大报复</x:v>
      </x:c>
      <x:c r="AF44" s="2" t="str">
        <x:v>法院认定</x:v>
      </x:c>
      <x:c r="AG44" s="2"/>
      <x:c r="AH44" s="2"/>
      <x:c r="AI44" s="2"/>
      <x:c r="AJ44" s="2"/>
      <x:c r="AK44" s="2" t="str">
        <x:v>二审维持死刑；未检出执行公告。</x:v>
      </x:c>
      <x:c r="AL44" s="10" t="n">
        <x:v>44195</x:v>
      </x:c>
      <x:c r="AM44" s="10"/>
      <x:c r="AN44" s="10" t="n">
        <x:v>44195</x:v>
      </x:c>
      <x:c r="AO44" s="2" t="str">
        <x:v>官方转载</x:v>
      </x:c>
      <x:c r="AP44" s="7" t="str">
        <x:v>AS038</x:v>
      </x:c>
      <x:c r="AQ44" s="7" t="str">
        <x:v>{"date":["AS038"],"location":["AS038"],"casualties":["AS038"],"classification":["AS038"],"motive":["AS038"],"outcome":["AS038"]}</x:v>
      </x:c>
      <x:c r="AR44" s="2"/>
      <x:c r="AS44" s="9"/>
      <x:c r="AT44" s="9"/>
      <x:c r="AU44" s="9"/>
      <x:c r="AV44" s="2"/>
      <x:c r="AW44" s="2"/>
      <x:c r="AX44" s="9"/>
      <x:c r="AY44" s="10"/>
      <x:c r="AZ44" s="7"/>
      <x:c r="BA44" s="7"/>
      <x:c r="BB44" s="7"/>
      <x:c r="BC44" s="7"/>
      <x:c r="BD44" s="2" t="str">
        <x:v>是</x:v>
      </x:c>
      <x:c r="BE44" s="2" t="str">
        <x:v>是</x:v>
      </x:c>
      <x:c r="BF44" s="2" t="str">
        <x:v>官方事实直接支持；法院明确工作纠纷先袭击同事，再砍击无关学生等人员，纠纷扩大过程直接可见。</x:v>
      </x:c>
      <x:c r="BG44" s="2" t="str">
        <x:v>其他已披露背景；经济／工作／财产纠纷</x:v>
      </x:c>
      <x:c r="BH44" s="9" t="n">
        <x:v>2020</x:v>
      </x:c>
      <x:c r="BI44" s="9" t="n">
        <x:v>0</x:v>
      </x:c>
      <x:c r="BJ44" s="9" t="n">
        <x:v>41</x:v>
      </x:c>
      <x:c r="BK44" s="9" t="n">
        <x:v>1</x:v>
      </x:c>
      <x:c r="BL44" s="9" t="n">
        <x:v>1</x:v>
      </x:c>
      <x:c r="BM44" s="9" t="n">
        <x:v>1</x:v>
      </x:c>
      <x:c r="BN44" s="9" t="n">
        <x:v>0</x:v>
      </x:c>
      <x:c r="BO44" s="9" t="n">
        <x:v>0</x:v>
      </x:c>
    </x:row>
    <x:row r="45" ht="38" customHeight="1">
      <x:c r="A45" s="2" t="str">
        <x:v>A035</x:v>
      </x:c>
      <x:c r="B45" s="2" t="str">
        <x:v>2020-06-04</x:v>
      </x:c>
      <x:c r="C45" s="7" t="str">
        <x:v>仙游枫亭镇和平村超市外持刀伤人</x:v>
      </x:c>
      <x:c r="D45" s="2" t="str">
        <x:v>福建</x:v>
      </x:c>
      <x:c r="E45" s="2" t="str">
        <x:v>莆田</x:v>
      </x:c>
      <x:c r="F45" s="2" t="str">
        <x:v>pending</x:v>
      </x:c>
      <x:c r="G45" s="2" t="str">
        <x:v>街道交通</x:v>
      </x:c>
      <x:c r="H45" s="2" t="str">
        <x:v>持械</x:v>
      </x:c>
      <x:c r="I45" s="9" t="n">
        <x:v>3</x:v>
      </x:c>
      <x:c r="J45" s="9" t="n">
        <x:v>7</x:v>
      </x:c>
      <x:c r="K45" s="2"/>
      <x:c r="L45" s="9"/>
      <x:c r="M45" s="9"/>
      <x:c r="N45" s="10" t="n">
        <x:v>43987</x:v>
      </x:c>
      <x:c r="O45" s="7"/>
      <x:c r="P45" s="7" t="str">
        <x:v>警方证实3死7伤；无差别行为主要来自一组红星新闻目击者采访，尚缺官方关系认定或第二独立调查。</x:v>
      </x:c>
      <x:c r="Q45" s="2" t="str">
        <x:v>仙游</x:v>
      </x:c>
      <x:c r="R45" s="2"/>
      <x:c r="S45" s="2" t="str">
        <x:v>day</x:v>
      </x:c>
      <x:c r="T45" s="2"/>
      <x:c r="U45" s="2"/>
      <x:c r="V45" s="9"/>
      <x:c r="W45" s="9"/>
      <x:c r="X45" s="9"/>
      <x:c r="Y45" s="2"/>
      <x:c r="Z45" s="2" t="str">
        <x:v>媒体称附近路人，官方未详述</x:v>
      </x:c>
      <x:c r="AA45" s="9" t="n">
        <x:v>35</x:v>
      </x:c>
      <x:c r="AB45" s="2" t="str">
        <x:v>男</x:v>
      </x:c>
      <x:c r="AC45" s="2"/>
      <x:c r="AD45" s="7"/>
      <x:c r="AE45" s="2" t="str"/>
      <x:c r="AF45" s="2" t="str">
        <x:v>未知</x:v>
      </x:c>
      <x:c r="AG45" s="2"/>
      <x:c r="AH45" s="2"/>
      <x:c r="AI45" s="2"/>
      <x:c r="AJ45" s="2"/>
      <x:c r="AK45" s="2" t="str">
        <x:v>案发当夜被抓获，未检出判决。</x:v>
      </x:c>
      <x:c r="AL45" s="10"/>
      <x:c r="AM45" s="10"/>
      <x:c r="AN45" s="10" t="n">
        <x:v>43987</x:v>
      </x:c>
      <x:c r="AO45" s="2" t="str">
        <x:v>单一媒体</x:v>
      </x:c>
      <x:c r="AP45" s="7" t="str">
        <x:v>AS039</x:v>
      </x:c>
      <x:c r="AQ45" s="7" t="str">
        <x:v>{"date":["AS039"],"location":["AS039"],"casualties":["AS039"],"classification":["AS039"],"motive":[],"outcome":["AS039"]}</x:v>
      </x:c>
      <x:c r="AR45" s="2"/>
      <x:c r="AS45" s="9"/>
      <x:c r="AT45" s="9"/>
      <x:c r="AU45" s="9"/>
      <x:c r="AV45" s="2"/>
      <x:c r="AW45" s="2"/>
      <x:c r="AX45" s="9"/>
      <x:c r="AY45" s="10"/>
      <x:c r="AZ45" s="7"/>
      <x:c r="BA45" s="7"/>
      <x:c r="BB45" s="7"/>
      <x:c r="BC45" s="7"/>
      <x:c r="BD45" s="2" t="str">
        <x:v>否</x:v>
      </x:c>
      <x:c r="BE45" s="2" t="str">
        <x:v>否</x:v>
      </x:c>
      <x:c r="BF45" s="2" t="str">
        <x:v>媒体调查／研究推断</x:v>
      </x:c>
      <x:c r="BG45" s="2" t="str"/>
      <x:c r="BH45" s="9" t="n">
        <x:v>2020</x:v>
      </x:c>
      <x:c r="BI45" s="9" t="n">
        <x:v>3</x:v>
      </x:c>
      <x:c r="BJ45" s="9" t="n">
        <x:v>7</x:v>
      </x:c>
      <x:c r="BK45" s="9" t="n">
        <x:v>0</x:v>
      </x:c>
      <x:c r="BL45" s="9" t="n">
        <x:v>0</x:v>
      </x:c>
      <x:c r="BM45" s="9" t="n">
        <x:v>1</x:v>
      </x:c>
      <x:c r="BN45" s="9" t="n">
        <x:v>0</x:v>
      </x:c>
      <x:c r="BO45" s="9" t="n">
        <x:v>0</x:v>
      </x:c>
    </x:row>
    <x:row r="46" ht="38" customHeight="1">
      <x:c r="A46" s="2" t="str">
        <x:v>A036</x:v>
      </x:c>
      <x:c r="B46" s="2" t="str">
        <x:v>2020-06-17</x:v>
      </x:c>
      <x:c r="C46" s="7" t="str">
        <x:v>上海徐汇建国西路持刀伤害路人</x:v>
      </x:c>
      <x:c r="D46" s="2" t="str">
        <x:v>上海</x:v>
      </x:c>
      <x:c r="E46" s="2" t="str">
        <x:v>上海</x:v>
      </x:c>
      <x:c r="F46" s="2" t="str">
        <x:v>pending</x:v>
      </x:c>
      <x:c r="G46" s="2" t="str">
        <x:v>街道交通</x:v>
      </x:c>
      <x:c r="H46" s="2" t="str">
        <x:v>复合</x:v>
      </x:c>
      <x:c r="I46" s="9" t="n">
        <x:v>0</x:v>
      </x:c>
      <x:c r="J46" s="9" t="n">
        <x:v>7</x:v>
      </x:c>
      <x:c r="K46" s="2"/>
      <x:c r="L46" s="9"/>
      <x:c r="M46" s="9"/>
      <x:c r="N46" s="10" t="n">
        <x:v>44000</x:v>
      </x:c>
      <x:c r="O46" s="7" t="str">
        <x:v>主动持刀/拳击阶段7伤；另3名交通碰撞伤者，其故意性未查明，不并入injured；全事件送医10人。</x:v>
      </x:c>
      <x:c r="P46" s="7" t="str">
        <x:v>持刀/徒手主动伤害7人已有警方确认；女友与路人同时受害，但原始目标、起因及攻击顺序未明，尚不能区分核心不特定袭击与特定纠纷扩大。原有碰撞3伤故意性另待核。</x:v>
      </x:c>
      <x:c r="Q46" s="2" t="str">
        <x:v>徐汇</x:v>
      </x:c>
      <x:c r="R46" s="2"/>
      <x:c r="S46" s="2" t="str">
        <x:v>day</x:v>
      </x:c>
      <x:c r="T46" s="2"/>
      <x:c r="U46" s="2"/>
      <x:c r="V46" s="9"/>
      <x:c r="W46" s="9"/>
      <x:c r="X46" s="9"/>
      <x:c r="Y46" s="2"/>
      <x:c r="Z46" s="2" t="str">
        <x:v>同行女友及6名无关路人</x:v>
      </x:c>
      <x:c r="AA46" s="9" t="n">
        <x:v>39</x:v>
      </x:c>
      <x:c r="AB46" s="2" t="str">
        <x:v>男</x:v>
      </x:c>
      <x:c r="AC46" s="2"/>
      <x:c r="AD46" s="7"/>
      <x:c r="AE46" s="2" t="str"/>
      <x:c r="AF46" s="2" t="str">
        <x:v>未知</x:v>
      </x:c>
      <x:c r="AG46" s="2" t="str">
        <x:v>家属称近期出现异常言行，仅为家属描述，未见司法鉴定。</x:v>
      </x:c>
      <x:c r="AH46" s="2"/>
      <x:c r="AI46" s="2"/>
      <x:c r="AJ46" s="2"/>
      <x:c r="AK46" s="2" t="str">
        <x:v>被警方控制，排除酒驾毒驾；未检出裁判。</x:v>
      </x:c>
      <x:c r="AL46" s="10"/>
      <x:c r="AM46" s="10"/>
      <x:c r="AN46" s="10" t="n">
        <x:v>44000</x:v>
      </x:c>
      <x:c r="AO46" s="2" t="str">
        <x:v>官方转载</x:v>
      </x:c>
      <x:c r="AP46" s="7" t="str">
        <x:v>AS040</x:v>
      </x:c>
      <x:c r="AQ46" s="7" t="str">
        <x:v>{"date":["AS040"],"location":["AS040"],"casualties":["AS040"],"classification":["AS040"],"motive":[],"outcome":["AS040"]}</x:v>
      </x:c>
      <x:c r="AR46" s="2"/>
      <x:c r="AS46" s="9" t="n">
        <x:v>3</x:v>
      </x:c>
      <x:c r="AT46" s="9"/>
      <x:c r="AU46" s="9" t="n">
        <x:v>10</x:v>
      </x:c>
      <x:c r="AV46" s="2"/>
      <x:c r="AW46" s="2"/>
      <x:c r="AX46" s="9"/>
      <x:c r="AY46" s="10"/>
      <x:c r="AZ46" s="7"/>
      <x:c r="BA46" s="7"/>
      <x:c r="BB46" s="7"/>
      <x:c r="BC46" s="7"/>
      <x:c r="BD46" s="2" t="str">
        <x:v>是</x:v>
      </x:c>
      <x:c r="BE46" s="2" t="str">
        <x:v>否</x:v>
      </x:c>
      <x:c r="BF46" s="2" t="str">
        <x:v>官方确认主动伤害与受害者结构；核心/扩展边界待核，未凭未发现私人纠纷推定随机。</x:v>
      </x:c>
      <x:c r="BG46" s="2" t="str"/>
      <x:c r="BH46" s="9" t="n">
        <x:v>2020</x:v>
      </x:c>
      <x:c r="BI46" s="9" t="n">
        <x:v>0</x:v>
      </x:c>
      <x:c r="BJ46" s="9" t="n">
        <x:v>7</x:v>
      </x:c>
      <x:c r="BK46" s="9" t="n">
        <x:v>0</x:v>
      </x:c>
      <x:c r="BL46" s="9" t="n">
        <x:v>0</x:v>
      </x:c>
      <x:c r="BM46" s="9" t="n">
        <x:v>1</x:v>
      </x:c>
      <x:c r="BN46" s="9" t="n">
        <x:v>0</x:v>
      </x:c>
      <x:c r="BO46" s="9" t="n">
        <x:v>0</x:v>
      </x:c>
    </x:row>
    <x:row r="47" ht="38" customHeight="1">
      <x:c r="A47" s="2" t="str">
        <x:v>A037</x:v>
      </x:c>
      <x:c r="B47" s="2" t="str">
        <x:v>2020-07-05</x:v>
      </x:c>
      <x:c r="C47" s="7" t="str">
        <x:v>凤翔随机伤害路人及杀害出租车司机</x:v>
      </x:c>
      <x:c r="D47" s="2" t="str">
        <x:v>陕西</x:v>
      </x:c>
      <x:c r="E47" s="2" t="str">
        <x:v>宝鸡</x:v>
      </x:c>
      <x:c r="F47" s="2" t="str">
        <x:v>core</x:v>
      </x:c>
      <x:c r="G47" s="2" t="str">
        <x:v>街道交通</x:v>
      </x:c>
      <x:c r="H47" s="2" t="str">
        <x:v>持械</x:v>
      </x:c>
      <x:c r="I47" s="9" t="n">
        <x:v>2</x:v>
      </x:c>
      <x:c r="J47" s="9" t="n">
        <x:v>1</x:v>
      </x:c>
      <x:c r="K47" s="2"/>
      <x:c r="L47" s="9"/>
      <x:c r="M47" s="9"/>
      <x:c r="N47" s="10" t="n">
        <x:v>44326</x:v>
      </x:c>
      <x:c r="O47" s="7" t="str">
        <x:v>2死包含第二阶段出租车司机；1伤为轻伤二级。</x:v>
      </x:c>
      <x:c r="P47" s="7" t="str">
        <x:v>先主动袭击两名无关路人，随后逃离途中另杀司机；核心随机阶段独立成立。</x:v>
      </x:c>
      <x:c r="Q47" s="2" t="str">
        <x:v>凤翔</x:v>
      </x:c>
      <x:c r="R47" s="2"/>
      <x:c r="S47" s="2" t="str">
        <x:v>day</x:v>
      </x:c>
      <x:c r="T47" s="2"/>
      <x:c r="U47" s="2"/>
      <x:c r="V47" s="9" t="n">
        <x:v>0</x:v>
      </x:c>
      <x:c r="W47" s="9"/>
      <x:c r="X47" s="9"/>
      <x:c r="Y47" s="2"/>
      <x:c r="Z47" s="2" t="str">
        <x:v>无关路人及后续乘车纠纷中的司机</x:v>
      </x:c>
      <x:c r="AA47" s="9"/>
      <x:c r="AB47" s="2" t="str">
        <x:v>男</x:v>
      </x:c>
      <x:c r="AC47" s="2"/>
      <x:c r="AD47" s="7" t="str">
        <x:v>法院认为受网络小说影响欲模仿砍人情节；第二阶段与司机车费争执。</x:v>
      </x:c>
      <x:c r="AE47" s="2" t="str">
        <x:v>模仿犯罪；后续乘车纠纷</x:v>
      </x:c>
      <x:c r="AF47" s="2" t="str">
        <x:v>法院认定</x:v>
      </x:c>
      <x:c r="AG47" s="2" t="str">
        <x:v>精神分裂症缓解期，完全刑事责任能力。</x:v>
      </x:c>
      <x:c r="AH47" s="2"/>
      <x:c r="AI47" s="2"/>
      <x:c r="AJ47" s="2" t="str">
        <x:v>店主呵斥后逃离；7月8日被抓获。</x:v>
      </x:c>
      <x:c r="AK47" s="2" t="str">
        <x:v>一审死刑；报道仅写近日宣判，具体宣判日未列。</x:v>
      </x:c>
      <x:c r="AL47" s="10"/>
      <x:c r="AM47" s="10"/>
      <x:c r="AN47" s="10" t="n">
        <x:v>44326</x:v>
      </x:c>
      <x:c r="AO47" s="2" t="str">
        <x:v>官方转载</x:v>
      </x:c>
      <x:c r="AP47" s="7" t="str">
        <x:v>AS041</x:v>
      </x:c>
      <x:c r="AQ47" s="7" t="str">
        <x:v>{"date":["AS041"],"location":["AS041"],"casualties":["AS041"],"classification":["AS041"],"motive":["AS041"],"outcome":["AS041"]}</x:v>
      </x:c>
      <x:c r="AR47" s="2"/>
      <x:c r="AS47" s="9"/>
      <x:c r="AT47" s="9"/>
      <x:c r="AU47" s="9"/>
      <x:c r="AV47" s="2"/>
      <x:c r="AW47" s="2"/>
      <x:c r="AX47" s="9"/>
      <x:c r="AY47" s="10"/>
      <x:c r="AZ47" s="7"/>
      <x:c r="BA47" s="7"/>
      <x:c r="BB47" s="7"/>
      <x:c r="BC47" s="7" t="str">
        <x:v>不把法院描述提升为网络小说对暴力的普遍因果结论。</x:v>
      </x:c>
      <x:c r="BD47" s="2" t="str">
        <x:v>是</x:v>
      </x:c>
      <x:c r="BE47" s="2" t="str">
        <x:v>是</x:v>
      </x:c>
      <x:c r="BF47" s="2" t="str">
        <x:v>官方事实直接支持；法院案情明确先袭击无辜路人，后因乘车费用纠纷另杀司机；最初对无关路人的主动袭击已独立符合核心定义。</x:v>
      </x:c>
      <x:c r="BG47" s="2" t="str">
        <x:v>其他已披露背景</x:v>
      </x:c>
      <x:c r="BH47" s="9" t="n">
        <x:v>2020</x:v>
      </x:c>
      <x:c r="BI47" s="9" t="n">
        <x:v>2</x:v>
      </x:c>
      <x:c r="BJ47" s="9" t="n">
        <x:v>1</x:v>
      </x:c>
      <x:c r="BK47" s="9" t="n">
        <x:v>1</x:v>
      </x:c>
      <x:c r="BL47" s="9" t="n">
        <x:v>1</x:v>
      </x:c>
      <x:c r="BM47" s="9" t="n">
        <x:v>1</x:v>
      </x:c>
      <x:c r="BN47" s="9" t="n">
        <x:v>0</x:v>
      </x:c>
      <x:c r="BO47" s="9" t="n">
        <x:v>0</x:v>
      </x:c>
    </x:row>
    <x:row r="48" ht="38" customHeight="1">
      <x:c r="A48" s="2" t="str">
        <x:v>A038</x:v>
      </x:c>
      <x:c r="B48" s="2" t="str">
        <x:v>2020-07-07</x:v>
      </x:c>
      <x:c r="C48" s="7" t="str">
        <x:v>安顺公交车蓄意冲入虹山水库</x:v>
      </x:c>
      <x:c r="D48" s="2" t="str">
        <x:v>贵州</x:v>
      </x:c>
      <x:c r="E48" s="2" t="str">
        <x:v>安顺</x:v>
      </x:c>
      <x:c r="F48" s="2" t="str">
        <x:v>core</x:v>
      </x:c>
      <x:c r="G48" s="2" t="str">
        <x:v>公共交通</x:v>
      </x:c>
      <x:c r="H48" s="2" t="str">
        <x:v>驾车</x:v>
      </x:c>
      <x:c r="I48" s="9" t="n">
        <x:v>20</x:v>
      </x:c>
      <x:c r="J48" s="9" t="n">
        <x:v>15</x:v>
      </x:c>
      <x:c r="K48" s="2"/>
      <x:c r="L48" s="9"/>
      <x:c r="M48" s="9"/>
      <x:c r="N48" s="10" t="n">
        <x:v>44025</x:v>
      </x:c>
      <x:c r="O48" s="7" t="str">
        <x:v>警方总死亡21人明确含司机，本表受害人死亡20、袭击者死亡1；采用后续15伤。</x:v>
      </x:c>
      <x:c r="P48" s="7" t="str">
        <x:v>警方直接认定针对不特定人群的个人极端犯罪，并排除车辆故障及驾驶中外部干扰。</x:v>
      </x:c>
      <x:c r="Q48" s="2" t="str">
        <x:v>西秀</x:v>
      </x:c>
      <x:c r="R48" s="2"/>
      <x:c r="S48" s="2" t="str">
        <x:v>day</x:v>
      </x:c>
      <x:c r="T48" s="2"/>
      <x:c r="U48" s="2"/>
      <x:c r="V48" s="9"/>
      <x:c r="W48" s="9" t="n">
        <x:v>1</x:v>
      </x:c>
      <x:c r="X48" s="9"/>
      <x:c r="Y48" s="2"/>
      <x:c r="Z48" s="2" t="str">
        <x:v>无关公交乘客</x:v>
      </x:c>
      <x:c r="AA48" s="9" t="n">
        <x:v>52</x:v>
      </x:c>
      <x:c r="AB48" s="2" t="str">
        <x:v>男</x:v>
      </x:c>
      <x:c r="AC48" s="2" t="str">
        <x:v>公交车驾驶员</x:v>
      </x:c>
      <x:c r="AD48" s="7" t="str">
        <x:v>生活不如意及对承租公房拆除不满，为制造影响实施袭击。</x:v>
      </x:c>
      <x:c r="AE48" s="2" t="str">
        <x:v>住房纠纷；生活挫折；报复社会</x:v>
      </x:c>
      <x:c r="AF48" s="2" t="str">
        <x:v>警方初步通报</x:v>
      </x:c>
      <x:c r="AG48" s="2"/>
      <x:c r="AH48" s="2"/>
      <x:c r="AI48" s="2" t="str">
        <x:v>当天向政务热线表达住房不满，并向女友流露厌世情绪。</x:v>
      </x:c>
      <x:c r="AJ48" s="2" t="str">
        <x:v>多部门搜救；未见事前有效干预证据。</x:v>
      </x:c>
      <x:c r="AK48" s="2" t="str">
        <x:v>司机一并死亡，警方公布调查结论。</x:v>
      </x:c>
      <x:c r="AL48" s="10"/>
      <x:c r="AM48" s="10"/>
      <x:c r="AN48" s="10" t="n">
        <x:v>44025</x:v>
      </x:c>
      <x:c r="AO48" s="2" t="str">
        <x:v>官方转载</x:v>
      </x:c>
      <x:c r="AP48" s="7" t="str">
        <x:v>AS042</x:v>
      </x:c>
      <x:c r="AQ48" s="7" t="str">
        <x:v>{"date":["AS042"],"location":["AS042"],"casualties":["AS042"],"classification":["AS042"],"motive":["AS042"],"outcome":["AS042"]}</x:v>
      </x:c>
      <x:c r="AR48" s="2"/>
      <x:c r="AS48" s="9"/>
      <x:c r="AT48" s="9"/>
      <x:c r="AU48" s="9"/>
      <x:c r="AV48" s="2"/>
      <x:c r="AW48" s="2"/>
      <x:c r="AX48" s="9"/>
      <x:c r="AY48" s="10"/>
      <x:c r="AZ48" s="7"/>
      <x:c r="BA48" s="7"/>
      <x:c r="BB48" s="7"/>
      <x:c r="BC48" s="7"/>
      <x:c r="BD48" s="2" t="str">
        <x:v>是</x:v>
      </x:c>
      <x:c r="BE48" s="2" t="str">
        <x:v>是</x:v>
      </x:c>
      <x:c r="BF48" s="2" t="str">
        <x:v>官方事实直接支持；警方直接认定针对不特定人群的个人极端犯罪，并调查排除车辆故障与驾驶中外部干扰。</x:v>
      </x:c>
      <x:c r="BG48" s="2" t="str">
        <x:v>泄愤／转移报复；生活受挫／疏离／厌世；经济／工作／财产纠纷</x:v>
      </x:c>
      <x:c r="BH48" s="9" t="n">
        <x:v>2020</x:v>
      </x:c>
      <x:c r="BI48" s="9" t="n">
        <x:v>20</x:v>
      </x:c>
      <x:c r="BJ48" s="9" t="n">
        <x:v>15</x:v>
      </x:c>
      <x:c r="BK48" s="9" t="n">
        <x:v>1</x:v>
      </x:c>
      <x:c r="BL48" s="9" t="n">
        <x:v>1</x:v>
      </x:c>
      <x:c r="BM48" s="9" t="n">
        <x:v>1</x:v>
      </x:c>
      <x:c r="BN48" s="9" t="n">
        <x:v>0</x:v>
      </x:c>
      <x:c r="BO48" s="9" t="n">
        <x:v>0</x:v>
      </x:c>
    </x:row>
    <x:row r="49" ht="38" customHeight="1">
      <x:c r="A49" s="2" t="str">
        <x:v>A039</x:v>
      </x:c>
      <x:c r="B49" s="2" t="str">
        <x:v>2020-08-12</x:v>
      </x:c>
      <x:c r="C49" s="7" t="str">
        <x:v>天津营口道等处随机袭击女性</x:v>
      </x:c>
      <x:c r="D49" s="2" t="str">
        <x:v>天津</x:v>
      </x:c>
      <x:c r="E49" s="2" t="str">
        <x:v>天津</x:v>
      </x:c>
      <x:c r="F49" s="2" t="str">
        <x:v>core</x:v>
      </x:c>
      <x:c r="G49" s="2" t="str">
        <x:v>街道交通</x:v>
      </x:c>
      <x:c r="H49" s="2" t="str">
        <x:v>持械</x:v>
      </x:c>
      <x:c r="I49" s="9" t="n">
        <x:v>1</x:v>
      </x:c>
      <x:c r="J49" s="9"/>
      <x:c r="K49" s="2"/>
      <x:c r="L49" s="9"/>
      <x:c r="M49" s="9"/>
      <x:c r="N49" s="10" t="n">
        <x:v>44286</x:v>
      </x:c>
      <x:c r="O49" s="7" t="str">
        <x:v>初报1死1轻微伤，后续司法案情记第二人尚未形成伤情；精确伤者数留空，不将1伤无条件带入。</x:v>
      </x:c>
      <x:c r="P49" s="7" t="str">
        <x:v>司法案情明确因门锁问题迁怒过路女性，持续寻找陌生目标。</x:v>
      </x:c>
      <x:c r="Q49" s="2" t="str">
        <x:v>和平</x:v>
      </x:c>
      <x:c r="R49" s="2"/>
      <x:c r="S49" s="2" t="str">
        <x:v>day</x:v>
      </x:c>
      <x:c r="T49" s="2"/>
      <x:c r="U49" s="2"/>
      <x:c r="V49" s="9"/>
      <x:c r="W49" s="9"/>
      <x:c r="X49" s="9"/>
      <x:c r="Y49" s="2"/>
      <x:c r="Z49" s="2" t="str">
        <x:v>陌生女性行人</x:v>
      </x:c>
      <x:c r="AA49" s="9"/>
      <x:c r="AB49" s="2" t="str">
        <x:v>男</x:v>
      </x:c>
      <x:c r="AC49" s="2"/>
      <x:c r="AD49" s="7" t="str">
        <x:v>怀疑门锁被破坏，意图通过袭击闹市女性将事情闹大。</x:v>
      </x:c>
      <x:c r="AE49" s="2" t="str">
        <x:v>疑似权益受损；制造影响</x:v>
      </x:c>
      <x:c r="AF49" s="2" t="str">
        <x:v>法院认定</x:v>
      </x:c>
      <x:c r="AG49" s="2"/>
      <x:c r="AH49" s="2"/>
      <x:c r="AI49" s="2" t="str">
        <x:v>当日先报警到派出所，调查等待期间自行离开，后实施攻击。</x:v>
      </x:c>
      <x:c r="AJ49" s="2" t="str">
        <x:v>警方及群众抓获。</x:v>
      </x:c>
      <x:c r="AK49" s="2" t="str">
        <x:v>死刑获核准的报道；执行日期未核实。</x:v>
      </x:c>
      <x:c r="AL49" s="10"/>
      <x:c r="AM49" s="10"/>
      <x:c r="AN49" s="10" t="n">
        <x:v>44286</x:v>
      </x:c>
      <x:c r="AO49" s="2" t="str">
        <x:v>官方转载</x:v>
      </x:c>
      <x:c r="AP49" s="7" t="str">
        <x:v>AS043</x:v>
      </x:c>
      <x:c r="AQ49" s="7" t="str">
        <x:v>{"date":["AS043"],"location":["AS043"],"casualties":["AS043"],"classification":["AS043"],"motive":["AS043"],"outcome":["AS043"]}</x:v>
      </x:c>
      <x:c r="AR49" s="2"/>
      <x:c r="AS49" s="9"/>
      <x:c r="AT49" s="9"/>
      <x:c r="AU49" s="9"/>
      <x:c r="AV49" s="2"/>
      <x:c r="AW49" s="2"/>
      <x:c r="AX49" s="9"/>
      <x:c r="AY49" s="10"/>
      <x:c r="AZ49" s="7"/>
      <x:c r="BA49" s="7"/>
      <x:c r="BB49" s="7"/>
      <x:c r="BC49" s="7"/>
      <x:c r="BD49" s="2" t="str">
        <x:v>是</x:v>
      </x:c>
      <x:c r="BE49" s="2" t="str">
        <x:v>是</x:v>
      </x:c>
      <x:c r="BF49" s="2" t="str">
        <x:v>官方事实直接支持；司法材料披露因门锁问题欲在闹市刺杀女性扩大影响，持续寻找陌生女性目标，关系及选择机制明确。</x:v>
      </x:c>
      <x:c r="BG49" s="2" t="str">
        <x:v>寻求关注／表达诉求</x:v>
      </x:c>
      <x:c r="BH49" s="9" t="n">
        <x:v>2020</x:v>
      </x:c>
      <x:c r="BI49" s="9" t="n">
        <x:v>1</x:v>
      </x:c>
      <x:c r="BJ49" s="9" t="n">
        <x:v>0</x:v>
      </x:c>
      <x:c r="BK49" s="9" t="n">
        <x:v>1</x:v>
      </x:c>
      <x:c r="BL49" s="9" t="n">
        <x:v>1</x:v>
      </x:c>
      <x:c r="BM49" s="9" t="n">
        <x:v>1</x:v>
      </x:c>
      <x:c r="BN49" s="9" t="n">
        <x:v>0</x:v>
      </x:c>
      <x:c r="BO49" s="9" t="n">
        <x:v>1</x:v>
      </x:c>
    </x:row>
    <x:row r="50" ht="38" customHeight="1">
      <x:c r="A50" s="2" t="str">
        <x:v>A040</x:v>
      </x:c>
      <x:c r="B50" s="2" t="str">
        <x:v>2020-09-07</x:v>
      </x:c>
      <x:c r="C50" s="7" t="str">
        <x:v>桑植文明路学校周边袭击学生</x:v>
      </x:c>
      <x:c r="D50" s="2" t="str">
        <x:v>湖南</x:v>
      </x:c>
      <x:c r="E50" s="2" t="str">
        <x:v>张家界</x:v>
      </x:c>
      <x:c r="F50" s="2" t="str">
        <x:v>core</x:v>
      </x:c>
      <x:c r="G50" s="2" t="str">
        <x:v>校园及周边</x:v>
      </x:c>
      <x:c r="H50" s="2" t="str">
        <x:v>持械</x:v>
      </x:c>
      <x:c r="I50" s="9" t="n">
        <x:v>0</x:v>
      </x:c>
      <x:c r="J50" s="9" t="n">
        <x:v>4</x:v>
      </x:c>
      <x:c r="K50" s="2"/>
      <x:c r="L50" s="9"/>
      <x:c r="M50" s="9"/>
      <x:c r="N50" s="10" t="n">
        <x:v>44504</x:v>
      </x:c>
      <x:c r="O50" s="7"/>
      <x:c r="P50" s="7" t="str">
        <x:v>检方明确蓄意攻击无关未成年学生以报复社会并引发关注。</x:v>
      </x:c>
      <x:c r="Q50" s="2" t="str">
        <x:v>桑植</x:v>
      </x:c>
      <x:c r="R50" s="2"/>
      <x:c r="S50" s="2" t="str">
        <x:v>day</x:v>
      </x:c>
      <x:c r="T50" s="2"/>
      <x:c r="U50" s="2"/>
      <x:c r="V50" s="9" t="n">
        <x:v>4</x:v>
      </x:c>
      <x:c r="W50" s="9"/>
      <x:c r="X50" s="9"/>
      <x:c r="Y50" s="2" t="str">
        <x:v>是</x:v>
      </x:c>
      <x:c r="Z50" s="2" t="str">
        <x:v>无关上学学生</x:v>
      </x:c>
      <x:c r="AA50" s="9"/>
      <x:c r="AB50" s="2" t="str">
        <x:v>男</x:v>
      </x:c>
      <x:c r="AC50" s="2"/>
      <x:c r="AD50" s="7" t="str">
        <x:v>检方指控因家庭诉求未解决，对社会不满而袭击学生引关注。</x:v>
      </x:c>
      <x:c r="AE50" s="2" t="str">
        <x:v>诉求受挫；报复社会；制造影响</x:v>
      </x:c>
      <x:c r="AF50" s="2" t="str">
        <x:v>检方指控</x:v>
      </x:c>
      <x:c r="AG50" s="2"/>
      <x:c r="AH50" s="2"/>
      <x:c r="AI50" s="2"/>
      <x:c r="AJ50" s="2" t="str">
        <x:v>群众追赶，嫌疑人劫持学生后被警方抓获。</x:v>
      </x:c>
      <x:c r="AK50" s="2" t="str">
        <x:v>一审开庭后已进入二审；最终刑罚未核实。</x:v>
      </x:c>
      <x:c r="AL50" s="10"/>
      <x:c r="AM50" s="10"/>
      <x:c r="AN50" s="10" t="n">
        <x:v>44504</x:v>
      </x:c>
      <x:c r="AO50" s="2" t="str">
        <x:v>官方转载</x:v>
      </x:c>
      <x:c r="AP50" s="7" t="str">
        <x:v>AS044；AS045</x:v>
      </x:c>
      <x:c r="AQ50" s="7" t="str">
        <x:v>{"date":["AS044","AS045"],"location":["AS044","AS045"],"casualties":["AS044","AS045"],"classification":["AS044","AS045"],"motive":["AS044","AS045"],"outcome":["AS044","AS045"]}</x:v>
      </x:c>
      <x:c r="AR50" s="2"/>
      <x:c r="AS50" s="9"/>
      <x:c r="AT50" s="9"/>
      <x:c r="AU50" s="9"/>
      <x:c r="AV50" s="2" t="str">
        <x:v>检方指控，未见公开终审动机认定</x:v>
      </x:c>
      <x:c r="AW50" s="2"/>
      <x:c r="AX50" s="9"/>
      <x:c r="AY50" s="10"/>
      <x:c r="AZ50" s="7"/>
      <x:c r="BA50" s="7"/>
      <x:c r="BB50" s="7"/>
      <x:c r="BC50" s="7" t="str">
        <x:v>动机来自检方指控；不开庭日替代判决日。</x:v>
      </x:c>
      <x:c r="BD50" s="2" t="str">
        <x:v>是</x:v>
      </x:c>
      <x:c r="BE50" s="2" t="str">
        <x:v>是</x:v>
      </x:c>
      <x:c r="BF50" s="2" t="str">
        <x:v>官方事实直接支持；法院庭审报道转述检方指控欲杀害无关学生以引起关注，继而连续袭击上学学生；保留指控层级，不把已披露当作终审确认。</x:v>
      </x:c>
      <x:c r="BG50" s="2" t="str">
        <x:v>寻求关注／表达诉求；泄愤／转移报复</x:v>
      </x:c>
      <x:c r="BH50" s="9" t="n">
        <x:v>2020</x:v>
      </x:c>
      <x:c r="BI50" s="9" t="n">
        <x:v>0</x:v>
      </x:c>
      <x:c r="BJ50" s="9" t="n">
        <x:v>4</x:v>
      </x:c>
      <x:c r="BK50" s="9" t="n">
        <x:v>1</x:v>
      </x:c>
      <x:c r="BL50" s="9" t="n">
        <x:v>1</x:v>
      </x:c>
      <x:c r="BM50" s="9" t="n">
        <x:v>1</x:v>
      </x:c>
      <x:c r="BN50" s="9" t="n">
        <x:v>0</x:v>
      </x:c>
      <x:c r="BO50" s="9" t="n">
        <x:v>0</x:v>
      </x:c>
    </x:row>
    <x:row r="51" ht="38" customHeight="1">
      <x:c r="A51" s="2" t="str">
        <x:v>A041</x:v>
      </x:c>
      <x:c r="B51" s="2" t="str">
        <x:v>2020-09-21</x:v>
      </x:c>
      <x:c r="C51" s="7" t="str">
        <x:v>广州番禺钟村骏兴路持刀伤人</x:v>
      </x:c>
      <x:c r="D51" s="2" t="str">
        <x:v>广东</x:v>
      </x:c>
      <x:c r="E51" s="2" t="str">
        <x:v>广州</x:v>
      </x:c>
      <x:c r="F51" s="2" t="str">
        <x:v>pending</x:v>
      </x:c>
      <x:c r="G51" s="2" t="str">
        <x:v>街道交通</x:v>
      </x:c>
      <x:c r="H51" s="2" t="str">
        <x:v>持械</x:v>
      </x:c>
      <x:c r="I51" s="9" t="n">
        <x:v>2</x:v>
      </x:c>
      <x:c r="J51" s="9" t="n">
        <x:v>3</x:v>
      </x:c>
      <x:c r="K51" s="2"/>
      <x:c r="L51" s="9"/>
      <x:c r="M51" s="9"/>
      <x:c r="N51" s="10" t="n">
        <x:v>44095</x:v>
      </x:c>
      <x:c r="O51" s="7" t="str">
        <x:v>受害人2死3伤，嫌疑人死亡单列；不把5名最初受伤者与2名死亡重复相加。</x:v>
      </x:c>
      <x:c r="P51" s="7" t="str">
        <x:v>通报确认事件和伤亡，但未明确受害人关系及选择目标方式，随机性留待补核。</x:v>
      </x:c>
      <x:c r="Q51" s="2" t="str">
        <x:v>番禺</x:v>
      </x:c>
      <x:c r="R51" s="2"/>
      <x:c r="S51" s="2" t="str">
        <x:v>day</x:v>
      </x:c>
      <x:c r="T51" s="2"/>
      <x:c r="U51" s="2"/>
      <x:c r="V51" s="9"/>
      <x:c r="W51" s="9" t="n">
        <x:v>1</x:v>
      </x:c>
      <x:c r="X51" s="9"/>
      <x:c r="Y51" s="2"/>
      <x:c r="Z51" s="2"/>
      <x:c r="AA51" s="9" t="n">
        <x:v>47</x:v>
      </x:c>
      <x:c r="AB51" s="2" t="str">
        <x:v>男</x:v>
      </x:c>
      <x:c r="AC51" s="2"/>
      <x:c r="AD51" s="7"/>
      <x:c r="AE51" s="2" t="str"/>
      <x:c r="AF51" s="2" t="str">
        <x:v>未知</x:v>
      </x:c>
      <x:c r="AG51" s="2" t="str">
        <x:v>警方称长期有抑郁病征，未披露司法鉴定或具体诊断。</x:v>
      </x:c>
      <x:c r="AH51" s="2"/>
      <x:c r="AI51" s="2"/>
      <x:c r="AJ51" s="2" t="str">
        <x:v>现场安保制服，增援警方控制，送医。</x:v>
      </x:c>
      <x:c r="AK51" s="2" t="str">
        <x:v>嫌疑人自残后抢救无效死亡。</x:v>
      </x:c>
      <x:c r="AL51" s="10"/>
      <x:c r="AM51" s="10"/>
      <x:c r="AN51" s="10" t="n">
        <x:v>44095</x:v>
      </x:c>
      <x:c r="AO51" s="2" t="str">
        <x:v>官方转载</x:v>
      </x:c>
      <x:c r="AP51" s="7" t="str">
        <x:v>AS046</x:v>
      </x:c>
      <x:c r="AQ51" s="7" t="str">
        <x:v>{"date":["AS046"],"location":["AS046"],"casualties":["AS046"],"classification":["AS046"],"motive":[],"outcome":["AS046"]}</x:v>
      </x:c>
      <x:c r="AR51" s="2"/>
      <x:c r="AS51" s="9"/>
      <x:c r="AT51" s="9"/>
      <x:c r="AU51" s="9"/>
      <x:c r="AV51" s="2"/>
      <x:c r="AW51" s="2"/>
      <x:c r="AX51" s="9"/>
      <x:c r="AY51" s="10"/>
      <x:c r="AZ51" s="7"/>
      <x:c r="BA51" s="7"/>
      <x:c r="BB51" s="7"/>
      <x:c r="BC51" s="7"/>
      <x:c r="BD51" s="2" t="str">
        <x:v>是</x:v>
      </x:c>
      <x:c r="BE51" s="2" t="str">
        <x:v>否</x:v>
      </x:c>
      <x:c r="BF51" s="2" t="str">
        <x:v>媒体调查／研究推断</x:v>
      </x:c>
      <x:c r="BG51" s="2" t="str"/>
      <x:c r="BH51" s="9" t="n">
        <x:v>2020</x:v>
      </x:c>
      <x:c r="BI51" s="9" t="n">
        <x:v>2</x:v>
      </x:c>
      <x:c r="BJ51" s="9" t="n">
        <x:v>3</x:v>
      </x:c>
      <x:c r="BK51" s="9" t="n">
        <x:v>0</x:v>
      </x:c>
      <x:c r="BL51" s="9" t="n">
        <x:v>0</x:v>
      </x:c>
      <x:c r="BM51" s="9" t="n">
        <x:v>0</x:v>
      </x:c>
      <x:c r="BN51" s="9" t="n">
        <x:v>0</x:v>
      </x:c>
      <x:c r="BO51" s="9" t="n">
        <x:v>0</x:v>
      </x:c>
    </x:row>
    <x:row r="52" ht="38" customHeight="1">
      <x:c r="A52" s="2" t="str">
        <x:v>A042</x:v>
      </x:c>
      <x:c r="B52" s="2" t="str">
        <x:v>2020-12-27</x:v>
      </x:c>
      <x:c r="C52" s="7" t="str">
        <x:v>辽宁开原随机持刀袭击路人</x:v>
      </x:c>
      <x:c r="D52" s="2" t="str">
        <x:v>辽宁</x:v>
      </x:c>
      <x:c r="E52" s="2" t="str">
        <x:v>铁岭</x:v>
      </x:c>
      <x:c r="F52" s="2" t="str">
        <x:v>core</x:v>
      </x:c>
      <x:c r="G52" s="2" t="str">
        <x:v>街道交通</x:v>
      </x:c>
      <x:c r="H52" s="2" t="str">
        <x:v>持械</x:v>
      </x:c>
      <x:c r="I52" s="9" t="n">
        <x:v>7</x:v>
      </x:c>
      <x:c r="J52" s="9" t="n">
        <x:v>7</x:v>
      </x:c>
      <x:c r="K52" s="2"/>
      <x:c r="L52" s="9"/>
      <x:c r="M52" s="9"/>
      <x:c r="N52" s="10" t="n">
        <x:v>44193</x:v>
      </x:c>
      <x:c r="O52" s="7" t="str">
        <x:v>7伤包含处置民警1人。</x:v>
      </x:c>
      <x:c r="P52" s="7" t="str">
        <x:v>警方直接使用随机刺杀路人描述，受害人为道路无关群众及处置民警。</x:v>
      </x:c>
      <x:c r="Q52" s="2" t="str">
        <x:v>开原</x:v>
      </x:c>
      <x:c r="R52" s="2"/>
      <x:c r="S52" s="2" t="str">
        <x:v>day</x:v>
      </x:c>
      <x:c r="T52" s="2"/>
      <x:c r="U52" s="2"/>
      <x:c r="V52" s="9"/>
      <x:c r="W52" s="9"/>
      <x:c r="X52" s="9"/>
      <x:c r="Y52" s="2"/>
      <x:c r="Z52" s="2" t="str">
        <x:v>路人和处置民警</x:v>
      </x:c>
      <x:c r="AA52" s="9" t="n">
        <x:v>62</x:v>
      </x:c>
      <x:c r="AB52" s="2" t="str">
        <x:v>男</x:v>
      </x:c>
      <x:c r="AC52" s="2"/>
      <x:c r="AD52" s="7" t="str">
        <x:v>警方称儿子离世、与妻子离异，对社会产生不满。</x:v>
      </x:c>
      <x:c r="AE52" s="2" t="str">
        <x:v>家庭变故；报复社会</x:v>
      </x:c>
      <x:c r="AF52" s="2" t="str">
        <x:v>警方初步通报</x:v>
      </x:c>
      <x:c r="AG52" s="2"/>
      <x:c r="AH52" s="2"/>
      <x:c r="AI52" s="2"/>
      <x:c r="AJ52" s="2" t="str">
        <x:v>民警现场抓获，1名民警在处置中受伤。</x:v>
      </x:c>
      <x:c r="AK52" s="2" t="str">
        <x:v>嫌疑人被抓获；未检出后续判决。</x:v>
      </x:c>
      <x:c r="AL52" s="10"/>
      <x:c r="AM52" s="10"/>
      <x:c r="AN52" s="10" t="n">
        <x:v>44193</x:v>
      </x:c>
      <x:c r="AO52" s="2" t="str">
        <x:v>官方转载</x:v>
      </x:c>
      <x:c r="AP52" s="7" t="str">
        <x:v>AS047</x:v>
      </x:c>
      <x:c r="AQ52" s="7" t="str">
        <x:v>{"date":["AS047"],"location":["AS047"],"casualties":["AS047"],"classification":["AS047"],"motive":["AS047"],"outcome":["AS047"]}</x:v>
      </x:c>
      <x:c r="AR52" s="2"/>
      <x:c r="AS52" s="9"/>
      <x:c r="AT52" s="9"/>
      <x:c r="AU52" s="9"/>
      <x:c r="AV52" s="2"/>
      <x:c r="AW52" s="2"/>
      <x:c r="AX52" s="9"/>
      <x:c r="AY52" s="10"/>
      <x:c r="AZ52" s="7"/>
      <x:c r="BA52" s="7"/>
      <x:c r="BB52" s="7"/>
      <x:c r="BC52" s="7" t="str">
        <x:v>网媒将既往判决与同名人相连的材料未作身份独立确认，未据此确定精神诊断及前科。</x:v>
      </x:c>
      <x:c r="BD52" s="2" t="str">
        <x:v>是</x:v>
      </x:c>
      <x:c r="BE52" s="2" t="str">
        <x:v>是</x:v>
      </x:c>
      <x:c r="BF52" s="2" t="str">
        <x:v>官方事实直接支持；警方直接使用随机刺伤路人的行为描述，官方通报支持对道路公众的随机袭击。</x:v>
      </x:c>
      <x:c r="BG52" s="2" t="str">
        <x:v>婚姻／家庭／感情问题；泄愤／转移报复</x:v>
      </x:c>
      <x:c r="BH52" s="9" t="n">
        <x:v>2020</x:v>
      </x:c>
      <x:c r="BI52" s="9" t="n">
        <x:v>7</x:v>
      </x:c>
      <x:c r="BJ52" s="9" t="n">
        <x:v>7</x:v>
      </x:c>
      <x:c r="BK52" s="9" t="n">
        <x:v>1</x:v>
      </x:c>
      <x:c r="BL52" s="9" t="n">
        <x:v>1</x:v>
      </x:c>
      <x:c r="BM52" s="9" t="n">
        <x:v>0</x:v>
      </x:c>
      <x:c r="BN52" s="9" t="n">
        <x:v>0</x:v>
      </x:c>
      <x:c r="BO52" s="9" t="n">
        <x:v>0</x:v>
      </x:c>
    </x:row>
    <x:row r="53" ht="38" customHeight="1">
      <x:c r="A53" s="2" t="str">
        <x:v>B05</x:v>
      </x:c>
      <x:c r="B53" s="2" t="str">
        <x:v>2021-01-22</x:v>
      </x:c>
      <x:c r="C53" s="7" t="str">
        <x:v>昆明云南师大实验中学门口持刀及劫持案</x:v>
      </x:c>
      <x:c r="D53" s="2" t="str">
        <x:v>云南</x:v>
      </x:c>
      <x:c r="E53" s="2" t="str">
        <x:v>昆明</x:v>
      </x:c>
      <x:c r="F53" s="2" t="str">
        <x:v>pending</x:v>
      </x:c>
      <x:c r="G53" s="2" t="str">
        <x:v>校园及周边</x:v>
      </x:c>
      <x:c r="H53" s="2" t="str">
        <x:v>持械</x:v>
      </x:c>
      <x:c r="I53" s="9" t="n">
        <x:v>1</x:v>
      </x:c>
      <x:c r="J53" s="9" t="n">
        <x:v>7</x:v>
      </x:c>
      <x:c r="K53" s="2"/>
      <x:c r="L53" s="9"/>
      <x:c r="M53" s="9"/>
      <x:c r="N53" s="10" t="n">
        <x:v>44219</x:v>
      </x:c>
      <x:c r="O53" s="7" t="str">
        <x:v>采用警方1死7伤口径；未采信未经后续通报或双独立采集核实的更高死亡数字。</x:v>
      </x:c>
      <x:c r="P53" s="7" t="str">
        <x:v>警方证实校门口连续伤人及劫持学生，但本轮可靠正文未披露受害者与嫌疑人关系或随机选择的明确事实。</x:v>
      </x:c>
      <x:c r="Q53" s="2" t="str">
        <x:v>五华区</x:v>
      </x:c>
      <x:c r="R53" s="2" t="str">
        <x:v>城市</x:v>
      </x:c>
      <x:c r="S53" s="2" t="str">
        <x:v>day</x:v>
      </x:c>
      <x:c r="T53" s="2"/>
      <x:c r="U53" s="2"/>
      <x:c r="V53" s="9"/>
      <x:c r="W53" s="9" t="n">
        <x:v>1</x:v>
      </x:c>
      <x:c r="X53" s="9"/>
      <x:c r="Y53" s="2" t="str">
        <x:v>是</x:v>
      </x:c>
      <x:c r="Z53" s="2" t="str">
        <x:v>学生及校门口人员；具体关系未明。</x:v>
      </x:c>
      <x:c r="AA53" s="9" t="n">
        <x:v>56</x:v>
      </x:c>
      <x:c r="AB53" s="2" t="str">
        <x:v>男</x:v>
      </x:c>
      <x:c r="AC53" s="2"/>
      <x:c r="AD53" s="7"/>
      <x:c r="AE53" s="2" t="str"/>
      <x:c r="AF53" s="2" t="str">
        <x:v>未知</x:v>
      </x:c>
      <x:c r="AG53" s="2"/>
      <x:c r="AH53" s="2"/>
      <x:c r="AI53" s="2"/>
      <x:c r="AJ53" s="2" t="str">
        <x:v>警方谈判疏导并调集特警，18时40分许击毙嫌疑人、解救人质。</x:v>
      </x:c>
      <x:c r="AK53" s="2" t="str">
        <x:v>嫌疑人被警方现场击毙。</x:v>
      </x:c>
      <x:c r="AL53" s="10"/>
      <x:c r="AM53" s="10"/>
      <x:c r="AN53" s="10" t="n">
        <x:v>44219</x:v>
      </x:c>
      <x:c r="AO53" s="2" t="str">
        <x:v>官方转载</x:v>
      </x:c>
      <x:c r="AP53" s="7" t="str">
        <x:v>BS06</x:v>
      </x:c>
      <x:c r="AQ53" s="7" t="str">
        <x:v>{"date":["BS06"],"location":["BS06"],"casualties":["BS06"],"classification":["BS06"],"motive":["BS06"],"outcome":["BS06"]}</x:v>
      </x:c>
      <x:c r="AR53" s="2"/>
      <x:c r="AS53" s="9"/>
      <x:c r="AT53" s="9"/>
      <x:c r="AU53" s="9"/>
      <x:c r="AV53" s="2"/>
      <x:c r="AW53" s="2"/>
      <x:c r="AX53" s="9"/>
      <x:c r="AY53" s="10"/>
      <x:c r="AZ53" s="7"/>
      <x:c r="BA53" s="7"/>
      <x:c r="BB53" s="7"/>
      <x:c r="BC53" s="7"/>
      <x:c r="BD53" s="2" t="str">
        <x:v>是</x:v>
      </x:c>
      <x:c r="BE53" s="2" t="str">
        <x:v>否</x:v>
      </x:c>
      <x:c r="BF53" s="2" t="str">
        <x:v>媒体调查／研究推断</x:v>
      </x:c>
      <x:c r="BG53" s="2" t="str"/>
      <x:c r="BH53" s="9" t="n">
        <x:v>2021</x:v>
      </x:c>
      <x:c r="BI53" s="9" t="n">
        <x:v>1</x:v>
      </x:c>
      <x:c r="BJ53" s="9" t="n">
        <x:v>7</x:v>
      </x:c>
      <x:c r="BK53" s="9" t="n">
        <x:v>0</x:v>
      </x:c>
      <x:c r="BL53" s="9" t="n">
        <x:v>0</x:v>
      </x:c>
      <x:c r="BM53" s="9" t="n">
        <x:v>1</x:v>
      </x:c>
      <x:c r="BN53" s="9" t="n">
        <x:v>0</x:v>
      </x:c>
      <x:c r="BO53" s="9" t="n">
        <x:v>0</x:v>
      </x:c>
    </x:row>
    <x:row r="54" ht="38" customHeight="1">
      <x:c r="A54" s="2" t="str">
        <x:v>B12</x:v>
      </x:c>
      <x:c r="B54" s="2" t="str">
        <x:v>2021-01-22</x:v>
      </x:c>
      <x:c r="C54" s="7" t="str">
        <x:v>杭州浙医一院爆燃及持刀伤人案</x:v>
      </x:c>
      <x:c r="D54" s="2" t="str">
        <x:v>浙江</x:v>
      </x:c>
      <x:c r="E54" s="2" t="str">
        <x:v>杭州</x:v>
      </x:c>
      <x:c r="F54" s="2" t="str">
        <x:v>core</x:v>
      </x:c>
      <x:c r="G54" s="2" t="str">
        <x:v>医疗机构</x:v>
      </x:c>
      <x:c r="H54" s="2" t="str">
        <x:v>复合</x:v>
      </x:c>
      <x:c r="I54" s="9" t="n">
        <x:v>0</x:v>
      </x:c>
      <x:c r="J54" s="9" t="n">
        <x:v>4</x:v>
      </x:c>
      <x:c r="K54" s="2"/>
      <x:c r="L54" s="9"/>
      <x:c r="M54" s="9"/>
      <x:c r="N54" s="10" t="n">
        <x:v>44219</x:v>
      </x:c>
      <x:c r="O54" s="7" t="str">
        <x:v>警方逐人描述医护3人、患者1人受伤，另有嫌疑人本人烧伤；均生命体征平稳。</x:v>
      </x:c>
      <x:c r="P54" s="7" t="str">
        <x:v>警方披露因对多家医院诊疗不满预谋攻击医院，实际袭击医护和无关患者，未指向某一纠纷医生。</x:v>
      </x:c>
      <x:c r="Q54" s="2" t="str">
        <x:v>上城区</x:v>
      </x:c>
      <x:c r="R54" s="2" t="str">
        <x:v>城市</x:v>
      </x:c>
      <x:c r="S54" s="2" t="str">
        <x:v>day</x:v>
      </x:c>
      <x:c r="T54" s="2"/>
      <x:c r="U54" s="2"/>
      <x:c r="V54" s="9"/>
      <x:c r="W54" s="9"/>
      <x:c r="X54" s="9" t="n">
        <x:v>1</x:v>
      </x:c>
      <x:c r="Y54" s="2"/>
      <x:c r="Z54" s="2"/>
      <x:c r="AA54" s="9" t="n">
        <x:v>39</x:v>
      </x:c>
      <x:c r="AB54" s="2" t="str">
        <x:v>男</x:v>
      </x:c>
      <x:c r="AC54" s="2"/>
      <x:c r="AD54" s="7" t="str">
        <x:v>警方初查：长期肾病就医后认为医护迫害自己而实施报复。</x:v>
      </x:c>
      <x:c r="AE54" s="2" t="str">
        <x:v>医疗不满；泄愤报复</x:v>
      </x:c>
      <x:c r="AF54" s="2" t="str">
        <x:v>警方初步通报</x:v>
      </x:c>
      <x:c r="AG54" s="2" t="str">
        <x:v>2014年既往案件鉴定为偏执性精神障碍、限定刑事责任能力；本案刑责鉴定未获核实。</x:v>
      </x:c>
      <x:c r="AH54" s="2" t="str">
        <x:v>2014年放火案获刑三年。</x:v>
      </x:c>
      <x:c r="AI54" s="2" t="str">
        <x:v>2020年12月开始准备致爆燃物。</x:v>
      </x:c>
      <x:c r="AJ54" s="2" t="str">
        <x:v>医护扑灭六楼引燃物；警方控制嫌疑人。</x:v>
      </x:c>
      <x:c r="AK54" s="2" t="str">
        <x:v>侦办；本次检索未找到本案裁判。</x:v>
      </x:c>
      <x:c r="AL54" s="10"/>
      <x:c r="AM54" s="10"/>
      <x:c r="AN54" s="10" t="n">
        <x:v>44219</x:v>
      </x:c>
      <x:c r="AO54" s="2" t="str">
        <x:v>官方转载</x:v>
      </x:c>
      <x:c r="AP54" s="7" t="str">
        <x:v>BS13</x:v>
      </x:c>
      <x:c r="AQ54" s="7" t="str">
        <x:v>{"date":["BS13"],"location":["BS13"],"casualties":["BS13"],"classification":["BS13"],"motive":["BS13"],"outcome":["BS13"]}</x:v>
      </x:c>
      <x:c r="AR54" s="2"/>
      <x:c r="AS54" s="9"/>
      <x:c r="AT54" s="9"/>
      <x:c r="AU54" s="9"/>
      <x:c r="AV54" s="2"/>
      <x:c r="AW54" s="2"/>
      <x:c r="AX54" s="9"/>
      <x:c r="AY54" s="10"/>
      <x:c r="AZ54" s="7"/>
      <x:c r="BA54" s="7"/>
      <x:c r="BB54" s="7"/>
      <x:c r="BC54" s="7"/>
      <x:c r="BD54" s="2" t="str">
        <x:v>是</x:v>
      </x:c>
      <x:c r="BE54" s="2" t="str">
        <x:v>是</x:v>
      </x:c>
      <x:c r="BF54" s="2" t="str">
        <x:v>官方事实直接支持</x:v>
      </x:c>
      <x:c r="BG54" s="2" t="str">
        <x:v>医疗不满；泄愤／转移报复</x:v>
      </x:c>
      <x:c r="BH54" s="9" t="n">
        <x:v>2021</x:v>
      </x:c>
      <x:c r="BI54" s="9" t="n">
        <x:v>0</x:v>
      </x:c>
      <x:c r="BJ54" s="9" t="n">
        <x:v>4</x:v>
      </x:c>
      <x:c r="BK54" s="9" t="n">
        <x:v>1</x:v>
      </x:c>
      <x:c r="BL54" s="9" t="n">
        <x:v>1</x:v>
      </x:c>
      <x:c r="BM54" s="9" t="n">
        <x:v>1</x:v>
      </x:c>
      <x:c r="BN54" s="9" t="n">
        <x:v>0</x:v>
      </x:c>
      <x:c r="BO54" s="9" t="n">
        <x:v>0</x:v>
      </x:c>
    </x:row>
    <x:row r="55" ht="38" customHeight="1">
      <x:c r="A55" s="2" t="str">
        <x:v>B50</x:v>
      </x:c>
      <x:c r="B55" s="2" t="str">
        <x:v>2021-03-22</x:v>
      </x:c>
      <x:c r="C55" s="7" t="str">
        <x:v>广州番禺明经村建筑内爆炸案</x:v>
      </x:c>
      <x:c r="D55" s="2" t="str">
        <x:v>广东</x:v>
      </x:c>
      <x:c r="E55" s="2" t="str">
        <x:v>广州</x:v>
      </x:c>
      <x:c r="F55" s="2" t="str">
        <x:v>pending</x:v>
      </x:c>
      <x:c r="G55" s="2" t="str">
        <x:v>机关单位</x:v>
      </x:c>
      <x:c r="H55" s="2" t="str">
        <x:v>爆炸</x:v>
      </x:c>
      <x:c r="I55" s="9" t="n">
        <x:v>4</x:v>
      </x:c>
      <x:c r="J55" s="9" t="n">
        <x:v>5</x:v>
      </x:c>
      <x:c r="K55" s="2"/>
      <x:c r="L55" s="9"/>
      <x:c r="M55" s="9"/>
      <x:c r="N55" s="10" t="n">
        <x:v>44277</x:v>
      </x:c>
      <x:c r="O55" s="7" t="str">
        <x:v>警方5死含嫌疑人，受害者死亡应为4人。</x:v>
      </x:c>
      <x:c r="P55" s="7" t="str">
        <x:v>官方确认人为引燃爆炸，但被害人与嫌疑人关系不明；媒体称村委会及土地纠纷，不足据此判断随机或定向。</x:v>
      </x:c>
      <x:c r="Q55" s="2" t="str">
        <x:v>番禺区</x:v>
      </x:c>
      <x:c r="R55" s="2" t="str">
        <x:v>村庄</x:v>
      </x:c>
      <x:c r="S55" s="2" t="str">
        <x:v>day</x:v>
      </x:c>
      <x:c r="T55" s="2"/>
      <x:c r="U55" s="2"/>
      <x:c r="V55" s="9"/>
      <x:c r="W55" s="9" t="n">
        <x:v>1</x:v>
      </x:c>
      <x:c r="X55" s="9"/>
      <x:c r="Y55" s="2"/>
      <x:c r="Z55" s="2"/>
      <x:c r="AA55" s="9" t="n">
        <x:v>59</x:v>
      </x:c>
      <x:c r="AB55" s="2" t="str">
        <x:v>男</x:v>
      </x:c>
      <x:c r="AC55" s="2"/>
      <x:c r="AD55" s="7"/>
      <x:c r="AE55" s="2" t="str"/>
      <x:c r="AF55" s="2" t="str">
        <x:v>未知</x:v>
      </x:c>
      <x:c r="AG55" s="2"/>
      <x:c r="AH55" s="2"/>
      <x:c r="AI55" s="2"/>
      <x:c r="AJ55" s="2" t="str">
        <x:v>公安、消防及医疗救援。</x:v>
      </x:c>
      <x:c r="AK55" s="2" t="str">
        <x:v>嫌疑人现场死亡，案件调查中。</x:v>
      </x:c>
      <x:c r="AL55" s="10"/>
      <x:c r="AM55" s="10"/>
      <x:c r="AN55" s="10" t="n">
        <x:v>44281</x:v>
      </x:c>
      <x:c r="AO55" s="2" t="str">
        <x:v>官方转载</x:v>
      </x:c>
      <x:c r="AP55" s="7" t="str">
        <x:v>BS55；BS58</x:v>
      </x:c>
      <x:c r="AQ55" s="7" t="str">
        <x:v>{"date":["BS55"],"location":["BS55","BS58"],"casualties":["BS55"],"classification":["BS55"],"motive":[],"outcome":["BS55"]}</x:v>
      </x:c>
      <x:c r="AR55" s="2"/>
      <x:c r="AS55" s="9"/>
      <x:c r="AT55" s="9"/>
      <x:c r="AU55" s="9"/>
      <x:c r="AV55" s="2"/>
      <x:c r="AW55" s="2"/>
      <x:c r="AX55" s="9"/>
      <x:c r="AY55" s="10"/>
      <x:c r="AZ55" s="7"/>
      <x:c r="BA55" s="7"/>
      <x:c r="BB55" s="7"/>
      <x:c r="BC55" s="7" t="str">
        <x:v>官方只称建筑内；村委会场景按多家媒体一致报道归类，具体动机留空。</x:v>
      </x:c>
      <x:c r="BD55" s="2" t="str">
        <x:v>是</x:v>
      </x:c>
      <x:c r="BE55" s="2" t="str">
        <x:v>否</x:v>
      </x:c>
      <x:c r="BF55" s="2" t="str">
        <x:v>媒体调查／研究推断</x:v>
      </x:c>
      <x:c r="BG55" s="2" t="str"/>
      <x:c r="BH55" s="9" t="n">
        <x:v>2021</x:v>
      </x:c>
      <x:c r="BI55" s="9" t="n">
        <x:v>4</x:v>
      </x:c>
      <x:c r="BJ55" s="9" t="n">
        <x:v>5</x:v>
      </x:c>
      <x:c r="BK55" s="9" t="n">
        <x:v>0</x:v>
      </x:c>
      <x:c r="BL55" s="9" t="n">
        <x:v>0</x:v>
      </x:c>
      <x:c r="BM55" s="9" t="n">
        <x:v>1</x:v>
      </x:c>
      <x:c r="BN55" s="9" t="n">
        <x:v>0</x:v>
      </x:c>
      <x:c r="BO55" s="9" t="n">
        <x:v>0</x:v>
      </x:c>
    </x:row>
    <x:row r="56" ht="38" customHeight="1">
      <x:c r="A56" s="2" t="str">
        <x:v>B13</x:v>
      </x:c>
      <x:c r="B56" s="2" t="str">
        <x:v>2021-04-17</x:v>
      </x:c>
      <x:c r="C56" s="7" t="str">
        <x:v>成都华阳伏龙小区持刀伤人案</x:v>
      </x:c>
      <x:c r="D56" s="2" t="str">
        <x:v>四川</x:v>
      </x:c>
      <x:c r="E56" s="2" t="str">
        <x:v>成都</x:v>
      </x:c>
      <x:c r="F56" s="2" t="str">
        <x:v>pending</x:v>
      </x:c>
      <x:c r="G56" s="2" t="str">
        <x:v>社区住宅</x:v>
      </x:c>
      <x:c r="H56" s="2" t="str">
        <x:v>持械</x:v>
      </x:c>
      <x:c r="I56" s="9" t="n">
        <x:v>0</x:v>
      </x:c>
      <x:c r="J56" s="9" t="n">
        <x:v>4</x:v>
      </x:c>
      <x:c r="K56" s="2"/>
      <x:c r="L56" s="9"/>
      <x:c r="M56" s="9"/>
      <x:c r="N56" s="10" t="n">
        <x:v>44304</x:v>
      </x:c>
      <x:c r="O56" s="7" t="str">
        <x:v>4名伤者均暂无生命危险。</x:v>
      </x:c>
      <x:c r="P56" s="7" t="str">
        <x:v>警方确认母子争吵后伤害他人，但未交代4名伤者与嫌疑人关系，不能据人数认定随机。</x:v>
      </x:c>
      <x:c r="Q56" s="2" t="str">
        <x:v>天府新区</x:v>
      </x:c>
      <x:c r="R56" s="2" t="str">
        <x:v>城市</x:v>
      </x:c>
      <x:c r="S56" s="2" t="str">
        <x:v>day</x:v>
      </x:c>
      <x:c r="T56" s="2"/>
      <x:c r="U56" s="2"/>
      <x:c r="V56" s="9"/>
      <x:c r="W56" s="9"/>
      <x:c r="X56" s="9"/>
      <x:c r="Y56" s="2"/>
      <x:c r="Z56" s="2"/>
      <x:c r="AA56" s="9" t="n">
        <x:v>31</x:v>
      </x:c>
      <x:c r="AB56" s="2" t="str">
        <x:v>男</x:v>
      </x:c>
      <x:c r="AC56" s="2"/>
      <x:c r="AD56" s="7" t="str">
        <x:v>警方称先与母亲因生活琐事争吵。</x:v>
      </x:c>
      <x:c r="AE56" s="2" t="str">
        <x:v>家庭争执</x:v>
      </x:c>
      <x:c r="AF56" s="2" t="str">
        <x:v>警方初步通报</x:v>
      </x:c>
      <x:c r="AG56" s="2"/>
      <x:c r="AH56" s="2"/>
      <x:c r="AI56" s="2"/>
      <x:c r="AJ56" s="2" t="str">
        <x:v>警方现场抓获。</x:v>
      </x:c>
      <x:c r="AK56" s="2" t="str">
        <x:v>进一步调查中。</x:v>
      </x:c>
      <x:c r="AL56" s="10"/>
      <x:c r="AM56" s="10"/>
      <x:c r="AN56" s="10" t="n">
        <x:v>44304</x:v>
      </x:c>
      <x:c r="AO56" s="2" t="str">
        <x:v>官方转载</x:v>
      </x:c>
      <x:c r="AP56" s="7" t="str">
        <x:v>BS14</x:v>
      </x:c>
      <x:c r="AQ56" s="7" t="str">
        <x:v>{"date":["BS14"],"location":["BS14"],"casualties":["BS14"],"classification":["BS14"],"motive":["BS14"],"outcome":["BS14"]}</x:v>
      </x:c>
      <x:c r="AR56" s="2"/>
      <x:c r="AS56" s="9"/>
      <x:c r="AT56" s="9"/>
      <x:c r="AU56" s="9"/>
      <x:c r="AV56" s="2"/>
      <x:c r="AW56" s="2"/>
      <x:c r="AX56" s="9"/>
      <x:c r="AY56" s="10"/>
      <x:c r="AZ56" s="7"/>
      <x:c r="BA56" s="7"/>
      <x:c r="BB56" s="7"/>
      <x:c r="BC56" s="7"/>
      <x:c r="BD56" s="2" t="str">
        <x:v>是</x:v>
      </x:c>
      <x:c r="BE56" s="2" t="str">
        <x:v>否</x:v>
      </x:c>
      <x:c r="BF56" s="2" t="str">
        <x:v>媒体调查／研究推断</x:v>
      </x:c>
      <x:c r="BG56" s="2" t="str">
        <x:v>其他已披露背景</x:v>
      </x:c>
      <x:c r="BH56" s="9" t="n">
        <x:v>2021</x:v>
      </x:c>
      <x:c r="BI56" s="9" t="n">
        <x:v>0</x:v>
      </x:c>
      <x:c r="BJ56" s="9" t="n">
        <x:v>4</x:v>
      </x:c>
      <x:c r="BK56" s="9" t="n">
        <x:v>0</x:v>
      </x:c>
      <x:c r="BL56" s="9" t="n">
        <x:v>1</x:v>
      </x:c>
      <x:c r="BM56" s="9" t="n">
        <x:v>1</x:v>
      </x:c>
      <x:c r="BN56" s="9" t="n">
        <x:v>0</x:v>
      </x:c>
      <x:c r="BO56" s="9" t="n">
        <x:v>0</x:v>
      </x:c>
    </x:row>
    <x:row r="57" ht="38" customHeight="1">
      <x:c r="A57" s="2" t="str">
        <x:v>B06</x:v>
      </x:c>
      <x:c r="B57" s="2" t="str">
        <x:v>2021-04-28</x:v>
      </x:c>
      <x:c r="C57" s="7" t="str">
        <x:v>广西北流新丰镇幼儿园持刀伤人案</x:v>
      </x:c>
      <x:c r="D57" s="2" t="str">
        <x:v>广西</x:v>
      </x:c>
      <x:c r="E57" s="2" t="str">
        <x:v>玉林</x:v>
      </x:c>
      <x:c r="F57" s="2" t="str">
        <x:v>pending</x:v>
      </x:c>
      <x:c r="G57" s="2" t="str">
        <x:v>校园及周边</x:v>
      </x:c>
      <x:c r="H57" s="2" t="str">
        <x:v>持械</x:v>
      </x:c>
      <x:c r="I57" s="9" t="n">
        <x:v>2</x:v>
      </x:c>
      <x:c r="J57" s="9" t="n">
        <x:v>16</x:v>
      </x:c>
      <x:c r="K57" s="2"/>
      <x:c r="L57" s="9"/>
      <x:c r="M57" s="9"/>
      <x:c r="N57" s="10" t="n">
        <x:v>44316</x:v>
      </x:c>
      <x:c r="O57" s="7"/>
      <x:c r="P57" s="7" t="str">
        <x:v>幼儿园师生遭袭已获官方证实；公开通报未交代具体对象选择及嫌疑人与园方关系，严格口径暂不直接认定随机。</x:v>
      </x:c>
      <x:c r="Q57" s="2" t="str">
        <x:v>北流市</x:v>
      </x:c>
      <x:c r="R57" s="2" t="str">
        <x:v>镇区</x:v>
      </x:c>
      <x:c r="S57" s="2" t="str">
        <x:v>day</x:v>
      </x:c>
      <x:c r="T57" s="2"/>
      <x:c r="U57" s="2"/>
      <x:c r="V57" s="9"/>
      <x:c r="W57" s="9"/>
      <x:c r="X57" s="9"/>
      <x:c r="Y57" s="2" t="str">
        <x:v>是</x:v>
      </x:c>
      <x:c r="Z57" s="2" t="str">
        <x:v>幼儿园师生，关系未明。</x:v>
      </x:c>
      <x:c r="AA57" s="9"/>
      <x:c r="AB57" s="2" t="str">
        <x:v>男</x:v>
      </x:c>
      <x:c r="AC57" s="2"/>
      <x:c r="AD57" s="7"/>
      <x:c r="AE57" s="2" t="str"/>
      <x:c r="AF57" s="2" t="str">
        <x:v>未知</x:v>
      </x:c>
      <x:c r="AG57" s="2" t="str">
        <x:v>警方通报司法鉴定机构初步认定精神分裂症；未检出最终刑事责任能力结论。</x:v>
      </x:c>
      <x:c r="AH57" s="2"/>
      <x:c r="AI57" s="2"/>
      <x:c r="AJ57" s="2" t="str">
        <x:v>当场抓获；救治伤者，公安与教育部门开展校园安全隐患排查。</x:v>
      </x:c>
      <x:c r="AK57" s="2" t="str">
        <x:v>截至所见通报在侦办中；未检出可核验后续裁判。</x:v>
      </x:c>
      <x:c r="AL57" s="10"/>
      <x:c r="AM57" s="10"/>
      <x:c r="AN57" s="10" t="n">
        <x:v>44316</x:v>
      </x:c>
      <x:c r="AO57" s="2" t="str">
        <x:v>官方转载</x:v>
      </x:c>
      <x:c r="AP57" s="7" t="str">
        <x:v>BS05</x:v>
      </x:c>
      <x:c r="AQ57" s="7" t="str">
        <x:v>{"date":["BS05"],"location":["BS05"],"casualties":["BS05"],"classification":["BS05"],"motive":["BS05"],"outcome":["BS05"]}</x:v>
      </x:c>
      <x:c r="AR57" s="2"/>
      <x:c r="AS57" s="9"/>
      <x:c r="AT57" s="9"/>
      <x:c r="AU57" s="9"/>
      <x:c r="AV57" s="2"/>
      <x:c r="AW57" s="2"/>
      <x:c r="AX57" s="9"/>
      <x:c r="AY57" s="10"/>
      <x:c r="AZ57" s="7"/>
      <x:c r="BA57" s="7"/>
      <x:c r="BB57" s="7"/>
      <x:c r="BC57" s="7"/>
      <x:c r="BD57" s="2" t="str">
        <x:v>是</x:v>
      </x:c>
      <x:c r="BE57" s="2" t="str">
        <x:v>否</x:v>
      </x:c>
      <x:c r="BF57" s="2" t="str">
        <x:v>媒体调查／研究推断</x:v>
      </x:c>
      <x:c r="BG57" s="2" t="str"/>
      <x:c r="BH57" s="9" t="n">
        <x:v>2021</x:v>
      </x:c>
      <x:c r="BI57" s="9" t="n">
        <x:v>2</x:v>
      </x:c>
      <x:c r="BJ57" s="9" t="n">
        <x:v>16</x:v>
      </x:c>
      <x:c r="BK57" s="9" t="n">
        <x:v>0</x:v>
      </x:c>
      <x:c r="BL57" s="9" t="n">
        <x:v>0</x:v>
      </x:c>
      <x:c r="BM57" s="9" t="n">
        <x:v>1</x:v>
      </x:c>
      <x:c r="BN57" s="9" t="n">
        <x:v>0</x:v>
      </x:c>
      <x:c r="BO57" s="9" t="n">
        <x:v>0</x:v>
      </x:c>
    </x:row>
    <x:row r="58" ht="38" customHeight="1">
      <x:c r="A58" s="2" t="str">
        <x:v>B01</x:v>
      </x:c>
      <x:c r="B58" s="2" t="str">
        <x:v>2021-05-22</x:v>
      </x:c>
      <x:c r="C58" s="7" t="str">
        <x:v>大连五惠路驾车冲撞行人案</x:v>
      </x:c>
      <x:c r="D58" s="2" t="str">
        <x:v>辽宁</x:v>
      </x:c>
      <x:c r="E58" s="2" t="str">
        <x:v>大连</x:v>
      </x:c>
      <x:c r="F58" s="2" t="str">
        <x:v>core</x:v>
      </x:c>
      <x:c r="G58" s="2" t="str">
        <x:v>街道交通</x:v>
      </x:c>
      <x:c r="H58" s="2" t="str">
        <x:v>驾车</x:v>
      </x:c>
      <x:c r="I58" s="9" t="n">
        <x:v>5</x:v>
      </x:c>
      <x:c r="J58" s="9" t="n">
        <x:v>8</x:v>
      </x:c>
      <x:c r="K58" s="2"/>
      <x:c r="L58" s="9"/>
      <x:c r="M58" s="9"/>
      <x:c r="N58" s="10" t="n">
        <x:v>45023</x:v>
      </x:c>
      <x:c r="O58" s="7" t="str">
        <x:v>以法院审理及执行报道的5死8伤修订早期5死5伤。</x:v>
      </x:c>
      <x:c r="P58" s="7" t="str">
        <x:v>法院认定因投资失败泄愤，故意加速冲撞正在斑马线过街的不特定行人。</x:v>
      </x:c>
      <x:c r="Q58" s="2" t="str">
        <x:v>中山区</x:v>
      </x:c>
      <x:c r="R58" s="2" t="str">
        <x:v>城市</x:v>
      </x:c>
      <x:c r="S58" s="2" t="str">
        <x:v>day</x:v>
      </x:c>
      <x:c r="T58" s="2"/>
      <x:c r="U58" s="2"/>
      <x:c r="V58" s="9"/>
      <x:c r="W58" s="9"/>
      <x:c r="X58" s="9"/>
      <x:c r="Y58" s="2"/>
      <x:c r="Z58" s="2" t="str">
        <x:v>过街行人，与投资纠纷无关。</x:v>
      </x:c>
      <x:c r="AA58" s="9"/>
      <x:c r="AB58" s="2" t="str">
        <x:v>男</x:v>
      </x:c>
      <x:c r="AC58" s="2"/>
      <x:c r="AD58" s="7" t="str">
        <x:v>法院认定无法接受投资失败，驾车冲撞行人。</x:v>
      </x:c>
      <x:c r="AE58" s="2" t="str">
        <x:v>经济受挫；泄愤报复</x:v>
      </x:c>
      <x:c r="AF58" s="2" t="str">
        <x:v>法院认定</x:v>
      </x:c>
      <x:c r="AG58" s="2"/>
      <x:c r="AH58" s="2"/>
      <x:c r="AI58" s="2"/>
      <x:c r="AJ58" s="2" t="str">
        <x:v>警方调查后控制嫌疑人；送医救治伤者。</x:v>
      </x:c>
      <x:c r="AK58" s="2" t="str">
        <x:v>一审死刑、二审维持，最高法核准后执行。</x:v>
      </x:c>
      <x:c r="AL58" s="10" t="n">
        <x:v>44498</x:v>
      </x:c>
      <x:c r="AM58" s="10" t="n">
        <x:v>45023</x:v>
      </x:c>
      <x:c r="AN58" s="10" t="n">
        <x:v>45023</x:v>
      </x:c>
      <x:c r="AO58" s="2" t="str">
        <x:v>官方转载</x:v>
      </x:c>
      <x:c r="AP58" s="7" t="str">
        <x:v>BS01</x:v>
      </x:c>
      <x:c r="AQ58" s="7" t="str">
        <x:v>{"date":["BS01"],"location":["BS01"],"casualties":["BS01"],"classification":["BS01"],"motive":["BS01"],"outcome":["BS01"]}</x:v>
      </x:c>
      <x:c r="AR58" s="2"/>
      <x:c r="AS58" s="9"/>
      <x:c r="AT58" s="9"/>
      <x:c r="AU58" s="9"/>
      <x:c r="AV58" s="2"/>
      <x:c r="AW58" s="2"/>
      <x:c r="AX58" s="9"/>
      <x:c r="AY58" s="10"/>
      <x:c r="AZ58" s="7"/>
      <x:c r="BA58" s="7"/>
      <x:c r="BB58" s="7"/>
      <x:c r="BC58" s="7"/>
      <x:c r="BD58" s="2" t="str">
        <x:v>是</x:v>
      </x:c>
      <x:c r="BE58" s="2" t="str">
        <x:v>是</x:v>
      </x:c>
      <x:c r="BF58" s="2" t="str">
        <x:v>官方事实直接支持</x:v>
      </x:c>
      <x:c r="BG58" s="2" t="str">
        <x:v>泄愤／转移报复；经济／工作／财产纠纷</x:v>
      </x:c>
      <x:c r="BH58" s="9" t="n">
        <x:v>2021</x:v>
      </x:c>
      <x:c r="BI58" s="9" t="n">
        <x:v>5</x:v>
      </x:c>
      <x:c r="BJ58" s="9" t="n">
        <x:v>8</x:v>
      </x:c>
      <x:c r="BK58" s="9" t="n">
        <x:v>1</x:v>
      </x:c>
      <x:c r="BL58" s="9" t="n">
        <x:v>1</x:v>
      </x:c>
      <x:c r="BM58" s="9" t="n">
        <x:v>1</x:v>
      </x:c>
      <x:c r="BN58" s="9" t="n">
        <x:v>0</x:v>
      </x:c>
      <x:c r="BO58" s="9" t="n">
        <x:v>0</x:v>
      </x:c>
    </x:row>
    <x:row r="59" ht="38" customHeight="1">
      <x:c r="A59" s="2" t="str">
        <x:v>B09</x:v>
      </x:c>
      <x:c r="B59" s="2" t="str">
        <x:v>2021-05-24</x:v>
      </x:c>
      <x:c r="C59" s="7" t="str">
        <x:v>任丘华北油田采一中学伤人事件</x:v>
      </x:c>
      <x:c r="D59" s="2" t="str">
        <x:v>河北</x:v>
      </x:c>
      <x:c r="E59" s="2" t="str">
        <x:v>沧州</x:v>
      </x:c>
      <x:c r="F59" s="2" t="str">
        <x:v>pending</x:v>
      </x:c>
      <x:c r="G59" s="2" t="str">
        <x:v>校园及周边</x:v>
      </x:c>
      <x:c r="H59" s="2" t="str">
        <x:v>持械</x:v>
      </x:c>
      <x:c r="I59" s="9"/>
      <x:c r="J59" s="9"/>
      <x:c r="K59" s="2"/>
      <x:c r="L59" s="9"/>
      <x:c r="M59" s="9"/>
      <x:c r="N59" s="10"/>
      <x:c r="O59" s="7"/>
      <x:c r="P59" s="7" t="str">
        <x:v>教育部门及医院向记者确认事件和学生受伤；未公开行凶对象关系、人数及动机，不能据网络汇编定为随机。</x:v>
      </x:c>
      <x:c r="Q59" s="2" t="str">
        <x:v>任丘市</x:v>
      </x:c>
      <x:c r="R59" s="2"/>
      <x:c r="S59" s="2" t="str">
        <x:v>day</x:v>
      </x:c>
      <x:c r="T59" s="2"/>
      <x:c r="U59" s="2"/>
      <x:c r="V59" s="9"/>
      <x:c r="W59" s="9"/>
      <x:c r="X59" s="9"/>
      <x:c r="Y59" s="2" t="str">
        <x:v>是</x:v>
      </x:c>
      <x:c r="Z59" s="2"/>
      <x:c r="AA59" s="9"/>
      <x:c r="AB59" s="2"/>
      <x:c r="AC59" s="2"/>
      <x:c r="AD59" s="7"/>
      <x:c r="AE59" s="2" t="str"/>
      <x:c r="AF59" s="2" t="str">
        <x:v>未知</x:v>
      </x:c>
      <x:c r="AG59" s="2"/>
      <x:c r="AH59" s="2"/>
      <x:c r="AI59" s="2"/>
      <x:c r="AJ59" s="2"/>
      <x:c r="AK59" s="2" t="str">
        <x:v>媒体称警方已处置；细节待核。</x:v>
      </x:c>
      <x:c r="AL59" s="10"/>
      <x:c r="AM59" s="10"/>
      <x:c r="AN59" s="10" t="n">
        <x:v>44340</x:v>
      </x:c>
      <x:c r="AO59" s="2" t="str">
        <x:v>单一媒体</x:v>
      </x:c>
      <x:c r="AP59" s="7" t="str">
        <x:v>BS09</x:v>
      </x:c>
      <x:c r="AQ59" s="7" t="str">
        <x:v>{"date":["BS09"],"location":["BS09"],"casualties":["BS09"],"classification":["BS09"],"motive":["BS09"],"outcome":["BS09"]}</x:v>
      </x:c>
      <x:c r="AR59" s="2"/>
      <x:c r="AS59" s="9"/>
      <x:c r="AT59" s="9"/>
      <x:c r="AU59" s="9"/>
      <x:c r="AV59" s="2"/>
      <x:c r="AW59" s="2"/>
      <x:c r="AX59" s="9"/>
      <x:c r="AY59" s="10"/>
      <x:c r="AZ59" s="7"/>
      <x:c r="BA59" s="7"/>
      <x:c r="BB59" s="7"/>
      <x:c r="BC59" s="7"/>
      <x:c r="BD59" s="2" t="str">
        <x:v>否</x:v>
      </x:c>
      <x:c r="BE59" s="2" t="str">
        <x:v>否</x:v>
      </x:c>
      <x:c r="BF59" s="2" t="str">
        <x:v>媒体调查／研究推断</x:v>
      </x:c>
      <x:c r="BG59" s="2" t="str"/>
      <x:c r="BH59" s="9" t="n">
        <x:v>2021</x:v>
      </x:c>
      <x:c r="BI59" s="9" t="n">
        <x:v>0</x:v>
      </x:c>
      <x:c r="BJ59" s="9" t="n">
        <x:v>0</x:v>
      </x:c>
      <x:c r="BK59" s="9" t="n">
        <x:v>0</x:v>
      </x:c>
      <x:c r="BL59" s="9" t="n">
        <x:v>0</x:v>
      </x:c>
      <x:c r="BM59" s="9" t="n">
        <x:v>1</x:v>
      </x:c>
      <x:c r="BN59" s="9" t="n">
        <x:v>1</x:v>
      </x:c>
      <x:c r="BO59" s="9" t="n">
        <x:v>1</x:v>
      </x:c>
    </x:row>
    <x:row r="60" ht="38" customHeight="1">
      <x:c r="A60" s="2" t="str">
        <x:v>B07</x:v>
      </x:c>
      <x:c r="B60" s="2" t="str">
        <x:v>2021-05-25</x:v>
      </x:c>
      <x:c r="C60" s="7" t="str">
        <x:v>南阳第六十八小学附近持棍袭击案</x:v>
      </x:c>
      <x:c r="D60" s="2" t="str">
        <x:v>河南</x:v>
      </x:c>
      <x:c r="E60" s="2" t="str">
        <x:v>南阳</x:v>
      </x:c>
      <x:c r="F60" s="2" t="str">
        <x:v>core</x:v>
      </x:c>
      <x:c r="G60" s="2" t="str">
        <x:v>校园及周边</x:v>
      </x:c>
      <x:c r="H60" s="2" t="str">
        <x:v>持械</x:v>
      </x:c>
      <x:c r="I60" s="9" t="n">
        <x:v>0</x:v>
      </x:c>
      <x:c r="J60" s="9" t="n">
        <x:v>14</x:v>
      </x:c>
      <x:c r="K60" s="2"/>
      <x:c r="L60" s="9"/>
      <x:c r="M60" s="9"/>
      <x:c r="N60" s="10" t="n">
        <x:v>44342</x:v>
      </x:c>
      <x:c r="O60" s="7" t="str">
        <x:v>截至通报14人受伤、均无生命危险，未检出后续伤亡修订。</x:v>
      </x:c>
      <x:c r="P60" s="7" t="str">
        <x:v>警方明确认定为报复社会，袭击12名学生和2名群众。</x:v>
      </x:c>
      <x:c r="Q60" s="2"/>
      <x:c r="R60" s="2" t="str">
        <x:v>城市</x:v>
      </x:c>
      <x:c r="S60" s="2" t="str">
        <x:v>day</x:v>
      </x:c>
      <x:c r="T60" s="2"/>
      <x:c r="U60" s="2"/>
      <x:c r="V60" s="9"/>
      <x:c r="W60" s="9"/>
      <x:c r="X60" s="9"/>
      <x:c r="Y60" s="2" t="str">
        <x:v>是</x:v>
      </x:c>
      <x:c r="Z60" s="2" t="str">
        <x:v>学生和现场群众。</x:v>
      </x:c>
      <x:c r="AA60" s="9" t="n">
        <x:v>66</x:v>
      </x:c>
      <x:c r="AB60" s="2" t="str">
        <x:v>男</x:v>
      </x:c>
      <x:c r="AC60" s="2" t="str">
        <x:v>退休人员</x:v>
      </x:c>
      <x:c r="AD60" s="7" t="str">
        <x:v>警方初步认定因生活失意离家独居，为报复社会持棍行凶。</x:v>
      </x:c>
      <x:c r="AE60" s="2" t="str">
        <x:v>生活失意；泄愤报复</x:v>
      </x:c>
      <x:c r="AF60" s="2" t="str">
        <x:v>警方初步通报</x:v>
      </x:c>
      <x:c r="AG60" s="2"/>
      <x:c r="AH60" s="2"/>
      <x:c r="AI60" s="2"/>
      <x:c r="AJ60" s="2" t="str">
        <x:v>群众配合警方控制嫌疑人并送医。</x:v>
      </x:c>
      <x:c r="AK60" s="2" t="str">
        <x:v>嫌疑人已控制；未检出可核验后续裁判。</x:v>
      </x:c>
      <x:c r="AL60" s="10"/>
      <x:c r="AM60" s="10"/>
      <x:c r="AN60" s="10" t="n">
        <x:v>44342</x:v>
      </x:c>
      <x:c r="AO60" s="2" t="str">
        <x:v>官方转载</x:v>
      </x:c>
      <x:c r="AP60" s="7" t="str">
        <x:v>BS07</x:v>
      </x:c>
      <x:c r="AQ60" s="7" t="str">
        <x:v>{"date":["BS07"],"location":["BS07"],"casualties":["BS07"],"classification":["BS07"],"motive":["BS07"],"outcome":["BS07"]}</x:v>
      </x:c>
      <x:c r="AR60" s="2"/>
      <x:c r="AS60" s="9"/>
      <x:c r="AT60" s="9"/>
      <x:c r="AU60" s="9"/>
      <x:c r="AV60" s="2"/>
      <x:c r="AW60" s="2"/>
      <x:c r="AX60" s="9"/>
      <x:c r="AY60" s="10"/>
      <x:c r="AZ60" s="7"/>
      <x:c r="BA60" s="7"/>
      <x:c r="BB60" s="7"/>
      <x:c r="BC60" s="7"/>
      <x:c r="BD60" s="2" t="str">
        <x:v>是</x:v>
      </x:c>
      <x:c r="BE60" s="2" t="str">
        <x:v>是</x:v>
      </x:c>
      <x:c r="BF60" s="2" t="str">
        <x:v>官方事实直接支持</x:v>
      </x:c>
      <x:c r="BG60" s="2" t="str">
        <x:v>泄愤／转移报复；生活受挫／疏离／厌世</x:v>
      </x:c>
      <x:c r="BH60" s="9" t="n">
        <x:v>2021</x:v>
      </x:c>
      <x:c r="BI60" s="9" t="n">
        <x:v>0</x:v>
      </x:c>
      <x:c r="BJ60" s="9" t="n">
        <x:v>14</x:v>
      </x:c>
      <x:c r="BK60" s="9" t="n">
        <x:v>1</x:v>
      </x:c>
      <x:c r="BL60" s="9" t="n">
        <x:v>1</x:v>
      </x:c>
      <x:c r="BM60" s="9" t="n">
        <x:v>1</x:v>
      </x:c>
      <x:c r="BN60" s="9" t="n">
        <x:v>0</x:v>
      </x:c>
      <x:c r="BO60" s="9" t="n">
        <x:v>0</x:v>
      </x:c>
    </x:row>
    <x:row r="61" ht="38" customHeight="1">
      <x:c r="A61" s="2" t="str">
        <x:v>B08</x:v>
      </x:c>
      <x:c r="B61" s="2" t="str">
        <x:v>2021-05-28</x:v>
      </x:c>
      <x:c r="C61" s="7" t="str">
        <x:v>郴州白露塘地下通道学生遇袭案</x:v>
      </x:c>
      <x:c r="D61" s="2" t="str">
        <x:v>湖南</x:v>
      </x:c>
      <x:c r="E61" s="2" t="str">
        <x:v>郴州</x:v>
      </x:c>
      <x:c r="F61" s="2" t="str">
        <x:v>pending</x:v>
      </x:c>
      <x:c r="G61" s="2" t="str">
        <x:v>校园及周边</x:v>
      </x:c>
      <x:c r="H61" s="2" t="str">
        <x:v>持械</x:v>
      </x:c>
      <x:c r="I61" s="9"/>
      <x:c r="J61" s="9"/>
      <x:c r="K61" s="2"/>
      <x:c r="L61" s="9"/>
      <x:c r="M61" s="9"/>
      <x:c r="N61" s="10" t="n">
        <x:v>44344</x:v>
      </x:c>
      <x:c r="O61" s="7" t="str">
        <x:v>生活报称5名学生受袭，医院受访人员称至少1死；报道同时称伤亡不明，故不填写精确最终死伤。</x:v>
      </x:c>
      <x:c r="P61" s="7" t="str">
        <x:v>单一独立媒体采访确认学生遇袭，未检出官方完整通报或第二独立采集资料，随机性与最终伤亡未充分核实。</x:v>
      </x:c>
      <x:c r="Q61" s="2" t="str">
        <x:v>苏仙区</x:v>
      </x:c>
      <x:c r="R61" s="2" t="str">
        <x:v>镇区</x:v>
      </x:c>
      <x:c r="S61" s="2" t="str">
        <x:v>day</x:v>
      </x:c>
      <x:c r="T61" s="2"/>
      <x:c r="U61" s="2"/>
      <x:c r="V61" s="9"/>
      <x:c r="W61" s="9"/>
      <x:c r="X61" s="9"/>
      <x:c r="Y61" s="2" t="str">
        <x:v>是</x:v>
      </x:c>
      <x:c r="Z61" s="2" t="str">
        <x:v>返校学生；与嫌疑人关系不明。</x:v>
      </x:c>
      <x:c r="AA61" s="9"/>
      <x:c r="AB61" s="2" t="str">
        <x:v>男</x:v>
      </x:c>
      <x:c r="AC61" s="2" t="str">
        <x:v>媒体采访商户称在当地务工，未官方证实。</x:v>
      </x:c>
      <x:c r="AD61" s="7"/>
      <x:c r="AE61" s="2" t="str"/>
      <x:c r="AF61" s="2" t="str">
        <x:v>未知</x:v>
      </x:c>
      <x:c r="AG61" s="2" t="str">
        <x:v>商户说法不一致，未见专业鉴定，不据此认定。</x:v>
      </x:c>
      <x:c r="AH61" s="2"/>
      <x:c r="AI61" s="2"/>
      <x:c r="AJ61" s="2"/>
      <x:c r="AK61" s="2" t="str">
        <x:v>媒体称已被警方控制；未检出后续通报。</x:v>
      </x:c>
      <x:c r="AL61" s="10"/>
      <x:c r="AM61" s="10"/>
      <x:c r="AN61" s="10" t="n">
        <x:v>44344</x:v>
      </x:c>
      <x:c r="AO61" s="2" t="str">
        <x:v>单一媒体</x:v>
      </x:c>
      <x:c r="AP61" s="7" t="str">
        <x:v>BS08</x:v>
      </x:c>
      <x:c r="AQ61" s="7" t="str">
        <x:v>{"date":["BS08"],"location":["BS08"],"casualties":["BS08"],"classification":["BS08"],"motive":["BS08"],"outcome":["BS08"]}</x:v>
      </x:c>
      <x:c r="AR61" s="2"/>
      <x:c r="AS61" s="9"/>
      <x:c r="AT61" s="9"/>
      <x:c r="AU61" s="9"/>
      <x:c r="AV61" s="2"/>
      <x:c r="AW61" s="2"/>
      <x:c r="AX61" s="9"/>
      <x:c r="AY61" s="10"/>
      <x:c r="AZ61" s="7"/>
      <x:c r="BA61" s="7"/>
      <x:c r="BB61" s="7"/>
      <x:c r="BC61" s="7"/>
      <x:c r="BD61" s="2" t="str">
        <x:v>否</x:v>
      </x:c>
      <x:c r="BE61" s="2" t="str">
        <x:v>否</x:v>
      </x:c>
      <x:c r="BF61" s="2" t="str">
        <x:v>媒体调查／研究推断</x:v>
      </x:c>
      <x:c r="BG61" s="2" t="str"/>
      <x:c r="BH61" s="9" t="n">
        <x:v>2021</x:v>
      </x:c>
      <x:c r="BI61" s="9" t="n">
        <x:v>0</x:v>
      </x:c>
      <x:c r="BJ61" s="9" t="n">
        <x:v>0</x:v>
      </x:c>
      <x:c r="BK61" s="9" t="n">
        <x:v>0</x:v>
      </x:c>
      <x:c r="BL61" s="9" t="n">
        <x:v>0</x:v>
      </x:c>
      <x:c r="BM61" s="9" t="n">
        <x:v>1</x:v>
      </x:c>
      <x:c r="BN61" s="9" t="n">
        <x:v>1</x:v>
      </x:c>
      <x:c r="BO61" s="9" t="n">
        <x:v>1</x:v>
      </x:c>
    </x:row>
    <x:row r="62" ht="38" customHeight="1">
      <x:c r="A62" s="2" t="str">
        <x:v>B10</x:v>
      </x:c>
      <x:c r="B62" s="2" t="str">
        <x:v>2021-05-29</x:v>
      </x:c>
      <x:c r="C62" s="7" t="str">
        <x:v>南京新街口驾车撞人及持刀伤人案</x:v>
      </x:c>
      <x:c r="D62" s="2" t="str">
        <x:v>江苏</x:v>
      </x:c>
      <x:c r="E62" s="2" t="str">
        <x:v>南京</x:v>
      </x:c>
      <x:c r="F62" s="2" t="str">
        <x:v>expanded</x:v>
      </x:c>
      <x:c r="G62" s="2" t="str">
        <x:v>街道交通</x:v>
      </x:c>
      <x:c r="H62" s="2" t="str">
        <x:v>复合</x:v>
      </x:c>
      <x:c r="I62" s="9" t="n">
        <x:v>0</x:v>
      </x:c>
      <x:c r="J62" s="9" t="n">
        <x:v>7</x:v>
      </x:c>
      <x:c r="K62" s="2"/>
      <x:c r="L62" s="9"/>
      <x:c r="M62" s="9"/>
      <x:c r="N62" s="10" t="n">
        <x:v>45888</x:v>
      </x:c>
      <x:c r="O62" s="7" t="str">
        <x:v>最高法复核确认7名受害者受伤、3重伤二级；初报送医8人含嫌疑人本人。</x:v>
      </x:c>
      <x:c r="P62" s="7" t="str">
        <x:v>原针对前妻及其朋友的感情纠纷，后伤及无关路人、劝阻群众和出租车驾驶员。</x:v>
      </x:c>
      <x:c r="Q62" s="2" t="str">
        <x:v>秦淮区</x:v>
      </x:c>
      <x:c r="R62" s="2" t="str">
        <x:v>城市</x:v>
      </x:c>
      <x:c r="S62" s="2" t="str">
        <x:v>day</x:v>
      </x:c>
      <x:c r="T62" s="2"/>
      <x:c r="U62" s="2"/>
      <x:c r="V62" s="9" t="n">
        <x:v>3</x:v>
      </x:c>
      <x:c r="W62" s="9"/>
      <x:c r="X62" s="9" t="n">
        <x:v>1</x:v>
      </x:c>
      <x:c r="Y62" s="2"/>
      <x:c r="Z62" s="2" t="str">
        <x:v>前妻、前妻朋友、路人及制止者。</x:v>
      </x:c>
      <x:c r="AA62" s="9" t="n">
        <x:v>40</x:v>
      </x:c>
      <x:c r="AB62" s="2" t="str">
        <x:v>男</x:v>
      </x:c>
      <x:c r="AC62" s="2" t="str">
        <x:v>无业</x:v>
      </x:c>
      <x:c r="AD62" s="7" t="str">
        <x:v>法院认定复合遭拒后跟候前妻，看到她与同学同行而起杀念；逃亡期间持续冲撞不特定车辆行人。</x:v>
      </x:c>
      <x:c r="AE62" s="2" t="str">
        <x:v>婚恋家庭纠纷；纠纷外溢</x:v>
      </x:c>
      <x:c r="AF62" s="2" t="str">
        <x:v>法院认定</x:v>
      </x:c>
      <x:c r="AG62" s="2"/>
      <x:c r="AH62" s="2" t="str">
        <x:v>最高法复核确认此前多次酒后殴打前妻。</x:v>
      </x:c>
      <x:c r="AI62" s="2" t="str">
        <x:v>法院确认复合遭拒后多次到前妻工作地点等候。</x:v>
      </x:c>
      <x:c r="AJ62" s="2" t="str">
        <x:v>群众阻止、出租车司机及警方控制；组织多学科救治。</x:v>
      </x:c>
      <x:c r="AK62" s="2" t="str">
        <x:v>一审决定执行死刑，2024-05-08二审维持，2024-12-21最高法核准；2025-08-15公开文书，未检出执行确认。</x:v>
      </x:c>
      <x:c r="AL62" s="10" t="n">
        <x:v>44883</x:v>
      </x:c>
      <x:c r="AM62" s="10"/>
      <x:c r="AN62" s="10" t="n">
        <x:v>45888</x:v>
      </x:c>
      <x:c r="AO62" s="2" t="str">
        <x:v>官方转载</x:v>
      </x:c>
      <x:c r="AP62" s="7" t="str">
        <x:v>BS10；BS56</x:v>
      </x:c>
      <x:c r="AQ62" s="7" t="str">
        <x:v>{"date":["BS10"],"location":["BS10"],"casualties":["BS10","BS56"],"classification":["BS10","BS56"],"motive":["BS10","BS56"],"outcome":["BS10","BS56"]}</x:v>
      </x:c>
      <x:c r="AR62" s="2"/>
      <x:c r="AS62" s="9"/>
      <x:c r="AT62" s="9"/>
      <x:c r="AU62" s="9"/>
      <x:c r="AV62" s="2"/>
      <x:c r="AW62" s="2"/>
      <x:c r="AX62" s="9"/>
      <x:c r="AY62" s="10"/>
      <x:c r="AZ62" s="7"/>
      <x:c r="BA62" s="7"/>
      <x:c r="BB62" s="7"/>
      <x:c r="BC62" s="7" t="str">
        <x:v>法院出生日期1980-07-07，对应案发40岁；初报41岁保留为差异，不混用。</x:v>
      </x:c>
      <x:c r="BD62" s="2" t="str">
        <x:v>是</x:v>
      </x:c>
      <x:c r="BE62" s="2" t="str">
        <x:v>是</x:v>
      </x:c>
      <x:c r="BF62" s="2" t="str">
        <x:v>官方事实直接支持</x:v>
      </x:c>
      <x:c r="BG62" s="2" t="str">
        <x:v>其他已披露背景</x:v>
      </x:c>
      <x:c r="BH62" s="9" t="n">
        <x:v>2021</x:v>
      </x:c>
      <x:c r="BI62" s="9" t="n">
        <x:v>0</x:v>
      </x:c>
      <x:c r="BJ62" s="9" t="n">
        <x:v>7</x:v>
      </x:c>
      <x:c r="BK62" s="9" t="n">
        <x:v>1</x:v>
      </x:c>
      <x:c r="BL62" s="9" t="n">
        <x:v>1</x:v>
      </x:c>
      <x:c r="BM62" s="9" t="n">
        <x:v>1</x:v>
      </x:c>
      <x:c r="BN62" s="9" t="n">
        <x:v>0</x:v>
      </x:c>
      <x:c r="BO62" s="9" t="n">
        <x:v>0</x:v>
      </x:c>
    </x:row>
    <x:row r="63" ht="38" customHeight="1">
      <x:c r="A63" s="2" t="str">
        <x:v>B02</x:v>
      </x:c>
      <x:c r="B63" s="2" t="str">
        <x:v>2021-06-05</x:v>
      </x:c>
      <x:c r="C63" s="7" t="str">
        <x:v>安庆人民路持刀袭击路人案</x:v>
      </x:c>
      <x:c r="D63" s="2" t="str">
        <x:v>安徽</x:v>
      </x:c>
      <x:c r="E63" s="2" t="str">
        <x:v>安庆</x:v>
      </x:c>
      <x:c r="F63" s="2" t="str">
        <x:v>core</x:v>
      </x:c>
      <x:c r="G63" s="2" t="str">
        <x:v>街道交通</x:v>
      </x:c>
      <x:c r="H63" s="2" t="str">
        <x:v>持械</x:v>
      </x:c>
      <x:c r="I63" s="9" t="n">
        <x:v>7</x:v>
      </x:c>
      <x:c r="J63" s="9" t="n">
        <x:v>13</x:v>
      </x:c>
      <x:c r="K63" s="2"/>
      <x:c r="L63" s="9"/>
      <x:c r="M63" s="9"/>
      <x:c r="N63" s="10" t="n">
        <x:v>44609</x:v>
      </x:c>
      <x:c r="O63" s="7" t="str">
        <x:v>法院布告最终7死13伤，13伤中5重伤、3轻伤、5轻微伤。</x:v>
      </x:c>
      <x:c r="P63" s="7" t="str">
        <x:v>法院明确认定为杀害无辜群众泄愤报复，连续捅刺过往群众20人。</x:v>
      </x:c>
      <x:c r="Q63" s="2" t="str">
        <x:v>迎江区</x:v>
      </x:c>
      <x:c r="R63" s="2" t="str">
        <x:v>城市</x:v>
      </x:c>
      <x:c r="S63" s="2" t="str">
        <x:v>day</x:v>
      </x:c>
      <x:c r="T63" s="2"/>
      <x:c r="U63" s="2"/>
      <x:c r="V63" s="9" t="n">
        <x:v>5</x:v>
      </x:c>
      <x:c r="W63" s="9"/>
      <x:c r="X63" s="9"/>
      <x:c r="Y63" s="2" t="str">
        <x:v>否</x:v>
      </x:c>
      <x:c r="Z63" s="2" t="str">
        <x:v>随机过往群众。</x:v>
      </x:c>
      <x:c r="AA63" s="9" t="n">
        <x:v>25</x:v>
      </x:c>
      <x:c r="AB63" s="2" t="str">
        <x:v>男</x:v>
      </x:c>
      <x:c r="AC63" s="2" t="str">
        <x:v>无业</x:v>
      </x:c>
      <x:c r="AD63" s="7" t="str">
        <x:v>对家庭和社会不满，产生报复杀害无辜群众之念。</x:v>
      </x:c>
      <x:c r="AE63" s="2" t="str">
        <x:v>家庭问题；泄愤报复</x:v>
      </x:c>
      <x:c r="AF63" s="2" t="str">
        <x:v>法院认定</x:v>
      </x:c>
      <x:c r="AG63" s="2"/>
      <x:c r="AH63" s="2"/>
      <x:c r="AI63" s="2" t="str">
        <x:v>判决布告披露此前数月购买凶器并多次观察现场；未证实案发前曾被有关部门识别。</x:v>
      </x:c>
      <x:c r="AJ63" s="2" t="str">
        <x:v>接警后警方赶赴现场，当日16时36分抓获。</x:v>
      </x:c>
      <x:c r="AK63" s="2" t="str">
        <x:v>故意杀人罪死刑，经最高法核准后执行。</x:v>
      </x:c>
      <x:c r="AL63" s="10" t="n">
        <x:v>44515</x:v>
      </x:c>
      <x:c r="AM63" s="10" t="n">
        <x:v>44607</x:v>
      </x:c>
      <x:c r="AN63" s="10" t="n">
        <x:v>44609</x:v>
      </x:c>
      <x:c r="AO63" s="2" t="str">
        <x:v>官方转载</x:v>
      </x:c>
      <x:c r="AP63" s="7" t="str">
        <x:v>BS02；BS52</x:v>
      </x:c>
      <x:c r="AQ63" s="7" t="str">
        <x:v>{"date":["BS02"],"location":["BS02"],"casualties":["BS02"],"classification":["BS02"],"motive":["BS02"],"outcome":["BS02","BS52"]}</x:v>
      </x:c>
      <x:c r="AR63" s="2"/>
      <x:c r="AS63" s="9"/>
      <x:c r="AT63" s="9"/>
      <x:c r="AU63" s="9"/>
      <x:c r="AV63" s="2"/>
      <x:c r="AW63" s="2"/>
      <x:c r="AX63" s="9"/>
      <x:c r="AY63" s="10"/>
      <x:c r="AZ63" s="7"/>
      <x:c r="BA63" s="7"/>
      <x:c r="BB63" s="7"/>
      <x:c r="BC63" s="7" t="str">
        <x:v>布告列20名被害人年龄均为成年人，未采信网络关于儿童遇难的说法。</x:v>
      </x:c>
      <x:c r="BD63" s="2" t="str">
        <x:v>是</x:v>
      </x:c>
      <x:c r="BE63" s="2" t="str">
        <x:v>是</x:v>
      </x:c>
      <x:c r="BF63" s="2" t="str">
        <x:v>官方事实直接支持</x:v>
      </x:c>
      <x:c r="BG63" s="2" t="str">
        <x:v>婚姻／家庭／感情问题；泄愤／转移报复</x:v>
      </x:c>
      <x:c r="BH63" s="9" t="n">
        <x:v>2021</x:v>
      </x:c>
      <x:c r="BI63" s="9" t="n">
        <x:v>7</x:v>
      </x:c>
      <x:c r="BJ63" s="9" t="n">
        <x:v>13</x:v>
      </x:c>
      <x:c r="BK63" s="9" t="n">
        <x:v>1</x:v>
      </x:c>
      <x:c r="BL63" s="9" t="n">
        <x:v>1</x:v>
      </x:c>
      <x:c r="BM63" s="9" t="n">
        <x:v>1</x:v>
      </x:c>
      <x:c r="BN63" s="9" t="n">
        <x:v>0</x:v>
      </x:c>
      <x:c r="BO63" s="9" t="n">
        <x:v>0</x:v>
      </x:c>
    </x:row>
    <x:row r="64" ht="38" customHeight="1">
      <x:c r="A64" s="2" t="str">
        <x:v>B14</x:v>
      </x:c>
      <x:c r="B64" s="2" t="str">
        <x:v>2021-07-15</x:v>
      </x:c>
      <x:c r="C64" s="7" t="str">
        <x:v>东莞清溪镇持刀伤人案</x:v>
      </x:c>
      <x:c r="D64" s="2" t="str">
        <x:v>广东</x:v>
      </x:c>
      <x:c r="E64" s="2" t="str">
        <x:v>东莞</x:v>
      </x:c>
      <x:c r="F64" s="2" t="str">
        <x:v>pending</x:v>
      </x:c>
      <x:c r="G64" s="2" t="str">
        <x:v>街道交通</x:v>
      </x:c>
      <x:c r="H64" s="2" t="str">
        <x:v>持械</x:v>
      </x:c>
      <x:c r="I64" s="9"/>
      <x:c r="J64" s="9" t="n">
        <x:v>6</x:v>
      </x:c>
      <x:c r="K64" s="2"/>
      <x:c r="L64" s="9"/>
      <x:c r="M64" s="9"/>
      <x:c r="N64" s="10" t="n">
        <x:v>44392</x:v>
      </x:c>
      <x:c r="O64" s="7"/>
      <x:c r="P64" s="7" t="str">
        <x:v>通报未披露选择受害者方式、关系和起因。</x:v>
      </x:c>
      <x:c r="Q64" s="2" t="str">
        <x:v>清溪镇</x:v>
      </x:c>
      <x:c r="R64" s="2" t="str">
        <x:v>镇区</x:v>
      </x:c>
      <x:c r="S64" s="2" t="str">
        <x:v>day</x:v>
      </x:c>
      <x:c r="T64" s="2"/>
      <x:c r="U64" s="2"/>
      <x:c r="V64" s="9"/>
      <x:c r="W64" s="9"/>
      <x:c r="X64" s="9"/>
      <x:c r="Y64" s="2"/>
      <x:c r="Z64" s="2"/>
      <x:c r="AA64" s="9" t="n">
        <x:v>31</x:v>
      </x:c>
      <x:c r="AB64" s="2" t="str">
        <x:v>男</x:v>
      </x:c>
      <x:c r="AC64" s="2" t="str">
        <x:v>无业</x:v>
      </x:c>
      <x:c r="AD64" s="7"/>
      <x:c r="AE64" s="2" t="str"/>
      <x:c r="AF64" s="2" t="str">
        <x:v>未知</x:v>
      </x:c>
      <x:c r="AG64" s="2"/>
      <x:c r="AH64" s="2"/>
      <x:c r="AI64" s="2"/>
      <x:c r="AJ64" s="2" t="str">
        <x:v>民警到场抓获。</x:v>
      </x:c>
      <x:c r="AK64" s="2" t="str">
        <x:v>已抓获。</x:v>
      </x:c>
      <x:c r="AL64" s="10"/>
      <x:c r="AM64" s="10"/>
      <x:c r="AN64" s="10" t="n">
        <x:v>44392</x:v>
      </x:c>
      <x:c r="AO64" s="2" t="str">
        <x:v>官方转载</x:v>
      </x:c>
      <x:c r="AP64" s="7" t="str">
        <x:v>BS15</x:v>
      </x:c>
      <x:c r="AQ64" s="7" t="str">
        <x:v>{"date":["BS15"],"location":["BS15"],"casualties":["BS15"],"classification":["BS15"],"motive":[],"outcome":["BS15"]}</x:v>
      </x:c>
      <x:c r="AR64" s="2"/>
      <x:c r="AS64" s="9"/>
      <x:c r="AT64" s="9"/>
      <x:c r="AU64" s="9"/>
      <x:c r="AV64" s="2"/>
      <x:c r="AW64" s="2"/>
      <x:c r="AX64" s="9"/>
      <x:c r="AY64" s="10"/>
      <x:c r="AZ64" s="7"/>
      <x:c r="BA64" s="7"/>
      <x:c r="BB64" s="7"/>
      <x:c r="BC64" s="7"/>
      <x:c r="BD64" s="2" t="str">
        <x:v>是</x:v>
      </x:c>
      <x:c r="BE64" s="2" t="str">
        <x:v>否</x:v>
      </x:c>
      <x:c r="BF64" s="2" t="str">
        <x:v>媒体调查／研究推断</x:v>
      </x:c>
      <x:c r="BG64" s="2" t="str"/>
      <x:c r="BH64" s="9" t="n">
        <x:v>2021</x:v>
      </x:c>
      <x:c r="BI64" s="9" t="n">
        <x:v>0</x:v>
      </x:c>
      <x:c r="BJ64" s="9" t="n">
        <x:v>6</x:v>
      </x:c>
      <x:c r="BK64" s="9" t="n">
        <x:v>0</x:v>
      </x:c>
      <x:c r="BL64" s="9" t="n">
        <x:v>0</x:v>
      </x:c>
      <x:c r="BM64" s="9" t="n">
        <x:v>1</x:v>
      </x:c>
      <x:c r="BN64" s="9" t="n">
        <x:v>1</x:v>
      </x:c>
      <x:c r="BO64" s="9" t="n">
        <x:v>0</x:v>
      </x:c>
    </x:row>
    <x:row r="65" ht="38" customHeight="1">
      <x:c r="A65" s="2" t="str">
        <x:v>B15</x:v>
      </x:c>
      <x:c r="B65" s="2" t="str">
        <x:v>2021-08-16</x:v>
      </x:c>
      <x:c r="C65" s="7" t="str">
        <x:v>甘肃临洮洮阳镇未成年女孩遭袭案</x:v>
      </x:c>
      <x:c r="D65" s="2" t="str">
        <x:v>甘肃</x:v>
      </x:c>
      <x:c r="E65" s="2" t="str">
        <x:v>定西</x:v>
      </x:c>
      <x:c r="F65" s="2" t="str">
        <x:v>pending</x:v>
      </x:c>
      <x:c r="G65" s="2" t="str">
        <x:v>社区住宅</x:v>
      </x:c>
      <x:c r="H65" s="2" t="str">
        <x:v>持械</x:v>
      </x:c>
      <x:c r="I65" s="9" t="n">
        <x:v>2</x:v>
      </x:c>
      <x:c r="J65" s="9" t="n">
        <x:v>1</x:v>
      </x:c>
      <x:c r="K65" s="2"/>
      <x:c r="L65" s="9"/>
      <x:c r="M65" s="9"/>
      <x:c r="N65" s="10" t="n">
        <x:v>44426</x:v>
      </x:c>
      <x:c r="O65" s="7"/>
      <x:c r="P65" s="7" t="str">
        <x:v>已证实刑案及伤亡，受害者为出门女孩；未查明双方是否相识或特定纠纷，保守待核。</x:v>
      </x:c>
      <x:c r="Q65" s="2" t="str">
        <x:v>临洮县</x:v>
      </x:c>
      <x:c r="R65" s="2" t="str">
        <x:v>镇区</x:v>
      </x:c>
      <x:c r="S65" s="2" t="str">
        <x:v>day</x:v>
      </x:c>
      <x:c r="T65" s="2"/>
      <x:c r="U65" s="2"/>
      <x:c r="V65" s="9"/>
      <x:c r="W65" s="9"/>
      <x:c r="X65" s="9"/>
      <x:c r="Y65" s="2" t="str">
        <x:v>是</x:v>
      </x:c>
      <x:c r="Z65" s="2"/>
      <x:c r="AA65" s="9"/>
      <x:c r="AB65" s="2" t="str">
        <x:v>男</x:v>
      </x:c>
      <x:c r="AC65" s="2" t="str">
        <x:v>洮阳镇政府工作人员（财新采访确认）</x:v>
      </x:c>
      <x:c r="AD65" s="7"/>
      <x:c r="AE65" s="2" t="str"/>
      <x:c r="AF65" s="2" t="str">
        <x:v>未知</x:v>
      </x:c>
      <x:c r="AG65" s="2" t="str">
        <x:v>镇政府人士向财新称患抑郁症；不是司法鉴定。</x:v>
      </x:c>
      <x:c r="AH65" s="2"/>
      <x:c r="AI65" s="2"/>
      <x:c r="AJ65" s="2" t="str">
        <x:v>警方抓获刑拘。</x:v>
      </x:c>
      <x:c r="AK65" s="2" t="str">
        <x:v>侦办中；未检出公开后续判决。</x:v>
      </x:c>
      <x:c r="AL65" s="10"/>
      <x:c r="AM65" s="10"/>
      <x:c r="AN65" s="10" t="n">
        <x:v>44426</x:v>
      </x:c>
      <x:c r="AO65" s="2" t="str">
        <x:v>官方转载</x:v>
      </x:c>
      <x:c r="AP65" s="7" t="str">
        <x:v>BS16；BS17</x:v>
      </x:c>
      <x:c r="AQ65" s="7" t="str">
        <x:v>{"date":["BS16","BS17"],"location":["BS16","BS17"],"casualties":["BS16","BS17"],"classification":["BS16","BS17"],"motive":[],"outcome":["BS16","BS17"]}</x:v>
      </x:c>
      <x:c r="AR65" s="2"/>
      <x:c r="AS65" s="9"/>
      <x:c r="AT65" s="9"/>
      <x:c r="AU65" s="9"/>
      <x:c r="AV65" s="2"/>
      <x:c r="AW65" s="2"/>
      <x:c r="AX65" s="9"/>
      <x:c r="AY65" s="10"/>
      <x:c r="AZ65" s="7"/>
      <x:c r="BA65" s="7"/>
      <x:c r="BB65" s="7"/>
      <x:c r="BC65" s="7"/>
      <x:c r="BD65" s="2" t="str">
        <x:v>是</x:v>
      </x:c>
      <x:c r="BE65" s="2" t="str">
        <x:v>否</x:v>
      </x:c>
      <x:c r="BF65" s="2" t="str">
        <x:v>媒体调查／研究推断</x:v>
      </x:c>
      <x:c r="BG65" s="2" t="str"/>
      <x:c r="BH65" s="9" t="n">
        <x:v>2021</x:v>
      </x:c>
      <x:c r="BI65" s="9" t="n">
        <x:v>2</x:v>
      </x:c>
      <x:c r="BJ65" s="9" t="n">
        <x:v>1</x:v>
      </x:c>
      <x:c r="BK65" s="9" t="n">
        <x:v>0</x:v>
      </x:c>
      <x:c r="BL65" s="9" t="n">
        <x:v>0</x:v>
      </x:c>
      <x:c r="BM65" s="9" t="n">
        <x:v>1</x:v>
      </x:c>
      <x:c r="BN65" s="9" t="n">
        <x:v>0</x:v>
      </x:c>
      <x:c r="BO65" s="9" t="n">
        <x:v>0</x:v>
      </x:c>
    </x:row>
    <x:row r="66" ht="38" customHeight="1">
      <x:c r="A66" s="2" t="str">
        <x:v>B16</x:v>
      </x:c>
      <x:c r="B66" s="2" t="str">
        <x:v>2021-08-28</x:v>
      </x:c>
      <x:c r="C66" s="7" t="str">
        <x:v>广州番禺清河中路持刀伤人案</x:v>
      </x:c>
      <x:c r="D66" s="2" t="str">
        <x:v>广东</x:v>
      </x:c>
      <x:c r="E66" s="2" t="str">
        <x:v>广州</x:v>
      </x:c>
      <x:c r="F66" s="2" t="str">
        <x:v>pending</x:v>
      </x:c>
      <x:c r="G66" s="2" t="str">
        <x:v>街道交通</x:v>
      </x:c>
      <x:c r="H66" s="2" t="str">
        <x:v>持械</x:v>
      </x:c>
      <x:c r="I66" s="9"/>
      <x:c r="J66" s="9" t="n">
        <x:v>3</x:v>
      </x:c>
      <x:c r="K66" s="2"/>
      <x:c r="L66" s="9"/>
      <x:c r="M66" s="9"/>
      <x:c r="N66" s="10" t="n">
        <x:v>44437</x:v>
      </x:c>
      <x:c r="O66" s="7"/>
      <x:c r="P66" s="7" t="str">
        <x:v>官方确认伤人，未披露目标关系，随机性不足。</x:v>
      </x:c>
      <x:c r="Q66" s="2" t="str">
        <x:v>番禺区</x:v>
      </x:c>
      <x:c r="R66" s="2" t="str">
        <x:v>城市</x:v>
      </x:c>
      <x:c r="S66" s="2" t="str">
        <x:v>day</x:v>
      </x:c>
      <x:c r="T66" s="2"/>
      <x:c r="U66" s="2"/>
      <x:c r="V66" s="9"/>
      <x:c r="W66" s="9"/>
      <x:c r="X66" s="9" t="n">
        <x:v>1</x:v>
      </x:c>
      <x:c r="Y66" s="2"/>
      <x:c r="Z66" s="2"/>
      <x:c r="AA66" s="9" t="n">
        <x:v>43</x:v>
      </x:c>
      <x:c r="AB66" s="2" t="str">
        <x:v>男</x:v>
      </x:c>
      <x:c r="AC66" s="2"/>
      <x:c r="AD66" s="7"/>
      <x:c r="AE66" s="2" t="str"/>
      <x:c r="AF66" s="2" t="str">
        <x:v>未知</x:v>
      </x:c>
      <x:c r="AG66" s="2"/>
      <x:c r="AH66" s="2"/>
      <x:c r="AI66" s="2"/>
      <x:c r="AJ66" s="2" t="str">
        <x:v>警方开枪击伤嫌疑人并控制。</x:v>
      </x:c>
      <x:c r="AK66" s="2" t="str">
        <x:v>侦办中。</x:v>
      </x:c>
      <x:c r="AL66" s="10"/>
      <x:c r="AM66" s="10"/>
      <x:c r="AN66" s="10" t="n">
        <x:v>44437</x:v>
      </x:c>
      <x:c r="AO66" s="2" t="str">
        <x:v>官方转载</x:v>
      </x:c>
      <x:c r="AP66" s="7" t="str">
        <x:v>BS18</x:v>
      </x:c>
      <x:c r="AQ66" s="7" t="str">
        <x:v>{"date":["BS18"],"location":["BS18"],"casualties":["BS18"],"classification":["BS18"],"motive":[],"outcome":["BS18"]}</x:v>
      </x:c>
      <x:c r="AR66" s="2"/>
      <x:c r="AS66" s="9"/>
      <x:c r="AT66" s="9"/>
      <x:c r="AU66" s="9"/>
      <x:c r="AV66" s="2"/>
      <x:c r="AW66" s="2"/>
      <x:c r="AX66" s="9"/>
      <x:c r="AY66" s="10"/>
      <x:c r="AZ66" s="7"/>
      <x:c r="BA66" s="7"/>
      <x:c r="BB66" s="7"/>
      <x:c r="BC66" s="7" t="str">
        <x:v>部分汇编将此案误标2019年；按当年警方通报纠正为2021年。</x:v>
      </x:c>
      <x:c r="BD66" s="2" t="str">
        <x:v>是</x:v>
      </x:c>
      <x:c r="BE66" s="2" t="str">
        <x:v>否</x:v>
      </x:c>
      <x:c r="BF66" s="2" t="str">
        <x:v>媒体调查／研究推断</x:v>
      </x:c>
      <x:c r="BG66" s="2" t="str"/>
      <x:c r="BH66" s="9" t="n">
        <x:v>2021</x:v>
      </x:c>
      <x:c r="BI66" s="9" t="n">
        <x:v>0</x:v>
      </x:c>
      <x:c r="BJ66" s="9" t="n">
        <x:v>3</x:v>
      </x:c>
      <x:c r="BK66" s="9" t="n">
        <x:v>0</x:v>
      </x:c>
      <x:c r="BL66" s="9" t="n">
        <x:v>0</x:v>
      </x:c>
      <x:c r="BM66" s="9" t="n">
        <x:v>1</x:v>
      </x:c>
      <x:c r="BN66" s="9" t="n">
        <x:v>1</x:v>
      </x:c>
      <x:c r="BO66" s="9" t="n">
        <x:v>0</x:v>
      </x:c>
    </x:row>
    <x:row r="67" ht="38" customHeight="1">
      <x:c r="A67" s="2" t="str">
        <x:v>B17</x:v>
      </x:c>
      <x:c r="B67" s="2" t="str">
        <x:v>2021-11-04</x:v>
      </x:c>
      <x:c r="C67" s="7" t="str">
        <x:v>河津东关持刀伤害劝阻群众案</x:v>
      </x:c>
      <x:c r="D67" s="2" t="str">
        <x:v>山西</x:v>
      </x:c>
      <x:c r="E67" s="2" t="str">
        <x:v>运城</x:v>
      </x:c>
      <x:c r="F67" s="2" t="str">
        <x:v>expanded</x:v>
      </x:c>
      <x:c r="G67" s="2" t="str">
        <x:v>街道交通</x:v>
      </x:c>
      <x:c r="H67" s="2" t="str">
        <x:v>持械</x:v>
      </x:c>
      <x:c r="I67" s="9" t="n">
        <x:v>0</x:v>
      </x:c>
      <x:c r="J67" s="9" t="n">
        <x:v>3</x:v>
      </x:c>
      <x:c r="K67" s="2"/>
      <x:c r="L67" s="9"/>
      <x:c r="M67" s="9"/>
      <x:c r="N67" s="10" t="n">
        <x:v>44504</x:v>
      </x:c>
      <x:c r="O67" s="7" t="str">
        <x:v>3人包扎治疗后伤势平稳。</x:v>
      </x:c>
      <x:c r="P67" s="7" t="str">
        <x:v>原本务工口角扩展至现场三名劝阻群众，警方明确其旁观介入身份。</x:v>
      </x:c>
      <x:c r="Q67" s="2" t="str">
        <x:v>河津市</x:v>
      </x:c>
      <x:c r="R67" s="2" t="str">
        <x:v>城市</x:v>
      </x:c>
      <x:c r="S67" s="2" t="str">
        <x:v>day</x:v>
      </x:c>
      <x:c r="T67" s="2"/>
      <x:c r="U67" s="2"/>
      <x:c r="V67" s="9"/>
      <x:c r="W67" s="9"/>
      <x:c r="X67" s="9"/>
      <x:c r="Y67" s="2"/>
      <x:c r="Z67" s="2" t="str">
        <x:v>现场劝阻群众</x:v>
      </x:c>
      <x:c r="AA67" s="9" t="n">
        <x:v>36</x:v>
      </x:c>
      <x:c r="AB67" s="2" t="str">
        <x:v>男</x:v>
      </x:c>
      <x:c r="AC67" s="2" t="str">
        <x:v>务工人员</x:v>
      </x:c>
      <x:c r="AD67" s="7" t="str">
        <x:v>警方初查因务工期间口角行凶。</x:v>
      </x:c>
      <x:c r="AE67" s="2" t="str">
        <x:v>工作冲突</x:v>
      </x:c>
      <x:c r="AF67" s="2" t="str">
        <x:v>警方初步通报</x:v>
      </x:c>
      <x:c r="AG67" s="2"/>
      <x:c r="AH67" s="2"/>
      <x:c r="AI67" s="2"/>
      <x:c r="AJ67" s="2" t="str">
        <x:v>司机驾车阻止；民警与群众控制。</x:v>
      </x:c>
      <x:c r="AK67" s="2" t="str">
        <x:v>嫌疑人被控制。</x:v>
      </x:c>
      <x:c r="AL67" s="10"/>
      <x:c r="AM67" s="10"/>
      <x:c r="AN67" s="10" t="n">
        <x:v>44504</x:v>
      </x:c>
      <x:c r="AO67" s="2" t="str">
        <x:v>官方转载</x:v>
      </x:c>
      <x:c r="AP67" s="7" t="str">
        <x:v>BS19</x:v>
      </x:c>
      <x:c r="AQ67" s="7" t="str">
        <x:v>{"date":["BS19"],"location":["BS19"],"casualties":["BS19"],"classification":["BS19"],"motive":["BS19"],"outcome":["BS19"]}</x:v>
      </x:c>
      <x:c r="AR67" s="2"/>
      <x:c r="AS67" s="9"/>
      <x:c r="AT67" s="9"/>
      <x:c r="AU67" s="9"/>
      <x:c r="AV67" s="2"/>
      <x:c r="AW67" s="2"/>
      <x:c r="AX67" s="9"/>
      <x:c r="AY67" s="10"/>
      <x:c r="AZ67" s="7"/>
      <x:c r="BA67" s="7"/>
      <x:c r="BB67" s="7"/>
      <x:c r="BC67" s="7"/>
      <x:c r="BD67" s="2" t="str">
        <x:v>是</x:v>
      </x:c>
      <x:c r="BE67" s="2" t="str">
        <x:v>是</x:v>
      </x:c>
      <x:c r="BF67" s="2" t="str">
        <x:v>官方事实直接支持</x:v>
      </x:c>
      <x:c r="BG67" s="2" t="str">
        <x:v>经济／工作／财产纠纷</x:v>
      </x:c>
      <x:c r="BH67" s="9" t="n">
        <x:v>2021</x:v>
      </x:c>
      <x:c r="BI67" s="9" t="n">
        <x:v>0</x:v>
      </x:c>
      <x:c r="BJ67" s="9" t="n">
        <x:v>3</x:v>
      </x:c>
      <x:c r="BK67" s="9" t="n">
        <x:v>1</x:v>
      </x:c>
      <x:c r="BL67" s="9" t="n">
        <x:v>1</x:v>
      </x:c>
      <x:c r="BM67" s="9" t="n">
        <x:v>0</x:v>
      </x:c>
      <x:c r="BN67" s="9" t="n">
        <x:v>0</x:v>
      </x:c>
      <x:c r="BO67" s="9" t="n">
        <x:v>0</x:v>
      </x:c>
    </x:row>
    <x:row r="68" ht="38" customHeight="1">
      <x:c r="A68" s="2" t="str">
        <x:v>B11</x:v>
      </x:c>
      <x:c r="B68" s="2" t="str">
        <x:v>2021-12-06</x:v>
      </x:c>
      <x:c r="C68" s="7" t="str">
        <x:v>上海浦东博山路持剪刀伤人案</x:v>
      </x:c>
      <x:c r="D68" s="2" t="str">
        <x:v>上海</x:v>
      </x:c>
      <x:c r="E68" s="2" t="str">
        <x:v>上海</x:v>
      </x:c>
      <x:c r="F68" s="2" t="str">
        <x:v>core</x:v>
      </x:c>
      <x:c r="G68" s="2" t="str">
        <x:v>街道交通</x:v>
      </x:c>
      <x:c r="H68" s="2" t="str">
        <x:v>持械</x:v>
      </x:c>
      <x:c r="I68" s="9"/>
      <x:c r="J68" s="9" t="n">
        <x:v>9</x:v>
      </x:c>
      <x:c r="K68" s="2"/>
      <x:c r="L68" s="9"/>
      <x:c r="M68" s="9"/>
      <x:c r="N68" s="10" t="n">
        <x:v>44537</x:v>
      </x:c>
      <x:c r="O68" s="7" t="str">
        <x:v>含2名处置民警；报道未给后续死亡结果，死亡留空。</x:v>
      </x:c>
      <x:c r="P68" s="7" t="str">
        <x:v>警方确认7名群众及2名警察受伤，现场采访明确称对不认识的人从花店到沿街连续行凶。</x:v>
      </x:c>
      <x:c r="Q68" s="2" t="str">
        <x:v>浦东新区</x:v>
      </x:c>
      <x:c r="R68" s="2" t="str">
        <x:v>城市</x:v>
      </x:c>
      <x:c r="S68" s="2" t="str">
        <x:v>day</x:v>
      </x:c>
      <x:c r="T68" s="2"/>
      <x:c r="U68" s="2"/>
      <x:c r="V68" s="9"/>
      <x:c r="W68" s="9"/>
      <x:c r="X68" s="9"/>
      <x:c r="Y68" s="2"/>
      <x:c r="Z68" s="2" t="str">
        <x:v>陌生店内人员、路人及处置民警。</x:v>
      </x:c>
      <x:c r="AA68" s="9" t="n">
        <x:v>26</x:v>
      </x:c>
      <x:c r="AB68" s="2" t="str">
        <x:v>男</x:v>
      </x:c>
      <x:c r="AC68" s="2"/>
      <x:c r="AD68" s="7"/>
      <x:c r="AE68" s="2" t="str"/>
      <x:c r="AF68" s="2" t="str">
        <x:v>未知</x:v>
      </x:c>
      <x:c r="AG68" s="2" t="str">
        <x:v>警方初步调查为外省市在册精神病人；不等同于司法刑责结论或作案动机。</x:v>
      </x:c>
      <x:c r="AH68" s="2"/>
      <x:c r="AI68" s="2"/>
      <x:c r="AJ68" s="2" t="str">
        <x:v>民警接报2分钟内赶到并搏斗制服，送医救治。</x:v>
      </x:c>
      <x:c r="AK68" s="2" t="str">
        <x:v>嫌疑人被控制，未检出后续裁判。</x:v>
      </x:c>
      <x:c r="AL68" s="10"/>
      <x:c r="AM68" s="10"/>
      <x:c r="AN68" s="10" t="n">
        <x:v>44537</x:v>
      </x:c>
      <x:c r="AO68" s="2" t="str">
        <x:v>官方转载</x:v>
      </x:c>
      <x:c r="AP68" s="7" t="str">
        <x:v>BS11</x:v>
      </x:c>
      <x:c r="AQ68" s="7" t="str">
        <x:v>{"date":["BS11"],"location":["BS11"],"casualties":["BS11"],"classification":["BS11"],"motive":["BS11"],"outcome":["BS11"]}</x:v>
      </x:c>
      <x:c r="AR68" s="2"/>
      <x:c r="AS68" s="9"/>
      <x:c r="AT68" s="9"/>
      <x:c r="AU68" s="9"/>
      <x:c r="AV68" s="2"/>
      <x:c r="AW68" s="2"/>
      <x:c r="AX68" s="9"/>
      <x:c r="AY68" s="10"/>
      <x:c r="AZ68" s="7"/>
      <x:c r="BA68" s="7"/>
      <x:c r="BB68" s="7"/>
      <x:c r="BC68" s="7"/>
      <x:c r="BD68" s="2" t="str">
        <x:v>是</x:v>
      </x:c>
      <x:c r="BE68" s="2" t="str">
        <x:v>否</x:v>
      </x:c>
      <x:c r="BF68" s="2" t="str">
        <x:v>公安通报确认伤亡；陌生人、沿街连续攻击来自齐鲁晚报商户采访，法院账号仅转载。</x:v>
      </x:c>
      <x:c r="BG68" s="2" t="str"/>
      <x:c r="BH68" s="9" t="n">
        <x:v>2021</x:v>
      </x:c>
      <x:c r="BI68" s="9" t="n">
        <x:v>0</x:v>
      </x:c>
      <x:c r="BJ68" s="9" t="n">
        <x:v>9</x:v>
      </x:c>
      <x:c r="BK68" s="9" t="n">
        <x:v>0</x:v>
      </x:c>
      <x:c r="BL68" s="9" t="n">
        <x:v>0</x:v>
      </x:c>
      <x:c r="BM68" s="9" t="n">
        <x:v>0</x:v>
      </x:c>
      <x:c r="BN68" s="9" t="n">
        <x:v>1</x:v>
      </x:c>
      <x:c r="BO68" s="9" t="n">
        <x:v>0</x:v>
      </x:c>
    </x:row>
    <x:row r="69" ht="38" customHeight="1">
      <x:c r="A69" s="2" t="str">
        <x:v>B48</x:v>
      </x:c>
      <x:c r="B69" s="2" t="str">
        <x:v>2021-12-29</x:v>
      </x:c>
      <x:c r="C69" s="7" t="str">
        <x:v>长沙望城企业工友持刀伤害案</x:v>
      </x:c>
      <x:c r="D69" s="2" t="str">
        <x:v>湖南</x:v>
      </x:c>
      <x:c r="E69" s="2" t="str">
        <x:v>长沙</x:v>
      </x:c>
      <x:c r="F69" s="2" t="str">
        <x:v>excluded</x:v>
      </x:c>
      <x:c r="G69" s="2" t="str">
        <x:v>其他</x:v>
      </x:c>
      <x:c r="H69" s="2" t="str">
        <x:v>持械</x:v>
      </x:c>
      <x:c r="I69" s="9" t="n">
        <x:v>3</x:v>
      </x:c>
      <x:c r="J69" s="9" t="n">
        <x:v>2</x:v>
      </x:c>
      <x:c r="K69" s="2"/>
      <x:c r="L69" s="9"/>
      <x:c r="M69" s="9"/>
      <x:c r="N69" s="10" t="n">
        <x:v>44559</x:v>
      </x:c>
      <x:c r="O69" s="7" t="str">
        <x:v>两人伤势较重但无生命危险，不直接填司法重伤2人。</x:v>
      </x:c>
      <x:c r="P69" s="7" t="str">
        <x:v>警方明确系与工友争执后刺伤工友，未发现攻击无关人的证据，按定向工作纠纷排除。</x:v>
      </x:c>
      <x:c r="Q69" s="2" t="str">
        <x:v>望城区</x:v>
      </x:c>
      <x:c r="R69" s="2" t="str">
        <x:v>城市</x:v>
      </x:c>
      <x:c r="S69" s="2" t="str">
        <x:v>day</x:v>
      </x:c>
      <x:c r="T69" s="2"/>
      <x:c r="U69" s="2"/>
      <x:c r="V69" s="9"/>
      <x:c r="W69" s="9"/>
      <x:c r="X69" s="9"/>
      <x:c r="Y69" s="2"/>
      <x:c r="Z69" s="2" t="str">
        <x:v>工友</x:v>
      </x:c>
      <x:c r="AA69" s="9" t="n">
        <x:v>23</x:v>
      </x:c>
      <x:c r="AB69" s="2" t="str">
        <x:v>男</x:v>
      </x:c>
      <x:c r="AC69" s="2" t="str">
        <x:v>企业员工</x:v>
      </x:c>
      <x:c r="AD69" s="7" t="str">
        <x:v>警方称因与工友琐事争执心生怨恨。</x:v>
      </x:c>
      <x:c r="AE69" s="2" t="str">
        <x:v>工作冲突</x:v>
      </x:c>
      <x:c r="AF69" s="2" t="str">
        <x:v>警方初步通报</x:v>
      </x:c>
      <x:c r="AG69" s="2"/>
      <x:c r="AH69" s="2"/>
      <x:c r="AI69" s="2"/>
      <x:c r="AJ69" s="2" t="str">
        <x:v>民警现场控制。</x:v>
      </x:c>
      <x:c r="AK69" s="2" t="str">
        <x:v>侦办中。</x:v>
      </x:c>
      <x:c r="AL69" s="10"/>
      <x:c r="AM69" s="10"/>
      <x:c r="AN69" s="10" t="n">
        <x:v>44559</x:v>
      </x:c>
      <x:c r="AO69" s="2" t="str">
        <x:v>官方转载</x:v>
      </x:c>
      <x:c r="AP69" s="7" t="str">
        <x:v>BS51</x:v>
      </x:c>
      <x:c r="AQ69" s="7" t="str">
        <x:v>{"date":["BS51"],"location":["BS51"],"casualties":["BS51"],"classification":["BS51"],"motive":["BS51"],"outcome":["BS51"]}</x:v>
      </x:c>
      <x:c r="AR69" s="2"/>
      <x:c r="AS69" s="9"/>
      <x:c r="AT69" s="9"/>
      <x:c r="AU69" s="9"/>
      <x:c r="AV69" s="2"/>
      <x:c r="AW69" s="2"/>
      <x:c r="AX69" s="9"/>
      <x:c r="AY69" s="10"/>
      <x:c r="AZ69" s="7"/>
      <x:c r="BA69" s="7"/>
      <x:c r="BB69" s="7"/>
      <x:c r="BC69" s="7"/>
      <x:c r="BD69" s="2" t="str">
        <x:v>是</x:v>
      </x:c>
      <x:c r="BE69" s="2" t="str">
        <x:v>否</x:v>
      </x:c>
      <x:c r="BF69" s="2" t="str">
        <x:v>媒体调查／研究推断</x:v>
      </x:c>
      <x:c r="BG69" s="2" t="str">
        <x:v>经济／工作／财产纠纷</x:v>
      </x:c>
      <x:c r="BH69" s="9" t="n">
        <x:v>2021</x:v>
      </x:c>
      <x:c r="BI69" s="9" t="n">
        <x:v>3</x:v>
      </x:c>
      <x:c r="BJ69" s="9" t="n">
        <x:v>2</x:v>
      </x:c>
      <x:c r="BK69" s="9" t="n">
        <x:v>0</x:v>
      </x:c>
      <x:c r="BL69" s="9" t="n">
        <x:v>1</x:v>
      </x:c>
      <x:c r="BM69" s="9" t="n">
        <x:v>0</x:v>
      </x:c>
      <x:c r="BN69" s="9" t="n">
        <x:v>0</x:v>
      </x:c>
      <x:c r="BO69" s="9" t="n">
        <x:v>0</x:v>
      </x:c>
    </x:row>
    <x:row r="70" ht="38" customHeight="1">
      <x:c r="A70" s="2" t="str">
        <x:v>B18</x:v>
      </x:c>
      <x:c r="B70" s="2" t="str">
        <x:v>2022-02-12</x:v>
      </x:c>
      <x:c r="C70" s="7" t="str">
        <x:v>沈阳232路公交爆炸事件</x:v>
      </x:c>
      <x:c r="D70" s="2" t="str">
        <x:v>辽宁</x:v>
      </x:c>
      <x:c r="E70" s="2" t="str">
        <x:v>沈阳</x:v>
      </x:c>
      <x:c r="F70" s="2" t="str">
        <x:v>pending</x:v>
      </x:c>
      <x:c r="G70" s="2" t="str">
        <x:v>公共交通</x:v>
      </x:c>
      <x:c r="H70" s="2" t="str">
        <x:v>爆炸</x:v>
      </x:c>
      <x:c r="I70" s="9" t="n">
        <x:v>1</x:v>
      </x:c>
      <x:c r="J70" s="9" t="n">
        <x:v>42</x:v>
      </x:c>
      <x:c r="K70" s="2"/>
      <x:c r="L70" s="9"/>
      <x:c r="M70" s="9"/>
      <x:c r="N70" s="10" t="n">
        <x:v>44604</x:v>
      </x:c>
      <x:c r="O70" s="7" t="str">
        <x:v>警方初报1死2重伤40轻伤。</x:v>
      </x:c>
      <x:c r="P70" s="7" t="str">
        <x:v>爆炸原因未公开核实，不能确认犯罪或故意袭击。</x:v>
      </x:c>
      <x:c r="Q70" s="2" t="str">
        <x:v>皇姑区</x:v>
      </x:c>
      <x:c r="R70" s="2" t="str">
        <x:v>城市</x:v>
      </x:c>
      <x:c r="S70" s="2" t="str">
        <x:v>day</x:v>
      </x:c>
      <x:c r="T70" s="2"/>
      <x:c r="U70" s="2"/>
      <x:c r="V70" s="9" t="n">
        <x:v>2</x:v>
      </x:c>
      <x:c r="W70" s="9"/>
      <x:c r="X70" s="9"/>
      <x:c r="Y70" s="2"/>
      <x:c r="Z70" s="2"/>
      <x:c r="AA70" s="9"/>
      <x:c r="AB70" s="2"/>
      <x:c r="AC70" s="2"/>
      <x:c r="AD70" s="7"/>
      <x:c r="AE70" s="2" t="str"/>
      <x:c r="AF70" s="2" t="str">
        <x:v>未知</x:v>
      </x:c>
      <x:c r="AG70" s="2"/>
      <x:c r="AH70" s="2"/>
      <x:c r="AI70" s="2"/>
      <x:c r="AJ70" s="2" t="str">
        <x:v>应急救援、伤者送医。</x:v>
      </x:c>
      <x:c r="AK70" s="2" t="str">
        <x:v>原因调查中。</x:v>
      </x:c>
      <x:c r="AL70" s="10"/>
      <x:c r="AM70" s="10"/>
      <x:c r="AN70" s="10" t="n">
        <x:v>44604</x:v>
      </x:c>
      <x:c r="AO70" s="2" t="str">
        <x:v>官方转载</x:v>
      </x:c>
      <x:c r="AP70" s="7" t="str">
        <x:v>BS20</x:v>
      </x:c>
      <x:c r="AQ70" s="7" t="str">
        <x:v>{"date":["BS20"],"location":["BS20"],"casualties":["BS20"],"classification":["BS20"],"motive":[],"outcome":["BS20"]}</x:v>
      </x:c>
      <x:c r="AR70" s="2"/>
      <x:c r="AS70" s="9"/>
      <x:c r="AT70" s="9"/>
      <x:c r="AU70" s="9"/>
      <x:c r="AV70" s="2"/>
      <x:c r="AW70" s="2"/>
      <x:c r="AX70" s="9"/>
      <x:c r="AY70" s="10"/>
      <x:c r="AZ70" s="7"/>
      <x:c r="BA70" s="7"/>
      <x:c r="BB70" s="7"/>
      <x:c r="BC70" s="7"/>
      <x:c r="BD70" s="2" t="str">
        <x:v>是</x:v>
      </x:c>
      <x:c r="BE70" s="2" t="str">
        <x:v>否</x:v>
      </x:c>
      <x:c r="BF70" s="2" t="str">
        <x:v>媒体调查／研究推断</x:v>
      </x:c>
      <x:c r="BG70" s="2" t="str"/>
      <x:c r="BH70" s="9" t="n">
        <x:v>2022</x:v>
      </x:c>
      <x:c r="BI70" s="9" t="n">
        <x:v>1</x:v>
      </x:c>
      <x:c r="BJ70" s="9" t="n">
        <x:v>42</x:v>
      </x:c>
      <x:c r="BK70" s="9" t="n">
        <x:v>0</x:v>
      </x:c>
      <x:c r="BL70" s="9" t="n">
        <x:v>0</x:v>
      </x:c>
      <x:c r="BM70" s="9" t="n">
        <x:v>1</x:v>
      </x:c>
      <x:c r="BN70" s="9" t="n">
        <x:v>0</x:v>
      </x:c>
      <x:c r="BO70" s="9" t="n">
        <x:v>0</x:v>
      </x:c>
    </x:row>
    <x:row r="71" ht="38" customHeight="1">
      <x:c r="A71" s="2" t="str">
        <x:v>B19</x:v>
      </x:c>
      <x:c r="B71" s="2" t="str">
        <x:v>2022-02-14</x:v>
      </x:c>
      <x:c r="C71" s="7" t="str">
        <x:v>福建南靖山城镇货车撞人事件</x:v>
      </x:c>
      <x:c r="D71" s="2" t="str">
        <x:v>福建</x:v>
      </x:c>
      <x:c r="E71" s="2" t="str">
        <x:v>漳州</x:v>
      </x:c>
      <x:c r="F71" s="2" t="str">
        <x:v>pending</x:v>
      </x:c>
      <x:c r="G71" s="2" t="str">
        <x:v>街道交通</x:v>
      </x:c>
      <x:c r="H71" s="2" t="str">
        <x:v>驾车</x:v>
      </x:c>
      <x:c r="I71" s="9" t="n">
        <x:v>3</x:v>
      </x:c>
      <x:c r="J71" s="9" t="n">
        <x:v>9</x:v>
      </x:c>
      <x:c r="K71" s="2"/>
      <x:c r="L71" s="9"/>
      <x:c r="M71" s="9"/>
      <x:c r="N71" s="10" t="n">
        <x:v>44606</x:v>
      </x:c>
      <x:c r="O71" s="7"/>
      <x:c r="P71" s="7" t="str">
        <x:v>警方仅通报货车碰撞及调查，故意性和随机选择未证实。</x:v>
      </x:c>
      <x:c r="Q71" s="2" t="str">
        <x:v>南靖县</x:v>
      </x:c>
      <x:c r="R71" s="2" t="str">
        <x:v>镇区</x:v>
      </x:c>
      <x:c r="S71" s="2" t="str">
        <x:v>day</x:v>
      </x:c>
      <x:c r="T71" s="2"/>
      <x:c r="U71" s="2"/>
      <x:c r="V71" s="9"/>
      <x:c r="W71" s="9"/>
      <x:c r="X71" s="9"/>
      <x:c r="Y71" s="2"/>
      <x:c r="Z71" s="2"/>
      <x:c r="AA71" s="9"/>
      <x:c r="AB71" s="2"/>
      <x:c r="AC71" s="2"/>
      <x:c r="AD71" s="7"/>
      <x:c r="AE71" s="2" t="str"/>
      <x:c r="AF71" s="2" t="str">
        <x:v>未知</x:v>
      </x:c>
      <x:c r="AG71" s="2"/>
      <x:c r="AH71" s="2"/>
      <x:c r="AI71" s="2"/>
      <x:c r="AJ71" s="2" t="str">
        <x:v>司机被警方控制。</x:v>
      </x:c>
      <x:c r="AK71" s="2" t="str">
        <x:v>原因调查中。</x:v>
      </x:c>
      <x:c r="AL71" s="10"/>
      <x:c r="AM71" s="10"/>
      <x:c r="AN71" s="10" t="n">
        <x:v>44606</x:v>
      </x:c>
      <x:c r="AO71" s="2" t="str">
        <x:v>官方转载</x:v>
      </x:c>
      <x:c r="AP71" s="7" t="str">
        <x:v>BS21</x:v>
      </x:c>
      <x:c r="AQ71" s="7" t="str">
        <x:v>{"date":["BS21"],"location":["BS21"],"casualties":["BS21"],"classification":["BS21"],"motive":[],"outcome":["BS21"]}</x:v>
      </x:c>
      <x:c r="AR71" s="2"/>
      <x:c r="AS71" s="9"/>
      <x:c r="AT71" s="9"/>
      <x:c r="AU71" s="9"/>
      <x:c r="AV71" s="2"/>
      <x:c r="AW71" s="2"/>
      <x:c r="AX71" s="9"/>
      <x:c r="AY71" s="10"/>
      <x:c r="AZ71" s="7"/>
      <x:c r="BA71" s="7"/>
      <x:c r="BB71" s="7"/>
      <x:c r="BC71" s="7"/>
      <x:c r="BD71" s="2" t="str">
        <x:v>是</x:v>
      </x:c>
      <x:c r="BE71" s="2" t="str">
        <x:v>否</x:v>
      </x:c>
      <x:c r="BF71" s="2" t="str">
        <x:v>媒体调查／研究推断</x:v>
      </x:c>
      <x:c r="BG71" s="2" t="str"/>
      <x:c r="BH71" s="9" t="n">
        <x:v>2022</x:v>
      </x:c>
      <x:c r="BI71" s="9" t="n">
        <x:v>3</x:v>
      </x:c>
      <x:c r="BJ71" s="9" t="n">
        <x:v>9</x:v>
      </x:c>
      <x:c r="BK71" s="9" t="n">
        <x:v>0</x:v>
      </x:c>
      <x:c r="BL71" s="9" t="n">
        <x:v>0</x:v>
      </x:c>
      <x:c r="BM71" s="9" t="n">
        <x:v>1</x:v>
      </x:c>
      <x:c r="BN71" s="9" t="n">
        <x:v>0</x:v>
      </x:c>
      <x:c r="BO71" s="9" t="n">
        <x:v>0</x:v>
      </x:c>
    </x:row>
    <x:row r="72" ht="38" customHeight="1">
      <x:c r="A72" s="2" t="str">
        <x:v>B20</x:v>
      </x:c>
      <x:c r="B72" s="2" t="str">
        <x:v>2022-03-20</x:v>
      </x:c>
      <x:c r="C72" s="7" t="str">
        <x:v>邯郸人民路车辆碰撞非机动车事件</x:v>
      </x:c>
      <x:c r="D72" s="2" t="str">
        <x:v>河北</x:v>
      </x:c>
      <x:c r="E72" s="2" t="str">
        <x:v>邯郸</x:v>
      </x:c>
      <x:c r="F72" s="2" t="str">
        <x:v>pending</x:v>
      </x:c>
      <x:c r="G72" s="2" t="str">
        <x:v>街道交通</x:v>
      </x:c>
      <x:c r="H72" s="2" t="str">
        <x:v>驾车</x:v>
      </x:c>
      <x:c r="I72" s="9" t="n">
        <x:v>4</x:v>
      </x:c>
      <x:c r="J72" s="9" t="n">
        <x:v>10</x:v>
      </x:c>
      <x:c r="K72" s="2"/>
      <x:c r="L72" s="9"/>
      <x:c r="M72" s="9"/>
      <x:c r="N72" s="10" t="n">
        <x:v>44642</x:v>
      </x:c>
      <x:c r="O72" s="7" t="str">
        <x:v>初报14人受伤中4人死亡，幸存伤者10人。</x:v>
      </x:c>
      <x:c r="P72" s="7" t="str">
        <x:v>以危险方法危害公共安全罪刑拘不能单独证明随机袭击；警方初步归因超量服药，未检出后续故意性认定。</x:v>
      </x:c>
      <x:c r="Q72" s="2" t="str">
        <x:v>丛台区</x:v>
      </x:c>
      <x:c r="R72" s="2" t="str">
        <x:v>城市</x:v>
      </x:c>
      <x:c r="S72" s="2" t="str">
        <x:v>day</x:v>
      </x:c>
      <x:c r="T72" s="2"/>
      <x:c r="U72" s="2"/>
      <x:c r="V72" s="9"/>
      <x:c r="W72" s="9"/>
      <x:c r="X72" s="9"/>
      <x:c r="Y72" s="2"/>
      <x:c r="Z72" s="2"/>
      <x:c r="AA72" s="9" t="n">
        <x:v>31</x:v>
      </x:c>
      <x:c r="AB72" s="2" t="str">
        <x:v>男</x:v>
      </x:c>
      <x:c r="AC72" s="2" t="str">
        <x:v>某单位职工</x:v>
      </x:c>
      <x:c r="AD72" s="7"/>
      <x:c r="AE72" s="2" t="str"/>
      <x:c r="AF72" s="2" t="str">
        <x:v>未知</x:v>
      </x:c>
      <x:c r="AG72" s="2"/>
      <x:c r="AH72" s="2"/>
      <x:c r="AI72" s="2"/>
      <x:c r="AJ72" s="2" t="str">
        <x:v>司机当场被控制。</x:v>
      </x:c>
      <x:c r="AK72" s="2" t="str">
        <x:v>涉嫌以危险方法危害公共安全罪刑拘。</x:v>
      </x:c>
      <x:c r="AL72" s="10"/>
      <x:c r="AM72" s="10"/>
      <x:c r="AN72" s="10" t="n">
        <x:v>44642</x:v>
      </x:c>
      <x:c r="AO72" s="2" t="str">
        <x:v>官方转载</x:v>
      </x:c>
      <x:c r="AP72" s="7" t="str">
        <x:v>BS22</x:v>
      </x:c>
      <x:c r="AQ72" s="7" t="str">
        <x:v>{"date":["BS22"],"location":["BS22"],"casualties":["BS22"],"classification":["BS22"],"motive":[],"outcome":["BS22"]}</x:v>
      </x:c>
      <x:c r="AR72" s="2"/>
      <x:c r="AS72" s="9"/>
      <x:c r="AT72" s="9"/>
      <x:c r="AU72" s="9"/>
      <x:c r="AV72" s="2"/>
      <x:c r="AW72" s="2"/>
      <x:c r="AX72" s="9"/>
      <x:c r="AY72" s="10"/>
      <x:c r="AZ72" s="7"/>
      <x:c r="BA72" s="7"/>
      <x:c r="BB72" s="7"/>
      <x:c r="BC72" s="7"/>
      <x:c r="BD72" s="2" t="str">
        <x:v>是</x:v>
      </x:c>
      <x:c r="BE72" s="2" t="str">
        <x:v>否</x:v>
      </x:c>
      <x:c r="BF72" s="2" t="str">
        <x:v>媒体调查／研究推断</x:v>
      </x:c>
      <x:c r="BG72" s="2" t="str"/>
      <x:c r="BH72" s="9" t="n">
        <x:v>2022</x:v>
      </x:c>
      <x:c r="BI72" s="9" t="n">
        <x:v>4</x:v>
      </x:c>
      <x:c r="BJ72" s="9" t="n">
        <x:v>10</x:v>
      </x:c>
      <x:c r="BK72" s="9" t="n">
        <x:v>0</x:v>
      </x:c>
      <x:c r="BL72" s="9" t="n">
        <x:v>0</x:v>
      </x:c>
      <x:c r="BM72" s="9" t="n">
        <x:v>1</x:v>
      </x:c>
      <x:c r="BN72" s="9" t="n">
        <x:v>0</x:v>
      </x:c>
      <x:c r="BO72" s="9" t="n">
        <x:v>0</x:v>
      </x:c>
    </x:row>
    <x:row r="73" ht="38" customHeight="1">
      <x:c r="A73" s="2" t="str">
        <x:v>B21</x:v>
      </x:c>
      <x:c r="B73" s="2" t="str">
        <x:v>2022-04-14</x:v>
      </x:c>
      <x:c r="C73" s="7" t="str">
        <x:v>甘肃岷县同院住户伤害案</x:v>
      </x:c>
      <x:c r="D73" s="2" t="str">
        <x:v>甘肃</x:v>
      </x:c>
      <x:c r="E73" s="2" t="str">
        <x:v>定西</x:v>
      </x:c>
      <x:c r="F73" s="2" t="str">
        <x:v>pending</x:v>
      </x:c>
      <x:c r="G73" s="2" t="str">
        <x:v>社区住宅</x:v>
      </x:c>
      <x:c r="H73" s="2" t="str">
        <x:v>其他</x:v>
      </x:c>
      <x:c r="I73" s="9" t="n">
        <x:v>0</x:v>
      </x:c>
      <x:c r="J73" s="9" t="n">
        <x:v>7</x:v>
      </x:c>
      <x:c r="K73" s="2"/>
      <x:c r="L73" s="9"/>
      <x:c r="M73" s="9"/>
      <x:c r="N73" s="10" t="n">
        <x:v>44667</x:v>
      </x:c>
      <x:c r="O73" s="7" t="str">
        <x:v>1人出院，其余6人病情平稳。</x:v>
      </x:c>
      <x:c r="P73" s="7" t="str">
        <x:v>同院邻里纠纷；未交代伤者是否属于纠纷对方家庭，不能仅因有儿童就认定扩大伤害无关人员。</x:v>
      </x:c>
      <x:c r="Q73" s="2" t="str">
        <x:v>岷县</x:v>
      </x:c>
      <x:c r="R73" s="2" t="str">
        <x:v>村庄</x:v>
      </x:c>
      <x:c r="S73" s="2" t="str">
        <x:v>day</x:v>
      </x:c>
      <x:c r="T73" s="2"/>
      <x:c r="U73" s="2"/>
      <x:c r="V73" s="9"/>
      <x:c r="W73" s="9"/>
      <x:c r="X73" s="9"/>
      <x:c r="Y73" s="2" t="str">
        <x:v>是</x:v>
      </x:c>
      <x:c r="Z73" s="2" t="str">
        <x:v>同院居住的2名成人和5名儿童</x:v>
      </x:c>
      <x:c r="AA73" s="9" t="n">
        <x:v>59</x:v>
      </x:c>
      <x:c r="AB73" s="2" t="str">
        <x:v>男</x:v>
      </x:c>
      <x:c r="AC73" s="2"/>
      <x:c r="AD73" s="7" t="str">
        <x:v>警方初查误认邻居谩骂自己发生争吵。</x:v>
      </x:c>
      <x:c r="AE73" s="2" t="str">
        <x:v>邻里纠纷</x:v>
      </x:c>
      <x:c r="AF73" s="2" t="str">
        <x:v>警方初步通报</x:v>
      </x:c>
      <x:c r="AG73" s="2"/>
      <x:c r="AH73" s="2"/>
      <x:c r="AI73" s="2"/>
      <x:c r="AJ73" s="2" t="str">
        <x:v>警方当场抓获。</x:v>
      </x:c>
      <x:c r="AK73" s="2" t="str">
        <x:v>刑事拘留。</x:v>
      </x:c>
      <x:c r="AL73" s="10"/>
      <x:c r="AM73" s="10"/>
      <x:c r="AN73" s="10" t="n">
        <x:v>44667</x:v>
      </x:c>
      <x:c r="AO73" s="2" t="str">
        <x:v>官方转载</x:v>
      </x:c>
      <x:c r="AP73" s="7" t="str">
        <x:v>BS23</x:v>
      </x:c>
      <x:c r="AQ73" s="7" t="str">
        <x:v>{"date":["BS23"],"location":["BS23"],"casualties":["BS23"],"classification":["BS23"],"motive":["BS23"],"outcome":["BS23"]}</x:v>
      </x:c>
      <x:c r="AR73" s="2"/>
      <x:c r="AS73" s="9"/>
      <x:c r="AT73" s="9"/>
      <x:c r="AU73" s="9"/>
      <x:c r="AV73" s="2"/>
      <x:c r="AW73" s="2"/>
      <x:c r="AX73" s="9"/>
      <x:c r="AY73" s="10"/>
      <x:c r="AZ73" s="7"/>
      <x:c r="BA73" s="7"/>
      <x:c r="BB73" s="7"/>
      <x:c r="BC73" s="7" t="str">
        <x:v>汇编所称4月1日幼儿园案不符官方日期与地点；通报未写凶器，方法暂列其他。</x:v>
      </x:c>
      <x:c r="BD73" s="2" t="str">
        <x:v>是</x:v>
      </x:c>
      <x:c r="BE73" s="2" t="str">
        <x:v>否</x:v>
      </x:c>
      <x:c r="BF73" s="2" t="str">
        <x:v>媒体调查／研究推断</x:v>
      </x:c>
      <x:c r="BG73" s="2" t="str">
        <x:v>其他已披露背景</x:v>
      </x:c>
      <x:c r="BH73" s="9" t="n">
        <x:v>2022</x:v>
      </x:c>
      <x:c r="BI73" s="9" t="n">
        <x:v>0</x:v>
      </x:c>
      <x:c r="BJ73" s="9" t="n">
        <x:v>7</x:v>
      </x:c>
      <x:c r="BK73" s="9" t="n">
        <x:v>0</x:v>
      </x:c>
      <x:c r="BL73" s="9" t="n">
        <x:v>1</x:v>
      </x:c>
      <x:c r="BM73" s="9" t="n">
        <x:v>1</x:v>
      </x:c>
      <x:c r="BN73" s="9" t="n">
        <x:v>0</x:v>
      </x:c>
      <x:c r="BO73" s="9" t="n">
        <x:v>0</x:v>
      </x:c>
    </x:row>
    <x:row r="74" ht="38" customHeight="1">
      <x:c r="A74" s="2" t="str">
        <x:v>B22</x:v>
      </x:c>
      <x:c r="B74" s="2" t="str">
        <x:v>2022-06-02</x:v>
      </x:c>
      <x:c r="C74" s="7" t="str">
        <x:v>东莞东城万达广场附近持刀伤人案</x:v>
      </x:c>
      <x:c r="D74" s="2" t="str">
        <x:v>广东</x:v>
      </x:c>
      <x:c r="E74" s="2" t="str">
        <x:v>东莞</x:v>
      </x:c>
      <x:c r="F74" s="2" t="str">
        <x:v>pending</x:v>
      </x:c>
      <x:c r="G74" s="2" t="str">
        <x:v>商业场所</x:v>
      </x:c>
      <x:c r="H74" s="2" t="str">
        <x:v>持械</x:v>
      </x:c>
      <x:c r="I74" s="9"/>
      <x:c r="J74" s="9" t="n">
        <x:v>6</x:v>
      </x:c>
      <x:c r="K74" s="2"/>
      <x:c r="L74" s="9"/>
      <x:c r="M74" s="9"/>
      <x:c r="N74" s="10" t="n">
        <x:v>44714</x:v>
      </x:c>
      <x:c r="O74" s="7"/>
      <x:c r="P74" s="7" t="str">
        <x:v>官方证实6人受伤，但随机细节只有未独立核实视频和网述，保守待核。</x:v>
      </x:c>
      <x:c r="Q74" s="2" t="str">
        <x:v>东城街道</x:v>
      </x:c>
      <x:c r="R74" s="2" t="str">
        <x:v>城市</x:v>
      </x:c>
      <x:c r="S74" s="2" t="str">
        <x:v>day</x:v>
      </x:c>
      <x:c r="T74" s="2"/>
      <x:c r="U74" s="2"/>
      <x:c r="V74" s="9"/>
      <x:c r="W74" s="9"/>
      <x:c r="X74" s="9"/>
      <x:c r="Y74" s="2"/>
      <x:c r="Z74" s="2"/>
      <x:c r="AA74" s="9" t="n">
        <x:v>25</x:v>
      </x:c>
      <x:c r="AB74" s="2" t="str">
        <x:v>男</x:v>
      </x:c>
      <x:c r="AC74" s="2"/>
      <x:c r="AD74" s="7"/>
      <x:c r="AE74" s="2" t="str"/>
      <x:c r="AF74" s="2" t="str">
        <x:v>未知</x:v>
      </x:c>
      <x:c r="AG74" s="2"/>
      <x:c r="AH74" s="2"/>
      <x:c r="AI74" s="2"/>
      <x:c r="AJ74" s="2" t="str">
        <x:v>警方控制嫌疑人。</x:v>
      </x:c>
      <x:c r="AK74" s="2" t="str">
        <x:v>侦查中。</x:v>
      </x:c>
      <x:c r="AL74" s="10"/>
      <x:c r="AM74" s="10"/>
      <x:c r="AN74" s="10" t="n">
        <x:v>44714</x:v>
      </x:c>
      <x:c r="AO74" s="2" t="str">
        <x:v>官方转载</x:v>
      </x:c>
      <x:c r="AP74" s="7" t="str">
        <x:v>BS24</x:v>
      </x:c>
      <x:c r="AQ74" s="7" t="str">
        <x:v>{"date":["BS24"],"location":["BS24"],"casualties":["BS24"],"classification":["BS24"],"motive":[],"outcome":["BS24"]}</x:v>
      </x:c>
      <x:c r="AR74" s="2"/>
      <x:c r="AS74" s="9"/>
      <x:c r="AT74" s="9"/>
      <x:c r="AU74" s="9"/>
      <x:c r="AV74" s="2"/>
      <x:c r="AW74" s="2"/>
      <x:c r="AX74" s="9"/>
      <x:c r="AY74" s="10"/>
      <x:c r="AZ74" s="7"/>
      <x:c r="BA74" s="7"/>
      <x:c r="BB74" s="7"/>
      <x:c r="BC74" s="7"/>
      <x:c r="BD74" s="2" t="str">
        <x:v>是</x:v>
      </x:c>
      <x:c r="BE74" s="2" t="str">
        <x:v>否</x:v>
      </x:c>
      <x:c r="BF74" s="2" t="str">
        <x:v>媒体调查／研究推断</x:v>
      </x:c>
      <x:c r="BG74" s="2" t="str"/>
      <x:c r="BH74" s="9" t="n">
        <x:v>2022</x:v>
      </x:c>
      <x:c r="BI74" s="9" t="n">
        <x:v>0</x:v>
      </x:c>
      <x:c r="BJ74" s="9" t="n">
        <x:v>6</x:v>
      </x:c>
      <x:c r="BK74" s="9" t="n">
        <x:v>0</x:v>
      </x:c>
      <x:c r="BL74" s="9" t="n">
        <x:v>0</x:v>
      </x:c>
      <x:c r="BM74" s="9" t="n">
        <x:v>1</x:v>
      </x:c>
      <x:c r="BN74" s="9" t="n">
        <x:v>1</x:v>
      </x:c>
      <x:c r="BO74" s="9" t="n">
        <x:v>0</x:v>
      </x:c>
    </x:row>
    <x:row r="75" ht="38" customHeight="1">
      <x:c r="A75" s="2" t="str">
        <x:v>B23</x:v>
      </x:c>
      <x:c r="B75" s="2" t="str">
        <x:v>2022-07-04</x:v>
      </x:c>
      <x:c r="C75" s="7" t="str">
        <x:v>上海威海路原单位门前持刀伤人案</x:v>
      </x:c>
      <x:c r="D75" s="2" t="str">
        <x:v>上海</x:v>
      </x:c>
      <x:c r="E75" s="2" t="str">
        <x:v>上海</x:v>
      </x:c>
      <x:c r="F75" s="2" t="str">
        <x:v>core</x:v>
      </x:c>
      <x:c r="G75" s="2" t="str">
        <x:v>机关单位</x:v>
      </x:c>
      <x:c r="H75" s="2" t="str">
        <x:v>持械</x:v>
      </x:c>
      <x:c r="I75" s="9" t="n">
        <x:v>0</x:v>
      </x:c>
      <x:c r="J75" s="9" t="n">
        <x:v>6</x:v>
      </x:c>
      <x:c r="K75" s="2"/>
      <x:c r="L75" s="9"/>
      <x:c r="M75" s="9"/>
      <x:c r="N75" s="10" t="n">
        <x:v>44747</x:v>
      </x:c>
      <x:c r="O75" s="7" t="str">
        <x:v>6人送医，2人入ICU不等同司法重伤人数。</x:v>
      </x:c>
      <x:c r="P75" s="7" t="str">
        <x:v>警方证实与原单位纠纷，财新独立调查明确随机袭击进出员工；目标是单位群体中非特定个体。</x:v>
      </x:c>
      <x:c r="Q75" s="2" t="str">
        <x:v>静安区</x:v>
      </x:c>
      <x:c r="R75" s="2" t="str">
        <x:v>城市</x:v>
      </x:c>
      <x:c r="S75" s="2" t="str">
        <x:v>day</x:v>
      </x:c>
      <x:c r="T75" s="2"/>
      <x:c r="U75" s="2"/>
      <x:c r="V75" s="9"/>
      <x:c r="W75" s="9"/>
      <x:c r="X75" s="9"/>
      <x:c r="Y75" s="2"/>
      <x:c r="Z75" s="2" t="str">
        <x:v>原单位进出员工及保安，未证实均系原纠纷参与者</x:v>
      </x:c>
      <x:c r="AA75" s="9" t="n">
        <x:v>59</x:v>
      </x:c>
      <x:c r="AB75" s="2" t="str">
        <x:v>男</x:v>
      </x:c>
      <x:c r="AC75" s="2"/>
      <x:c r="AD75" s="7" t="str">
        <x:v>警方称与原单位纠纷交涉未果。</x:v>
      </x:c>
      <x:c r="AE75" s="2" t="str">
        <x:v>工作冲突</x:v>
      </x:c>
      <x:c r="AF75" s="2" t="str">
        <x:v>警方初步通报</x:v>
      </x:c>
      <x:c r="AG75" s="2"/>
      <x:c r="AH75" s="2"/>
      <x:c r="AI75" s="2"/>
      <x:c r="AJ75" s="2" t="str">
        <x:v>警方现场控制。</x:v>
      </x:c>
      <x:c r="AK75" s="2" t="str">
        <x:v>侦查中。</x:v>
      </x:c>
      <x:c r="AL75" s="10"/>
      <x:c r="AM75" s="10"/>
      <x:c r="AN75" s="10" t="n">
        <x:v>44747</x:v>
      </x:c>
      <x:c r="AO75" s="2" t="str">
        <x:v>官方转载</x:v>
      </x:c>
      <x:c r="AP75" s="7" t="str">
        <x:v>BS25</x:v>
      </x:c>
      <x:c r="AQ75" s="7" t="str">
        <x:v>{"date":["BS25"],"location":["BS25"],"casualties":["BS25"],"classification":["BS25"],"motive":["BS25"],"outcome":["BS25"]}</x:v>
      </x:c>
      <x:c r="AR75" s="2"/>
      <x:c r="AS75" s="9"/>
      <x:c r="AT75" s="9"/>
      <x:c r="AU75" s="9"/>
      <x:c r="AV75" s="2"/>
      <x:c r="AW75" s="2"/>
      <x:c r="AX75" s="9"/>
      <x:c r="AY75" s="10"/>
      <x:c r="AZ75" s="7"/>
      <x:c r="BA75" s="7"/>
      <x:c r="BB75" s="7"/>
      <x:c r="BC75" s="7"/>
      <x:c r="BD75" s="2" t="str">
        <x:v>是</x:v>
      </x:c>
      <x:c r="BE75" s="2" t="str">
        <x:v>否</x:v>
      </x:c>
      <x:c r="BF75" s="2" t="str">
        <x:v>公安通报确认原单位纠纷和持刀伤人；随机攻击进出员工来自财新独立了解。</x:v>
      </x:c>
      <x:c r="BG75" s="2" t="str">
        <x:v>经济／工作／财产纠纷</x:v>
      </x:c>
      <x:c r="BH75" s="9" t="n">
        <x:v>2022</x:v>
      </x:c>
      <x:c r="BI75" s="9" t="n">
        <x:v>0</x:v>
      </x:c>
      <x:c r="BJ75" s="9" t="n">
        <x:v>6</x:v>
      </x:c>
      <x:c r="BK75" s="9" t="n">
        <x:v>0</x:v>
      </x:c>
      <x:c r="BL75" s="9" t="n">
        <x:v>1</x:v>
      </x:c>
      <x:c r="BM75" s="9" t="n">
        <x:v>1</x:v>
      </x:c>
      <x:c r="BN75" s="9" t="n">
        <x:v>0</x:v>
      </x:c>
      <x:c r="BO75" s="9" t="n">
        <x:v>0</x:v>
      </x:c>
    </x:row>
    <x:row r="76" ht="38" customHeight="1">
      <x:c r="A76" s="2" t="str">
        <x:v>B03</x:v>
      </x:c>
      <x:c r="B76" s="2" t="str">
        <x:v>2022-07-09</x:v>
      </x:c>
      <x:c r="C76" s="7" t="str">
        <x:v>上海瑞金医院持刀袭击案</x:v>
      </x:c>
      <x:c r="D76" s="2" t="str">
        <x:v>上海</x:v>
      </x:c>
      <x:c r="E76" s="2" t="str">
        <x:v>上海</x:v>
      </x:c>
      <x:c r="F76" s="2" t="str">
        <x:v>core</x:v>
      </x:c>
      <x:c r="G76" s="2" t="str">
        <x:v>医疗机构</x:v>
      </x:c>
      <x:c r="H76" s="2" t="str">
        <x:v>持械</x:v>
      </x:c>
      <x:c r="I76" s="9" t="n">
        <x:v>0</x:v>
      </x:c>
      <x:c r="J76" s="9" t="n">
        <x:v>15</x:v>
      </x:c>
      <x:c r="K76" s="2"/>
      <x:c r="L76" s="9"/>
      <x:c r="M76" s="9"/>
      <x:c r="N76" s="10" t="n">
        <x:v>45226</x:v>
      </x:c>
      <x:c r="O76" s="7" t="str">
        <x:v>使用判决6重伤加9轻伤轻微伤，替代初报4伤；法院认定杀人未遂。</x:v>
      </x:c>
      <x:c r="P76" s="7" t="str">
        <x:v>法院明确认定预谋在公共场所持刀报复社会，袭击无关病患、家属及医护人员。</x:v>
      </x:c>
      <x:c r="Q76" s="2" t="str">
        <x:v>黄浦区</x:v>
      </x:c>
      <x:c r="R76" s="2" t="str">
        <x:v>城市</x:v>
      </x:c>
      <x:c r="S76" s="2" t="str">
        <x:v>day</x:v>
      </x:c>
      <x:c r="T76" s="2"/>
      <x:c r="U76" s="2"/>
      <x:c r="V76" s="9" t="n">
        <x:v>6</x:v>
      </x:c>
      <x:c r="W76" s="9"/>
      <x:c r="X76" s="9"/>
      <x:c r="Y76" s="2" t="str">
        <x:v>是</x:v>
      </x:c>
      <x:c r="Z76" s="2" t="str">
        <x:v>无关患者、陪同家属、医护人员</x:v>
      </x:c>
      <x:c r="AA76" s="9"/>
      <x:c r="AB76" s="2" t="str">
        <x:v>男</x:v>
      </x:c>
      <x:c r="AC76" s="2"/>
      <x:c r="AD76" s="7" t="str">
        <x:v>法院认定因投资失败和无力偿还巨额债务怨恨社会。</x:v>
      </x:c>
      <x:c r="AE76" s="2" t="str">
        <x:v>经济受挫；债务；泄愤报复</x:v>
      </x:c>
      <x:c r="AF76" s="2" t="str">
        <x:v>法院认定</x:v>
      </x:c>
      <x:c r="AG76" s="2"/>
      <x:c r="AH76" s="2"/>
      <x:c r="AI76" s="2"/>
      <x:c r="AJ76" s="2" t="str">
        <x:v>现场警方制服嫌疑人。</x:v>
      </x:c>
      <x:c r="AK76" s="2" t="str">
        <x:v>一审故意杀人罪死刑；本次检索未找到进一步裁判执行材料。</x:v>
      </x:c>
      <x:c r="AL76" s="10" t="n">
        <x:v>45226</x:v>
      </x:c>
      <x:c r="AM76" s="10"/>
      <x:c r="AN76" s="10" t="n">
        <x:v>45226</x:v>
      </x:c>
      <x:c r="AO76" s="2" t="str">
        <x:v>官方转载</x:v>
      </x:c>
      <x:c r="AP76" s="7" t="str">
        <x:v>BS12</x:v>
      </x:c>
      <x:c r="AQ76" s="7" t="str">
        <x:v>{"date":["BS12"],"location":["BS12"],"casualties":["BS12"],"classification":["BS12"],"motive":["BS12"],"outcome":["BS12"]}</x:v>
      </x:c>
      <x:c r="AR76" s="2"/>
      <x:c r="AS76" s="9"/>
      <x:c r="AT76" s="9"/>
      <x:c r="AU76" s="9"/>
      <x:c r="AV76" s="2"/>
      <x:c r="AW76" s="2"/>
      <x:c r="AX76" s="9"/>
      <x:c r="AY76" s="10"/>
      <x:c r="AZ76" s="7"/>
      <x:c r="BA76" s="7"/>
      <x:c r="BB76" s="7"/>
      <x:c r="BC76" s="7"/>
      <x:c r="BD76" s="2" t="str">
        <x:v>是</x:v>
      </x:c>
      <x:c r="BE76" s="2" t="str">
        <x:v>是</x:v>
      </x:c>
      <x:c r="BF76" s="2" t="str">
        <x:v>官方事实直接支持</x:v>
      </x:c>
      <x:c r="BG76" s="2" t="str">
        <x:v>泄愤／转移报复；经济／工作／财产纠纷</x:v>
      </x:c>
      <x:c r="BH76" s="9" t="n">
        <x:v>2022</x:v>
      </x:c>
      <x:c r="BI76" s="9" t="n">
        <x:v>0</x:v>
      </x:c>
      <x:c r="BJ76" s="9" t="n">
        <x:v>15</x:v>
      </x:c>
      <x:c r="BK76" s="9" t="n">
        <x:v>1</x:v>
      </x:c>
      <x:c r="BL76" s="9" t="n">
        <x:v>1</x:v>
      </x:c>
      <x:c r="BM76" s="9" t="n">
        <x:v>1</x:v>
      </x:c>
      <x:c r="BN76" s="9" t="n">
        <x:v>0</x:v>
      </x:c>
      <x:c r="BO76" s="9" t="n">
        <x:v>0</x:v>
      </x:c>
    </x:row>
    <x:row r="77" ht="38" customHeight="1">
      <x:c r="A77" s="2" t="str">
        <x:v>B24</x:v>
      </x:c>
      <x:c r="B77" s="2" t="str">
        <x:v>2022-07-26</x:v>
      </x:c>
      <x:c r="C77" s="7" t="str">
        <x:v>四川沐川警察枪击及杀人纵火案</x:v>
      </x:c>
      <x:c r="D77" s="2" t="str">
        <x:v>四川</x:v>
      </x:c>
      <x:c r="E77" s="2" t="str">
        <x:v>乐山</x:v>
      </x:c>
      <x:c r="F77" s="2" t="str">
        <x:v>excluded</x:v>
      </x:c>
      <x:c r="G77" s="2" t="str">
        <x:v>社区住宅</x:v>
      </x:c>
      <x:c r="H77" s="2" t="str">
        <x:v>复合</x:v>
      </x:c>
      <x:c r="I77" s="9" t="n">
        <x:v>3</x:v>
      </x:c>
      <x:c r="J77" s="9" t="n">
        <x:v>2</x:v>
      </x:c>
      <x:c r="K77" s="2"/>
      <x:c r="L77" s="9"/>
      <x:c r="M77" s="9"/>
      <x:c r="N77" s="10" t="n">
        <x:v>44772</x:v>
      </x:c>
      <x:c r="O77" s="7" t="str">
        <x:v>嫌疑人逃匿后高坠死亡单列。</x:v>
      </x:c>
      <x:c r="P77" s="7" t="str">
        <x:v>可靠报道确认伤亡对象为同一家庭及亲属，没有随机袭击陌生人的证据，排除核心。</x:v>
      </x:c>
      <x:c r="Q77" s="2" t="str">
        <x:v>沐川县</x:v>
      </x:c>
      <x:c r="R77" s="2" t="str">
        <x:v>城乡跨场景</x:v>
      </x:c>
      <x:c r="S77" s="2" t="str">
        <x:v>day</x:v>
      </x:c>
      <x:c r="T77" s="2"/>
      <x:c r="U77" s="2"/>
      <x:c r="V77" s="9"/>
      <x:c r="W77" s="9" t="n">
        <x:v>1</x:v>
      </x:c>
      <x:c r="X77" s="9"/>
      <x:c r="Y77" s="2" t="str">
        <x:v>是</x:v>
      </x:c>
      <x:c r="Z77" s="2" t="str">
        <x:v>一名女性及其堂弟、两名子女、公公</x:v>
      </x:c>
      <x:c r="AA77" s="9" t="n">
        <x:v>36</x:v>
      </x:c>
      <x:c r="AB77" s="2" t="str">
        <x:v>男</x:v>
      </x:c>
      <x:c r="AC77" s="2" t="str">
        <x:v>警察</x:v>
      </x:c>
      <x:c r="AD77" s="7"/>
      <x:c r="AE77" s="2" t="str"/>
      <x:c r="AF77" s="2" t="str">
        <x:v>未知</x:v>
      </x:c>
      <x:c r="AG77" s="2"/>
      <x:c r="AH77" s="2"/>
      <x:c r="AI77" s="2"/>
      <x:c r="AJ77" s="2" t="str">
        <x:v>警方搜捕4日后发现嫌疑人尸体。</x:v>
      </x:c>
      <x:c r="AK77" s="2" t="str">
        <x:v>嫌疑人死亡，警方宣布复盘队伍教育管理。</x:v>
      </x:c>
      <x:c r="AL77" s="10"/>
      <x:c r="AM77" s="10"/>
      <x:c r="AN77" s="10" t="n">
        <x:v>44772</x:v>
      </x:c>
      <x:c r="AO77" s="2" t="str">
        <x:v>官方转载</x:v>
      </x:c>
      <x:c r="AP77" s="7" t="str">
        <x:v>BS26</x:v>
      </x:c>
      <x:c r="AQ77" s="7" t="str">
        <x:v>{"date":["BS26"],"location":["BS26"],"casualties":["BS26"],"classification":["BS26"],"motive":[],"outcome":["BS26"]}</x:v>
      </x:c>
      <x:c r="AR77" s="2"/>
      <x:c r="AS77" s="9"/>
      <x:c r="AT77" s="9"/>
      <x:c r="AU77" s="9"/>
      <x:c r="AV77" s="2"/>
      <x:c r="AW77" s="2"/>
      <x:c r="AX77" s="9"/>
      <x:c r="AY77" s="10"/>
      <x:c r="AZ77" s="7"/>
      <x:c r="BA77" s="7"/>
      <x:c r="BB77" s="7"/>
      <x:c r="BC77" s="7"/>
      <x:c r="BD77" s="2" t="str">
        <x:v>是</x:v>
      </x:c>
      <x:c r="BE77" s="2" t="str">
        <x:v>否</x:v>
      </x:c>
      <x:c r="BF77" s="2" t="str">
        <x:v>媒体调查／研究推断</x:v>
      </x:c>
      <x:c r="BG77" s="2" t="str"/>
      <x:c r="BH77" s="9" t="n">
        <x:v>2022</x:v>
      </x:c>
      <x:c r="BI77" s="9" t="n">
        <x:v>3</x:v>
      </x:c>
      <x:c r="BJ77" s="9" t="n">
        <x:v>2</x:v>
      </x:c>
      <x:c r="BK77" s="9" t="n">
        <x:v>0</x:v>
      </x:c>
      <x:c r="BL77" s="9" t="n">
        <x:v>0</x:v>
      </x:c>
      <x:c r="BM77" s="9" t="n">
        <x:v>1</x:v>
      </x:c>
      <x:c r="BN77" s="9" t="n">
        <x:v>0</x:v>
      </x:c>
      <x:c r="BO77" s="9" t="n">
        <x:v>0</x:v>
      </x:c>
    </x:row>
    <x:row r="78" ht="38" customHeight="1">
      <x:c r="A78" s="2" t="str">
        <x:v>B25</x:v>
      </x:c>
      <x:c r="B78" s="2" t="str">
        <x:v>2022-07-28</x:v>
      </x:c>
      <x:c r="C78" s="7" t="str">
        <x:v>河南舞阳张家港路连续碰撞事件</x:v>
      </x:c>
      <x:c r="D78" s="2" t="str">
        <x:v>河南</x:v>
      </x:c>
      <x:c r="E78" s="2" t="str">
        <x:v>漯河</x:v>
      </x:c>
      <x:c r="F78" s="2" t="str">
        <x:v>pending</x:v>
      </x:c>
      <x:c r="G78" s="2" t="str">
        <x:v>街道交通</x:v>
      </x:c>
      <x:c r="H78" s="2" t="str">
        <x:v>驾车</x:v>
      </x:c>
      <x:c r="I78" s="9" t="n">
        <x:v>1</x:v>
      </x:c>
      <x:c r="J78" s="9" t="n">
        <x:v>28</x:v>
      </x:c>
      <x:c r="K78" s="2"/>
      <x:c r="L78" s="9"/>
      <x:c r="M78" s="9"/>
      <x:c r="N78" s="10" t="n">
        <x:v>44770</x:v>
      </x:c>
      <x:c r="O78" s="7" t="str">
        <x:v>2人伤势较重，不将临床描述直接等同司法重伤。</x:v>
      </x:c>
      <x:c r="P78" s="7" t="str">
        <x:v>连续碰撞和媒体所称刑事案件不能替代主观故意与随机性的证据；官方当时称交通肇事逃逸。</x:v>
      </x:c>
      <x:c r="Q78" s="2" t="str">
        <x:v>舞阳县</x:v>
      </x:c>
      <x:c r="R78" s="2" t="str">
        <x:v>镇区</x:v>
      </x:c>
      <x:c r="S78" s="2" t="str">
        <x:v>day</x:v>
      </x:c>
      <x:c r="T78" s="2"/>
      <x:c r="U78" s="2"/>
      <x:c r="V78" s="9"/>
      <x:c r="W78" s="9"/>
      <x:c r="X78" s="9"/>
      <x:c r="Y78" s="2"/>
      <x:c r="Z78" s="2"/>
      <x:c r="AA78" s="9" t="n">
        <x:v>33</x:v>
      </x:c>
      <x:c r="AB78" s="2" t="str">
        <x:v>男</x:v>
      </x:c>
      <x:c r="AC78" s="2"/>
      <x:c r="AD78" s="7"/>
      <x:c r="AE78" s="2" t="str"/>
      <x:c r="AF78" s="2" t="str">
        <x:v>未知</x:v>
      </x:c>
      <x:c r="AG78" s="2"/>
      <x:c r="AH78" s="2"/>
      <x:c r="AI78" s="2"/>
      <x:c r="AJ78" s="2" t="str">
        <x:v>警方控制司机。</x:v>
      </x:c>
      <x:c r="AK78" s="2" t="str">
        <x:v>调查中。</x:v>
      </x:c>
      <x:c r="AL78" s="10"/>
      <x:c r="AM78" s="10"/>
      <x:c r="AN78" s="10" t="n">
        <x:v>44770</x:v>
      </x:c>
      <x:c r="AO78" s="2" t="str">
        <x:v>官方转载</x:v>
      </x:c>
      <x:c r="AP78" s="7" t="str">
        <x:v>BS27</x:v>
      </x:c>
      <x:c r="AQ78" s="7" t="str">
        <x:v>{"date":["BS27"],"location":["BS27"],"casualties":["BS27"],"classification":["BS27"],"motive":[],"outcome":["BS27"]}</x:v>
      </x:c>
      <x:c r="AR78" s="2"/>
      <x:c r="AS78" s="9"/>
      <x:c r="AT78" s="9"/>
      <x:c r="AU78" s="9"/>
      <x:c r="AV78" s="2"/>
      <x:c r="AW78" s="2"/>
      <x:c r="AX78" s="9"/>
      <x:c r="AY78" s="10"/>
      <x:c r="AZ78" s="7"/>
      <x:c r="BA78" s="7"/>
      <x:c r="BB78" s="7"/>
      <x:c r="BC78" s="7"/>
      <x:c r="BD78" s="2" t="str">
        <x:v>是</x:v>
      </x:c>
      <x:c r="BE78" s="2" t="str">
        <x:v>否</x:v>
      </x:c>
      <x:c r="BF78" s="2" t="str">
        <x:v>媒体调查／研究推断</x:v>
      </x:c>
      <x:c r="BG78" s="2" t="str"/>
      <x:c r="BH78" s="9" t="n">
        <x:v>2022</x:v>
      </x:c>
      <x:c r="BI78" s="9" t="n">
        <x:v>1</x:v>
      </x:c>
      <x:c r="BJ78" s="9" t="n">
        <x:v>28</x:v>
      </x:c>
      <x:c r="BK78" s="9" t="n">
        <x:v>0</x:v>
      </x:c>
      <x:c r="BL78" s="9" t="n">
        <x:v>0</x:v>
      </x:c>
      <x:c r="BM78" s="9" t="n">
        <x:v>1</x:v>
      </x:c>
      <x:c r="BN78" s="9" t="n">
        <x:v>0</x:v>
      </x:c>
      <x:c r="BO78" s="9" t="n">
        <x:v>0</x:v>
      </x:c>
    </x:row>
    <x:row r="79" ht="38" customHeight="1">
      <x:c r="A79" s="2" t="str">
        <x:v>B27</x:v>
      </x:c>
      <x:c r="B79" s="2" t="str">
        <x:v>2022-08-02</x:v>
      </x:c>
      <x:c r="C79" s="7" t="str">
        <x:v>莆田饭店附近少年遭随机持刀袭击案</x:v>
      </x:c>
      <x:c r="D79" s="2" t="str">
        <x:v>福建</x:v>
      </x:c>
      <x:c r="E79" s="2" t="str">
        <x:v>莆田</x:v>
      </x:c>
      <x:c r="F79" s="2" t="str">
        <x:v>core</x:v>
      </x:c>
      <x:c r="G79" s="2" t="str">
        <x:v>街道交通</x:v>
      </x:c>
      <x:c r="H79" s="2" t="str">
        <x:v>持械</x:v>
      </x:c>
      <x:c r="I79" s="9" t="n">
        <x:v>1</x:v>
      </x:c>
      <x:c r="J79" s="9" t="n">
        <x:v>0</x:v>
      </x:c>
      <x:c r="K79" s="2"/>
      <x:c r="L79" s="9"/>
      <x:c r="M79" s="9"/>
      <x:c r="N79" s="10" t="n">
        <x:v>46119</x:v>
      </x:c>
      <x:c r="O79" s="7" t="str">
        <x:v>仅一名被害人死亡；无其他受害者受伤报道，按本案判决所列人员计。</x:v>
      </x:c>
      <x:c r="P79" s="7" t="str">
        <x:v>报道引用法院判决明确有预谋地准备刀具、随意选取对象；检方认定当街随机物色对象，双方生活工作无交集。</x:v>
      </x:c>
      <x:c r="Q79" s="2" t="str">
        <x:v>涵江区</x:v>
      </x:c>
      <x:c r="R79" s="2" t="str">
        <x:v>城市</x:v>
      </x:c>
      <x:c r="S79" s="2" t="str">
        <x:v>day</x:v>
      </x:c>
      <x:c r="T79" s="2"/>
      <x:c r="U79" s="2"/>
      <x:c r="V79" s="9"/>
      <x:c r="W79" s="9"/>
      <x:c r="X79" s="9"/>
      <x:c r="Y79" s="2" t="str">
        <x:v>是</x:v>
      </x:c>
      <x:c r="Z79" s="2" t="str">
        <x:v>与嫌疑人素不相识的饭店后厨帮工</x:v>
      </x:c>
      <x:c r="AA79" s="9" t="n">
        <x:v>17</x:v>
      </x:c>
      <x:c r="AB79" s="2" t="str">
        <x:v>男</x:v>
      </x:c>
      <x:c r="AC79" s="2" t="str">
        <x:v>油漆装修学徒</x:v>
      </x:c>
      <x:c r="AD79" s="7" t="str">
        <x:v>检方指控对生活失望，想通过犯罪入狱脱离社会；本人不同阶段对动机供述反复，不能把其个别说法视为已核定心理事实。</x:v>
      </x:c>
      <x:c r="AE79" s="2" t="str">
        <x:v>社会疏离；谋求入狱</x:v>
      </x:c>
      <x:c r="AF79" s="2" t="str">
        <x:v>媒体调查</x:v>
      </x:c>
      <x:c r="AG79" s="2"/>
      <x:c r="AH79" s="2"/>
      <x:c r="AI79" s="2" t="str">
        <x:v>哥哥证言称曾说想去坐牢；案发前网购刀具。</x:v>
      </x:c>
      <x:c r="AJ79" s="2" t="str">
        <x:v>受害人自行返回饭店求助，顾客救援、警方和急救到场；嫌疑人持刀到派出所。</x:v>
      </x:c>
      <x:c r="AK79" s="2" t="str">
        <x:v>2023年原判死刑；最高法2025-01-24发回重审；2025-09-09改无期。2026-02-02市检不支持家属申诉，4月省检接收审核。</x:v>
      </x:c>
      <x:c r="AL79" s="10" t="n">
        <x:v>45909</x:v>
      </x:c>
      <x:c r="AM79" s="10"/>
      <x:c r="AN79" s="10" t="n">
        <x:v>46119</x:v>
      </x:c>
      <x:c r="AO79" s="2" t="str">
        <x:v>官方转载</x:v>
      </x:c>
      <x:c r="AP79" s="7" t="str">
        <x:v>BS29</x:v>
      </x:c>
      <x:c r="AQ79" s="7" t="str">
        <x:v>{"date":["BS29"],"location":["BS29"],"casualties":["BS29"],"classification":["BS29"],"motive":["BS29"],"outcome":["BS29"]}</x:v>
      </x:c>
      <x:c r="AR79" s="2"/>
      <x:c r="AS79" s="9"/>
      <x:c r="AT79" s="9"/>
      <x:c r="AU79" s="9"/>
      <x:c r="AV79" s="2"/>
      <x:c r="AW79" s="2"/>
      <x:c r="AX79" s="9"/>
      <x:c r="AY79" s="10"/>
      <x:c r="AZ79" s="7"/>
      <x:c r="BA79" s="7"/>
      <x:c r="BB79" s="7"/>
      <x:c r="BC79" s="7" t="str">
        <x:v>年龄按再审查明案发时17岁。报道有判决图及逐项内容，保留为法院材料媒体转述，非官网原文。 动机部分属媒体核对的检方指控，法院明确认定预谋并随意选择对象。</x:v>
      </x:c>
      <x:c r="BD79" s="2" t="str">
        <x:v>是</x:v>
      </x:c>
      <x:c r="BE79" s="2" t="str">
        <x:v>是</x:v>
      </x:c>
      <x:c r="BF79" s="2" t="str">
        <x:v>官方事实直接支持</x:v>
      </x:c>
      <x:c r="BG79" s="2" t="str">
        <x:v>求死／求入狱；生活受挫／疏离／厌世</x:v>
      </x:c>
      <x:c r="BH79" s="9" t="n">
        <x:v>2022</x:v>
      </x:c>
      <x:c r="BI79" s="9" t="n">
        <x:v>1</x:v>
      </x:c>
      <x:c r="BJ79" s="9" t="n">
        <x:v>0</x:v>
      </x:c>
      <x:c r="BK79" s="9" t="n">
        <x:v>1</x:v>
      </x:c>
      <x:c r="BL79" s="9" t="n">
        <x:v>1</x:v>
      </x:c>
      <x:c r="BM79" s="9" t="n">
        <x:v>1</x:v>
      </x:c>
      <x:c r="BN79" s="9" t="n">
        <x:v>0</x:v>
      </x:c>
      <x:c r="BO79" s="9" t="n">
        <x:v>0</x:v>
      </x:c>
    </x:row>
    <x:row r="80" ht="38" customHeight="1">
      <x:c r="A80" s="2" t="str">
        <x:v>B26</x:v>
      </x:c>
      <x:c r="B80" s="2" t="str">
        <x:v>2022-08-03</x:v>
      </x:c>
      <x:c r="C80" s="7" t="str">
        <x:v>江西安福幼儿园持刀伤人案</x:v>
      </x:c>
      <x:c r="D80" s="2" t="str">
        <x:v>江西</x:v>
      </x:c>
      <x:c r="E80" s="2" t="str">
        <x:v>吉安</x:v>
      </x:c>
      <x:c r="F80" s="2" t="str">
        <x:v>pending</x:v>
      </x:c>
      <x:c r="G80" s="2" t="str">
        <x:v>校园及周边</x:v>
      </x:c>
      <x:c r="H80" s="2" t="str">
        <x:v>持械</x:v>
      </x:c>
      <x:c r="I80" s="9" t="n">
        <x:v>4</x:v>
      </x:c>
      <x:c r="J80" s="9" t="n">
        <x:v>5</x:v>
      </x:c>
      <x:c r="K80" s="2"/>
      <x:c r="L80" s="9"/>
      <x:c r="M80" s="9"/>
      <x:c r="N80" s="10" t="n">
        <x:v>44778</x:v>
      </x:c>
      <x:c r="O80" s="7" t="str">
        <x:v>初报3死6伤，后续截至8月5日4死5伤；嫌疑人逃跑交通事故身亡单列。</x:v>
      </x:c>
      <x:c r="P80" s="7" t="str">
        <x:v>已核实校园伤害及伤亡，但缺乏目标关系和选择方式的可靠说明，不仅因师生多人受害就认定随机。</x:v>
      </x:c>
      <x:c r="Q80" s="2" t="str">
        <x:v>安福县</x:v>
      </x:c>
      <x:c r="R80" s="2" t="str">
        <x:v>镇区</x:v>
      </x:c>
      <x:c r="S80" s="2" t="str">
        <x:v>day</x:v>
      </x:c>
      <x:c r="T80" s="2"/>
      <x:c r="U80" s="2"/>
      <x:c r="V80" s="9"/>
      <x:c r="W80" s="9" t="n">
        <x:v>1</x:v>
      </x:c>
      <x:c r="X80" s="9"/>
      <x:c r="Y80" s="2" t="str">
        <x:v>是</x:v>
      </x:c>
      <x:c r="Z80" s="2" t="str">
        <x:v>幼儿园教师及幼儿</x:v>
      </x:c>
      <x:c r="AA80" s="9" t="n">
        <x:v>48</x:v>
      </x:c>
      <x:c r="AB80" s="2" t="str">
        <x:v>男</x:v>
      </x:c>
      <x:c r="AC80" s="2"/>
      <x:c r="AD80" s="7"/>
      <x:c r="AE80" s="2" t="str"/>
      <x:c r="AF80" s="2" t="str">
        <x:v>未知</x:v>
      </x:c>
      <x:c r="AG80" s="2"/>
      <x:c r="AH80" s="2"/>
      <x:c r="AI80" s="2"/>
      <x:c r="AJ80" s="2" t="str">
        <x:v>警方搜捕、伤者送医。</x:v>
      </x:c>
      <x:c r="AK80" s="2" t="str">
        <x:v>8月3日逃亡横穿高速遭车祸，8月4日抢救无效死亡，DNA确认（警方通报）。</x:v>
      </x:c>
      <x:c r="AL80" s="10"/>
      <x:c r="AM80" s="10"/>
      <x:c r="AN80" s="10" t="n">
        <x:v>44783</x:v>
      </x:c>
      <x:c r="AO80" s="2" t="str">
        <x:v>官方转载</x:v>
      </x:c>
      <x:c r="AP80" s="7" t="str">
        <x:v>BS28；BS57</x:v>
      </x:c>
      <x:c r="AQ80" s="7" t="str">
        <x:v>{"date":["BS28"],"location":["BS28"],"casualties":["BS28","BS57"],"classification":["BS28"],"motive":[],"outcome":["BS28","BS57"]}</x:v>
      </x:c>
      <x:c r="AR80" s="2"/>
      <x:c r="AS80" s="9"/>
      <x:c r="AT80" s="9"/>
      <x:c r="AU80" s="9"/>
      <x:c r="AV80" s="2"/>
      <x:c r="AW80" s="2"/>
      <x:c r="AX80" s="9"/>
      <x:c r="AY80" s="10"/>
      <x:c r="AZ80" s="7"/>
      <x:c r="BA80" s="7"/>
      <x:c r="BB80" s="7"/>
      <x:c r="BC80" s="7"/>
      <x:c r="BD80" s="2" t="str">
        <x:v>是</x:v>
      </x:c>
      <x:c r="BE80" s="2" t="str">
        <x:v>否</x:v>
      </x:c>
      <x:c r="BF80" s="2" t="str">
        <x:v>媒体调查／研究推断</x:v>
      </x:c>
      <x:c r="BG80" s="2" t="str"/>
      <x:c r="BH80" s="9" t="n">
        <x:v>2022</x:v>
      </x:c>
      <x:c r="BI80" s="9" t="n">
        <x:v>4</x:v>
      </x:c>
      <x:c r="BJ80" s="9" t="n">
        <x:v>5</x:v>
      </x:c>
      <x:c r="BK80" s="9" t="n">
        <x:v>0</x:v>
      </x:c>
      <x:c r="BL80" s="9" t="n">
        <x:v>0</x:v>
      </x:c>
      <x:c r="BM80" s="9" t="n">
        <x:v>1</x:v>
      </x:c>
      <x:c r="BN80" s="9" t="n">
        <x:v>0</x:v>
      </x:c>
      <x:c r="BO80" s="9" t="n">
        <x:v>0</x:v>
      </x:c>
    </x:row>
    <x:row r="81" ht="38" customHeight="1">
      <x:c r="A81" s="2" t="str">
        <x:v>B49</x:v>
      </x:c>
      <x:c r="B81" s="2" t="str">
        <x:v>2022-08-08</x:v>
      </x:c>
      <x:c r="C81" s="7" t="str">
        <x:v>河南郸城世纪广场持刀伤人案</x:v>
      </x:c>
      <x:c r="D81" s="2" t="str">
        <x:v>河南</x:v>
      </x:c>
      <x:c r="E81" s="2" t="str">
        <x:v>周口</x:v>
      </x:c>
      <x:c r="F81" s="2" t="str">
        <x:v>pending</x:v>
      </x:c>
      <x:c r="G81" s="2" t="str">
        <x:v>公园广场</x:v>
      </x:c>
      <x:c r="H81" s="2" t="str">
        <x:v>持械</x:v>
      </x:c>
      <x:c r="I81" s="9" t="n">
        <x:v>0</x:v>
      </x:c>
      <x:c r="J81" s="9" t="n">
        <x:v>2</x:v>
      </x:c>
      <x:c r="K81" s="2"/>
      <x:c r="L81" s="9"/>
      <x:c r="M81" s="9"/>
      <x:c r="N81" s="10" t="n">
        <x:v>44782</x:v>
      </x:c>
      <x:c r="O81" s="7"/>
      <x:c r="P81" s="7" t="str">
        <x:v>官方未说明双方关系或随机作案；不能采用网络汇编的无差别标签。</x:v>
      </x:c>
      <x:c r="Q81" s="2" t="str">
        <x:v>郸城县</x:v>
      </x:c>
      <x:c r="R81" s="2" t="str">
        <x:v>镇区</x:v>
      </x:c>
      <x:c r="S81" s="2" t="str">
        <x:v>day</x:v>
      </x:c>
      <x:c r="T81" s="2"/>
      <x:c r="U81" s="2"/>
      <x:c r="V81" s="9"/>
      <x:c r="W81" s="9"/>
      <x:c r="X81" s="9"/>
      <x:c r="Y81" s="2"/>
      <x:c r="Z81" s="2"/>
      <x:c r="AA81" s="9" t="n">
        <x:v>21</x:v>
      </x:c>
      <x:c r="AB81" s="2" t="str">
        <x:v>男</x:v>
      </x:c>
      <x:c r="AC81" s="2"/>
      <x:c r="AD81" s="7"/>
      <x:c r="AE81" s="2" t="str"/>
      <x:c r="AF81" s="2" t="str">
        <x:v>未知</x:v>
      </x:c>
      <x:c r="AG81" s="2"/>
      <x:c r="AH81" s="2"/>
      <x:c r="AI81" s="2"/>
      <x:c r="AJ81" s="2" t="str">
        <x:v>接警3分钟后巡逻民警到场与群众控制。</x:v>
      </x:c>
      <x:c r="AK81" s="2" t="str">
        <x:v>刑事拘留。</x:v>
      </x:c>
      <x:c r="AL81" s="10"/>
      <x:c r="AM81" s="10"/>
      <x:c r="AN81" s="10" t="n">
        <x:v>44782</x:v>
      </x:c>
      <x:c r="AO81" s="2" t="str">
        <x:v>官方转载</x:v>
      </x:c>
      <x:c r="AP81" s="7" t="str">
        <x:v>BS54</x:v>
      </x:c>
      <x:c r="AQ81" s="7" t="str">
        <x:v>{"date":["BS54"],"location":["BS54"],"casualties":["BS54"],"classification":["BS54"],"motive":[],"outcome":["BS54"]}</x:v>
      </x:c>
      <x:c r="AR81" s="2"/>
      <x:c r="AS81" s="9"/>
      <x:c r="AT81" s="9"/>
      <x:c r="AU81" s="9"/>
      <x:c r="AV81" s="2"/>
      <x:c r="AW81" s="2"/>
      <x:c r="AX81" s="9"/>
      <x:c r="AY81" s="10"/>
      <x:c r="AZ81" s="7"/>
      <x:c r="BA81" s="7"/>
      <x:c r="BB81" s="7"/>
      <x:c r="BC81" s="7"/>
      <x:c r="BD81" s="2" t="str">
        <x:v>是</x:v>
      </x:c>
      <x:c r="BE81" s="2" t="str">
        <x:v>否</x:v>
      </x:c>
      <x:c r="BF81" s="2" t="str">
        <x:v>媒体调查／研究推断</x:v>
      </x:c>
      <x:c r="BG81" s="2" t="str"/>
      <x:c r="BH81" s="9" t="n">
        <x:v>2022</x:v>
      </x:c>
      <x:c r="BI81" s="9" t="n">
        <x:v>0</x:v>
      </x:c>
      <x:c r="BJ81" s="9" t="n">
        <x:v>2</x:v>
      </x:c>
      <x:c r="BK81" s="9" t="n">
        <x:v>0</x:v>
      </x:c>
      <x:c r="BL81" s="9" t="n">
        <x:v>0</x:v>
      </x:c>
      <x:c r="BM81" s="9" t="n">
        <x:v>1</x:v>
      </x:c>
      <x:c r="BN81" s="9" t="n">
        <x:v>0</x:v>
      </x:c>
      <x:c r="BO81" s="9" t="n">
        <x:v>0</x:v>
      </x:c>
    </x:row>
    <x:row r="82" ht="38" customHeight="1">
      <x:c r="A82" s="2" t="str">
        <x:v>B04</x:v>
      </x:c>
      <x:c r="B82" s="2" t="str">
        <x:v>2023-01-11</x:v>
      </x:c>
      <x:c r="C82" s="7" t="str">
        <x:v>广州天河连续驾车冲撞行人案</x:v>
      </x:c>
      <x:c r="D82" s="2" t="str">
        <x:v>广东</x:v>
      </x:c>
      <x:c r="E82" s="2" t="str">
        <x:v>广州</x:v>
      </x:c>
      <x:c r="F82" s="2" t="str">
        <x:v>core</x:v>
      </x:c>
      <x:c r="G82" s="2" t="str">
        <x:v>街道交通</x:v>
      </x:c>
      <x:c r="H82" s="2" t="str">
        <x:v>驾车</x:v>
      </x:c>
      <x:c r="I82" s="9" t="n">
        <x:v>6</x:v>
      </x:c>
      <x:c r="J82" s="9"/>
      <x:c r="K82" s="2" t="str">
        <x:v>20余人；判决细目至少25人构成轻伤或轻微伤</x:v>
      </x:c>
      <x:c r="L82" s="9" t="n">
        <x:v>25</x:v>
      </x:c>
      <x:c r="M82" s="9"/>
      <x:c r="N82" s="10" t="n">
        <x:v>45058</x:v>
      </x:c>
      <x:c r="O82" s="7" t="str">
        <x:v>一审判决报道先单列6名死者（5名现场死亡，1名1月19日死亡），再列另有伤者：10名轻伤一级、2名轻伤二级、13名轻微伤，互斥伤情分级合计至少25人。其余3名不构成轻微伤、1名体表未见明显机械性损伤不加入精确伤者值；精确值仍留空。</x:v>
      </x:c>
      <x:c r="P82" s="7" t="str">
        <x:v>法院认定为发泄个人情绪，故意连续驾车冲撞人群；无特定被害人。</x:v>
      </x:c>
      <x:c r="Q82" s="2" t="str">
        <x:v>天河区</x:v>
      </x:c>
      <x:c r="R82" s="2" t="str">
        <x:v>城市</x:v>
      </x:c>
      <x:c r="S82" s="2" t="str">
        <x:v>day</x:v>
      </x:c>
      <x:c r="T82" s="2"/>
      <x:c r="U82" s="2"/>
      <x:c r="V82" s="9"/>
      <x:c r="W82" s="9"/>
      <x:c r="X82" s="9"/>
      <x:c r="Y82" s="2"/>
      <x:c r="Z82" s="2" t="str">
        <x:v>过往行人及道路使用者。</x:v>
      </x:c>
      <x:c r="AA82" s="9" t="n">
        <x:v>22</x:v>
      </x:c>
      <x:c r="AB82" s="2" t="str">
        <x:v>男</x:v>
      </x:c>
      <x:c r="AC82" s="2"/>
      <x:c r="AD82" s="7" t="str">
        <x:v>法院认定为发泄个人情绪。判决记录的社交受挫、家人责骂为被告人供述，不能据此推定一般社会原因。</x:v>
      </x:c>
      <x:c r="AE82" s="2" t="str">
        <x:v>泄愤报复</x:v>
      </x:c>
      <x:c r="AF82" s="2" t="str">
        <x:v>法院认定</x:v>
      </x:c>
      <x:c r="AG82" s="2"/>
      <x:c r="AH82" s="2"/>
      <x:c r="AI82" s="2"/>
      <x:c r="AJ82" s="2"/>
      <x:c r="AK82" s="2" t="str">
        <x:v>2023年4月18日一审死刑，2023年6月28日二审维持；2024年4月19日执行。</x:v>
      </x:c>
      <x:c r="AL82" s="10" t="n">
        <x:v>45034</x:v>
      </x:c>
      <x:c r="AM82" s="10" t="n">
        <x:v>45401</x:v>
      </x:c>
      <x:c r="AN82" s="10" t="n">
        <x:v>45401</x:v>
      </x:c>
      <x:c r="AO82" s="2" t="str">
        <x:v>官方转载</x:v>
      </x:c>
      <x:c r="AP82" s="7" t="str">
        <x:v>BS03；BS04</x:v>
      </x:c>
      <x:c r="AQ82" s="7" t="str">
        <x:v>{"date":["BS03"],"location":["BS03"],"casualties":["BS03"],"classification":["BS03"],"motive":["BS03"],"outcome":["BS04"]}</x:v>
      </x:c>
      <x:c r="AR82" s="2"/>
      <x:c r="AS82" s="9"/>
      <x:c r="AT82" s="9"/>
      <x:c r="AU82" s="9"/>
      <x:c r="AV82" s="2"/>
      <x:c r="AW82" s="2"/>
      <x:c r="AX82" s="9"/>
      <x:c r="AY82" s="10"/>
      <x:c r="AZ82" s="7"/>
      <x:c r="BA82" s="7"/>
      <x:c r="BB82" s="7"/>
      <x:c r="BC82" s="7"/>
      <x:c r="BD82" s="2" t="str">
        <x:v>是</x:v>
      </x:c>
      <x:c r="BE82" s="2" t="str">
        <x:v>是</x:v>
      </x:c>
      <x:c r="BF82" s="2" t="str">
        <x:v>记者核对法院判决并转述明确针对不特定多数人的认定</x:v>
      </x:c>
      <x:c r="BG82" s="2" t="str">
        <x:v>泄愤／转移报复</x:v>
      </x:c>
      <x:c r="BH82" s="9" t="n">
        <x:v>2023</x:v>
      </x:c>
      <x:c r="BI82" s="9" t="n">
        <x:v>6</x:v>
      </x:c>
      <x:c r="BJ82" s="9" t="n">
        <x:v>25</x:v>
      </x:c>
      <x:c r="BK82" s="9" t="n">
        <x:v>1</x:v>
      </x:c>
      <x:c r="BL82" s="9" t="n">
        <x:v>1</x:v>
      </x:c>
      <x:c r="BM82" s="9" t="n">
        <x:v>1</x:v>
      </x:c>
      <x:c r="BN82" s="9" t="n">
        <x:v>0</x:v>
      </x:c>
      <x:c r="BO82" s="9" t="n">
        <x:v>1</x:v>
      </x:c>
    </x:row>
    <x:row r="83" ht="38" customHeight="1">
      <x:c r="A83" s="2" t="str">
        <x:v>B28</x:v>
      </x:c>
      <x:c r="B83" s="2" t="str">
        <x:v>2023-03-19</x:v>
      </x:c>
      <x:c r="C83" s="7" t="str">
        <x:v>重庆轨道一号线邻座乘客遭随机持刀袭击案</x:v>
      </x:c>
      <x:c r="D83" s="2" t="str">
        <x:v>重庆</x:v>
      </x:c>
      <x:c r="E83" s="2" t="str">
        <x:v>重庆</x:v>
      </x:c>
      <x:c r="F83" s="2" t="str">
        <x:v>core</x:v>
      </x:c>
      <x:c r="G83" s="2" t="str">
        <x:v>公共交通</x:v>
      </x:c>
      <x:c r="H83" s="2" t="str">
        <x:v>持械</x:v>
      </x:c>
      <x:c r="I83" s="9" t="n">
        <x:v>0</x:v>
      </x:c>
      <x:c r="J83" s="9" t="n">
        <x:v>1</x:v>
      </x:c>
      <x:c r="K83" s="2"/>
      <x:c r="L83" s="9"/>
      <x:c r="M83" s="9"/>
      <x:c r="N83" s="10" t="n">
        <x:v>45120</x:v>
      </x:c>
      <x:c r="O83" s="7" t="str">
        <x:v>一名女乘客严重受伤后及时获救出院；未见司法伤情等级，serious_injuries留空。</x:v>
      </x:c>
      <x:c r="P83" s="7" t="str">
        <x:v>警方向记者披露带刀上车意图随机伤害，重庆日报后续亦明确事后查明随机性。</x:v>
      </x:c>
      <x:c r="Q83" s="2" t="str">
        <x:v>沙坪坝区</x:v>
      </x:c>
      <x:c r="R83" s="2" t="str">
        <x:v>城市</x:v>
      </x:c>
      <x:c r="S83" s="2" t="str">
        <x:v>day</x:v>
      </x:c>
      <x:c r="T83" s="2"/>
      <x:c r="U83" s="2"/>
      <x:c r="V83" s="9"/>
      <x:c r="W83" s="9"/>
      <x:c r="X83" s="9"/>
      <x:c r="Y83" s="2"/>
      <x:c r="Z83" s="2" t="str">
        <x:v>邻座陌生乘客</x:v>
      </x:c>
      <x:c r="AA83" s="9"/>
      <x:c r="AB83" s="2" t="str">
        <x:v>男</x:v>
      </x:c>
      <x:c r="AC83" s="2"/>
      <x:c r="AD83" s="7"/>
      <x:c r="AE83" s="2" t="str"/>
      <x:c r="AF83" s="2" t="str">
        <x:v>未知</x:v>
      </x:c>
      <x:c r="AG83" s="2" t="str">
        <x:v>警方称患中度抑郁、重度焦虑；刑事责任鉴定未检出。</x:v>
      </x:c>
      <x:c r="AH83" s="2"/>
      <x:c r="AI83" s="2"/>
      <x:c r="AJ83" s="2" t="str">
        <x:v>乘客吴英杰压制嫌疑人，其他乘客保护伤者，到站后安保移交警方、急救救治。</x:v>
      </x:c>
      <x:c r="AK83" s="2" t="str">
        <x:v>警方按涉嫌故意杀人立案；后续判决未检出。</x:v>
      </x:c>
      <x:c r="AL83" s="10"/>
      <x:c r="AM83" s="10"/>
      <x:c r="AN83" s="10" t="n">
        <x:v>45274</x:v>
      </x:c>
      <x:c r="AO83" s="2" t="str">
        <x:v>多源媒体</x:v>
      </x:c>
      <x:c r="AP83" s="7" t="str">
        <x:v>BS30；BS31</x:v>
      </x:c>
      <x:c r="AQ83" s="7" t="str">
        <x:v>{"date":["BS30","BS31"],"location":["BS30","BS31"],"casualties":["BS30","BS31"],"classification":["BS30","BS31"],"motive":[],"outcome":["BS30","BS31"]}</x:v>
      </x:c>
      <x:c r="AR83" s="2"/>
      <x:c r="AS83" s="9"/>
      <x:c r="AT83" s="9"/>
      <x:c r="AU83" s="9"/>
      <x:c r="AV83" s="2"/>
      <x:c r="AW83" s="2"/>
      <x:c r="AX83" s="9"/>
      <x:c r="AY83" s="10"/>
      <x:c r="AZ83" s="7"/>
      <x:c r="BA83" s="7"/>
      <x:c r="BB83" s="7"/>
      <x:c r="BC83" s="7"/>
      <x:c r="BD83" s="2" t="str">
        <x:v>否</x:v>
      </x:c>
      <x:c r="BE83" s="2" t="str">
        <x:v>否</x:v>
      </x:c>
      <x:c r="BF83" s="2" t="str">
        <x:v>媒体调查／研究推断</x:v>
      </x:c>
      <x:c r="BG83" s="2" t="str"/>
      <x:c r="BH83" s="9" t="n">
        <x:v>2023</x:v>
      </x:c>
      <x:c r="BI83" s="9" t="n">
        <x:v>0</x:v>
      </x:c>
      <x:c r="BJ83" s="9" t="n">
        <x:v>1</x:v>
      </x:c>
      <x:c r="BK83" s="9" t="n">
        <x:v>0</x:v>
      </x:c>
      <x:c r="BL83" s="9" t="n">
        <x:v>0</x:v>
      </x:c>
      <x:c r="BM83" s="9" t="n">
        <x:v>1</x:v>
      </x:c>
      <x:c r="BN83" s="9" t="n">
        <x:v>0</x:v>
      </x:c>
      <x:c r="BO83" s="9" t="n">
        <x:v>0</x:v>
      </x:c>
    </x:row>
    <x:row r="84" ht="38" customHeight="1">
      <x:c r="A84" s="2" t="str">
        <x:v>B29</x:v>
      </x:c>
      <x:c r="B84" s="2" t="str">
        <x:v>2023-03-31</x:v>
      </x:c>
      <x:c r="C84" s="7" t="str">
        <x:v>邯郸中华北大街连续车辆碰撞事件</x:v>
      </x:c>
      <x:c r="D84" s="2" t="str">
        <x:v>河北</x:v>
      </x:c>
      <x:c r="E84" s="2" t="str">
        <x:v>邯郸</x:v>
      </x:c>
      <x:c r="F84" s="2" t="str">
        <x:v>pending</x:v>
      </x:c>
      <x:c r="G84" s="2" t="str">
        <x:v>街道交通</x:v>
      </x:c>
      <x:c r="H84" s="2" t="str">
        <x:v>驾车</x:v>
      </x:c>
      <x:c r="I84" s="9"/>
      <x:c r="J84" s="9"/>
      <x:c r="K84" s="2"/>
      <x:c r="L84" s="9"/>
      <x:c r="M84" s="9"/>
      <x:c r="N84" s="10" t="n">
        <x:v>45018</x:v>
      </x:c>
      <x:c r="O84" s="7" t="str">
        <x:v>不能使用网传十余伤、一死等数值。</x:v>
      </x:c>
      <x:c r="P84" s="7" t="str">
        <x:v>部门确认事件存在，但伤亡和动机仍调查；网传爆炸物被否认，缺乏故意随机袭击正式认定。</x:v>
      </x:c>
      <x:c r="Q84" s="2" t="str">
        <x:v>丛台区</x:v>
      </x:c>
      <x:c r="R84" s="2" t="str">
        <x:v>城市</x:v>
      </x:c>
      <x:c r="S84" s="2" t="str">
        <x:v>day</x:v>
      </x:c>
      <x:c r="T84" s="2"/>
      <x:c r="U84" s="2"/>
      <x:c r="V84" s="9"/>
      <x:c r="W84" s="9"/>
      <x:c r="X84" s="9"/>
      <x:c r="Y84" s="2"/>
      <x:c r="Z84" s="2"/>
      <x:c r="AA84" s="9"/>
      <x:c r="AB84" s="2" t="str">
        <x:v>男</x:v>
      </x:c>
      <x:c r="AC84" s="2"/>
      <x:c r="AD84" s="7"/>
      <x:c r="AE84" s="2" t="str"/>
      <x:c r="AF84" s="2" t="str">
        <x:v>未知</x:v>
      </x:c>
      <x:c r="AG84" s="2"/>
      <x:c r="AH84" s="2"/>
      <x:c r="AI84" s="2"/>
      <x:c r="AJ84" s="2" t="str">
        <x:v>涉事人员当日被警方抓获。</x:v>
      </x:c>
      <x:c r="AK84" s="2" t="str">
        <x:v>调查中。</x:v>
      </x:c>
      <x:c r="AL84" s="10"/>
      <x:c r="AM84" s="10"/>
      <x:c r="AN84" s="10" t="n">
        <x:v>45018</x:v>
      </x:c>
      <x:c r="AO84" s="2" t="str">
        <x:v>单一媒体</x:v>
      </x:c>
      <x:c r="AP84" s="7" t="str">
        <x:v>BS32</x:v>
      </x:c>
      <x:c r="AQ84" s="7" t="str">
        <x:v>{"date":["BS32"],"location":["BS32"],"casualties":["BS32"],"classification":["BS32"],"motive":[],"outcome":["BS32"]}</x:v>
      </x:c>
      <x:c r="AR84" s="2"/>
      <x:c r="AS84" s="9"/>
      <x:c r="AT84" s="9"/>
      <x:c r="AU84" s="9"/>
      <x:c r="AV84" s="2"/>
      <x:c r="AW84" s="2"/>
      <x:c r="AX84" s="9"/>
      <x:c r="AY84" s="10"/>
      <x:c r="AZ84" s="7"/>
      <x:c r="BA84" s="7"/>
      <x:c r="BB84" s="7"/>
      <x:c r="BC84" s="7" t="str">
        <x:v>不采用视频汇编中的手雷/爆炸定性。</x:v>
      </x:c>
      <x:c r="BD84" s="2" t="str">
        <x:v>否</x:v>
      </x:c>
      <x:c r="BE84" s="2" t="str">
        <x:v>否</x:v>
      </x:c>
      <x:c r="BF84" s="2" t="str">
        <x:v>媒体调查／研究推断</x:v>
      </x:c>
      <x:c r="BG84" s="2" t="str"/>
      <x:c r="BH84" s="9" t="n">
        <x:v>2023</x:v>
      </x:c>
      <x:c r="BI84" s="9" t="n">
        <x:v>0</x:v>
      </x:c>
      <x:c r="BJ84" s="9" t="n">
        <x:v>0</x:v>
      </x:c>
      <x:c r="BK84" s="9" t="n">
        <x:v>0</x:v>
      </x:c>
      <x:c r="BL84" s="9" t="n">
        <x:v>0</x:v>
      </x:c>
      <x:c r="BM84" s="9" t="n">
        <x:v>1</x:v>
      </x:c>
      <x:c r="BN84" s="9" t="n">
        <x:v>1</x:v>
      </x:c>
      <x:c r="BO84" s="9" t="n">
        <x:v>1</x:v>
      </x:c>
    </x:row>
    <x:row r="85" ht="38" customHeight="1">
      <x:c r="A85" s="2" t="str">
        <x:v>B30</x:v>
      </x:c>
      <x:c r="B85" s="2" t="str">
        <x:v>2023-04-02</x:v>
      </x:c>
      <x:c r="C85" s="7" t="str">
        <x:v>重庆江北建新西路持刀袭击路人案</x:v>
      </x:c>
      <x:c r="D85" s="2" t="str">
        <x:v>重庆</x:v>
      </x:c>
      <x:c r="E85" s="2" t="str">
        <x:v>重庆</x:v>
      </x:c>
      <x:c r="F85" s="2" t="str">
        <x:v>pending</x:v>
      </x:c>
      <x:c r="G85" s="2" t="str">
        <x:v>街道交通</x:v>
      </x:c>
      <x:c r="H85" s="2" t="str">
        <x:v>持械</x:v>
      </x:c>
      <x:c r="I85" s="9" t="n">
        <x:v>0</x:v>
      </x:c>
      <x:c r="J85" s="9" t="n">
        <x:v>4</x:v>
      </x:c>
      <x:c r="K85" s="2"/>
      <x:c r="L85" s="9"/>
      <x:c r="M85" s="9"/>
      <x:c r="N85" s="10" t="n">
        <x:v>45019</x:v>
      </x:c>
      <x:c r="O85" s="7"/>
      <x:c r="P85" s="7" t="str">
        <x:v>警方确认持刀行凶致4名路人受伤，但未披露起始对象关系及选择方式；补查现场采访仅能确认群众制止过程，尚不足排除定向纠纷或伴随伤害，保留待核。</x:v>
      </x:c>
      <x:c r="Q85" s="2" t="str">
        <x:v>江北区</x:v>
      </x:c>
      <x:c r="R85" s="2" t="str">
        <x:v>城市</x:v>
      </x:c>
      <x:c r="S85" s="2" t="str">
        <x:v>day</x:v>
      </x:c>
      <x:c r="T85" s="2"/>
      <x:c r="U85" s="2"/>
      <x:c r="V85" s="9"/>
      <x:c r="W85" s="9"/>
      <x:c r="X85" s="9"/>
      <x:c r="Y85" s="2"/>
      <x:c r="Z85" s="2" t="str">
        <x:v>路人</x:v>
      </x:c>
      <x:c r="AA85" s="9" t="n">
        <x:v>46</x:v>
      </x:c>
      <x:c r="AB85" s="2" t="str">
        <x:v>男</x:v>
      </x:c>
      <x:c r="AC85" s="2"/>
      <x:c r="AD85" s="7"/>
      <x:c r="AE85" s="2" t="str"/>
      <x:c r="AF85" s="2" t="str">
        <x:v>未知</x:v>
      </x:c>
      <x:c r="AG85" s="2" t="str">
        <x:v>警方通报“突发躁狂”，属于初步状态描述，不等同精神病诊断或刑责鉴定。</x:v>
      </x:c>
      <x:c r="AH85" s="2"/>
      <x:c r="AI85" s="2"/>
      <x:c r="AJ85" s="2" t="str">
        <x:v>群众制服，民警到场送医并控制嫌疑人。</x:v>
      </x:c>
      <x:c r="AK85" s="2" t="str">
        <x:v>侦办中。</x:v>
      </x:c>
      <x:c r="AL85" s="10"/>
      <x:c r="AM85" s="10"/>
      <x:c r="AN85" s="10" t="n">
        <x:v>45019</x:v>
      </x:c>
      <x:c r="AO85" s="2" t="str">
        <x:v>官方转载</x:v>
      </x:c>
      <x:c r="AP85" s="7" t="str">
        <x:v>BS33</x:v>
      </x:c>
      <x:c r="AQ85" s="7" t="str">
        <x:v>{"date":["BS33"],"location":["BS33"],"casualties":["BS33"],"classification":["BS33"],"motive":[],"outcome":["BS33"]}</x:v>
      </x:c>
      <x:c r="AR85" s="2"/>
      <x:c r="AS85" s="9"/>
      <x:c r="AT85" s="9"/>
      <x:c r="AU85" s="9"/>
      <x:c r="AV85" s="2"/>
      <x:c r="AW85" s="2"/>
      <x:c r="AX85" s="9"/>
      <x:c r="AY85" s="10"/>
      <x:c r="AZ85" s="7"/>
      <x:c r="BA85" s="7"/>
      <x:c r="BB85" s="7"/>
      <x:c r="BC85" s="7"/>
      <x:c r="BD85" s="2" t="str">
        <x:v>是</x:v>
      </x:c>
      <x:c r="BE85" s="2" t="str">
        <x:v>否</x:v>
      </x:c>
      <x:c r="BF85" s="2" t="str">
        <x:v>官方确认事件和路人受伤，未明确随机性；待补证</x:v>
      </x:c>
      <x:c r="BG85" s="2" t="str"/>
      <x:c r="BH85" s="9" t="n">
        <x:v>2023</x:v>
      </x:c>
      <x:c r="BI85" s="9" t="n">
        <x:v>0</x:v>
      </x:c>
      <x:c r="BJ85" s="9" t="n">
        <x:v>4</x:v>
      </x:c>
      <x:c r="BK85" s="9" t="n">
        <x:v>0</x:v>
      </x:c>
      <x:c r="BL85" s="9" t="n">
        <x:v>0</x:v>
      </x:c>
      <x:c r="BM85" s="9" t="n">
        <x:v>1</x:v>
      </x:c>
      <x:c r="BN85" s="9" t="n">
        <x:v>0</x:v>
      </x:c>
      <x:c r="BO85" s="9" t="n">
        <x:v>0</x:v>
      </x:c>
    </x:row>
    <x:row r="86" ht="38" customHeight="1">
      <x:c r="A86" s="2" t="str">
        <x:v>B31</x:v>
      </x:c>
      <x:c r="B86" s="2" t="str">
        <x:v>2023-04-08</x:v>
      </x:c>
      <x:c r="C86" s="7" t="str">
        <x:v>平顶山新兴路感情纠纷驾车冲撞案</x:v>
      </x:c>
      <x:c r="D86" s="2" t="str">
        <x:v>河南</x:v>
      </x:c>
      <x:c r="E86" s="2" t="str">
        <x:v>平顶山</x:v>
      </x:c>
      <x:c r="F86" s="2" t="str">
        <x:v>pending</x:v>
      </x:c>
      <x:c r="G86" s="2" t="str">
        <x:v>街道交通</x:v>
      </x:c>
      <x:c r="H86" s="2" t="str">
        <x:v>驾车</x:v>
      </x:c>
      <x:c r="I86" s="9" t="n">
        <x:v>3</x:v>
      </x:c>
      <x:c r="J86" s="9"/>
      <x:c r="K86" s="2" t="str">
        <x:v>7人受伤、3人经抢救无效死亡</x:v>
      </x:c>
      <x:c r="L86" s="9"/>
      <x:c r="M86" s="9"/>
      <x:c r="N86" s="10" t="n">
        <x:v>45025</x:v>
      </x:c>
      <x:c r="O86" s="7" t="str">
        <x:v>官方句式未明确7伤是否包含后续死亡3人，幸存伤者数不直接填7或4。</x:v>
      </x:c>
      <x:c r="P86" s="7" t="str">
        <x:v>确认定向驾车冲撞女子后多人受害，但其余人的关系未说明，不能仅据人数认定无关者卷入。</x:v>
      </x:c>
      <x:c r="Q86" s="2" t="str">
        <x:v>城乡一体化示范区</x:v>
      </x:c>
      <x:c r="R86" s="2" t="str">
        <x:v>城市</x:v>
      </x:c>
      <x:c r="S86" s="2" t="str">
        <x:v>day</x:v>
      </x:c>
      <x:c r="T86" s="2"/>
      <x:c r="U86" s="2"/>
      <x:c r="V86" s="9"/>
      <x:c r="W86" s="9"/>
      <x:c r="X86" s="9"/>
      <x:c r="Y86" s="2"/>
      <x:c r="Z86" s="2"/>
      <x:c r="AA86" s="9" t="n">
        <x:v>47</x:v>
      </x:c>
      <x:c r="AB86" s="2" t="str">
        <x:v>男</x:v>
      </x:c>
      <x:c r="AC86" s="2"/>
      <x:c r="AD86" s="7" t="str">
        <x:v>警方称因感情纠纷争执后驾车冲撞特定女性。</x:v>
      </x:c>
      <x:c r="AE86" s="2" t="str">
        <x:v>感情纠纷</x:v>
      </x:c>
      <x:c r="AF86" s="2" t="str">
        <x:v>警方初步通报</x:v>
      </x:c>
      <x:c r="AG86" s="2"/>
      <x:c r="AH86" s="2"/>
      <x:c r="AI86" s="2"/>
      <x:c r="AJ86" s="2" t="str">
        <x:v>警方抓获。</x:v>
      </x:c>
      <x:c r="AK86" s="2" t="str">
        <x:v>侦办中。</x:v>
      </x:c>
      <x:c r="AL86" s="10"/>
      <x:c r="AM86" s="10"/>
      <x:c r="AN86" s="10" t="n">
        <x:v>45025</x:v>
      </x:c>
      <x:c r="AO86" s="2" t="str">
        <x:v>官方转载</x:v>
      </x:c>
      <x:c r="AP86" s="7" t="str">
        <x:v>BS34</x:v>
      </x:c>
      <x:c r="AQ86" s="7" t="str">
        <x:v>{"date":["BS34"],"location":["BS34"],"casualties":["BS34"],"classification":["BS34"],"motive":["BS34"],"outcome":["BS34"]}</x:v>
      </x:c>
      <x:c r="AR86" s="2"/>
      <x:c r="AS86" s="9"/>
      <x:c r="AT86" s="9"/>
      <x:c r="AU86" s="9"/>
      <x:c r="AV86" s="2"/>
      <x:c r="AW86" s="2"/>
      <x:c r="AX86" s="9"/>
      <x:c r="AY86" s="10"/>
      <x:c r="AZ86" s="7"/>
      <x:c r="BA86" s="7"/>
      <x:c r="BB86" s="7"/>
      <x:c r="BC86" s="7"/>
      <x:c r="BD86" s="2" t="str">
        <x:v>是</x:v>
      </x:c>
      <x:c r="BE86" s="2" t="str">
        <x:v>否</x:v>
      </x:c>
      <x:c r="BF86" s="2" t="str">
        <x:v>媒体调查／研究推断</x:v>
      </x:c>
      <x:c r="BG86" s="2" t="str">
        <x:v>婚姻／家庭／感情问题</x:v>
      </x:c>
      <x:c r="BH86" s="9" t="n">
        <x:v>2023</x:v>
      </x:c>
      <x:c r="BI86" s="9" t="n">
        <x:v>3</x:v>
      </x:c>
      <x:c r="BJ86" s="9" t="n">
        <x:v>0</x:v>
      </x:c>
      <x:c r="BK86" s="9" t="n">
        <x:v>0</x:v>
      </x:c>
      <x:c r="BL86" s="9" t="n">
        <x:v>1</x:v>
      </x:c>
      <x:c r="BM86" s="9" t="n">
        <x:v>1</x:v>
      </x:c>
      <x:c r="BN86" s="9" t="n">
        <x:v>0</x:v>
      </x:c>
      <x:c r="BO86" s="9" t="n">
        <x:v>1</x:v>
      </x:c>
    </x:row>
    <x:row r="87" ht="38" customHeight="1">
      <x:c r="A87" s="2" t="str">
        <x:v>B32</x:v>
      </x:c>
      <x:c r="B87" s="2" t="str">
        <x:v>2023-04-19</x:v>
      </x:c>
      <x:c r="C87" s="7" t="str">
        <x:v>青岛山东科技大学北公交站及周边袭击案</x:v>
      </x:c>
      <x:c r="D87" s="2" t="str">
        <x:v>山东</x:v>
      </x:c>
      <x:c r="E87" s="2" t="str">
        <x:v>青岛</x:v>
      </x:c>
      <x:c r="F87" s="2" t="str">
        <x:v>core</x:v>
      </x:c>
      <x:c r="G87" s="2" t="str">
        <x:v>校园及周边</x:v>
      </x:c>
      <x:c r="H87" s="2" t="str">
        <x:v>持械</x:v>
      </x:c>
      <x:c r="I87" s="9" t="n">
        <x:v>1</x:v>
      </x:c>
      <x:c r="J87" s="9" t="n">
        <x:v>6</x:v>
      </x:c>
      <x:c r="K87" s="2"/>
      <x:c r="L87" s="9"/>
      <x:c r="M87" s="9"/>
      <x:c r="N87" s="10" t="n">
        <x:v>45286</x:v>
      </x:c>
      <x:c r="O87" s="7"/>
      <x:c r="P87" s="7" t="str">
        <x:v>起诉书明确预谋报复学校，在站台和车内连续攻击排队上车人员及无关乘客。</x:v>
      </x:c>
      <x:c r="Q87" s="2" t="str">
        <x:v>黄岛区</x:v>
      </x:c>
      <x:c r="R87" s="2" t="str">
        <x:v>城市</x:v>
      </x:c>
      <x:c r="S87" s="2" t="str">
        <x:v>day</x:v>
      </x:c>
      <x:c r="T87" s="2"/>
      <x:c r="U87" s="2"/>
      <x:c r="V87" s="9"/>
      <x:c r="W87" s="9"/>
      <x:c r="X87" s="9"/>
      <x:c r="Y87" s="2"/>
      <x:c r="Z87" s="2" t="str">
        <x:v>公交乘客、排队人员及学生</x:v>
      </x:c>
      <x:c r="AA87" s="9" t="n">
        <x:v>23</x:v>
      </x:c>
      <x:c r="AB87" s="2" t="str">
        <x:v>男</x:v>
      </x:c>
      <x:c r="AC87" s="2" t="str">
        <x:v>休学大学生</x:v>
      </x:c>
      <x:c r="AD87" s="7" t="str">
        <x:v>法院认定为报复学校，刺伤学校周边无辜学生群众。起诉书具体称盗窃休学后复学未果而生不满。</x:v>
      </x:c>
      <x:c r="AE87" s="2" t="str">
        <x:v>学业受挫；泄愤报复</x:v>
      </x:c>
      <x:c r="AF87" s="2" t="str">
        <x:v>法院认定</x:v>
      </x:c>
      <x:c r="AG87" s="2" t="str">
        <x:v>司法鉴定为人格障碍，完全刑事责任能力。</x:v>
      </x:c>
      <x:c r="AH87" s="2"/>
      <x:c r="AI87" s="2" t="str">
        <x:v>案前购买凶器、向媒体发预告邮件；判决还记载此前就谅解书、复学沟通多次发表威胁言论。</x:v>
      </x:c>
      <x:c r="AJ87" s="2" t="str">
        <x:v>在附近洗浴中心门口被抓获。</x:v>
      </x:c>
      <x:c r="AK87" s="2" t="str">
        <x:v>2023年12月26日一审故意杀人罪死刑；被告人当庭提出上诉，未检出二审或执行公开材料。</x:v>
      </x:c>
      <x:c r="AL87" s="10" t="n">
        <x:v>45286</x:v>
      </x:c>
      <x:c r="AM87" s="10"/>
      <x:c r="AN87" s="10" t="n">
        <x:v>45286</x:v>
      </x:c>
      <x:c r="AO87" s="2" t="str">
        <x:v>官方转载</x:v>
      </x:c>
      <x:c r="AP87" s="7" t="str">
        <x:v>BS35；BS53</x:v>
      </x:c>
      <x:c r="AQ87" s="7" t="str">
        <x:v>{"date":["BS35"],"location":["BS35"],"casualties":["BS35"],"classification":["BS35","BS53"],"motive":["BS35","BS53"],"outcome":["BS35","BS53"]}</x:v>
      </x:c>
      <x:c r="AR87" s="2"/>
      <x:c r="AS87" s="9"/>
      <x:c r="AT87" s="9"/>
      <x:c r="AU87" s="9"/>
      <x:c r="AV87" s="2"/>
      <x:c r="AW87" s="2"/>
      <x:c r="AX87" s="9"/>
      <x:c r="AY87" s="10"/>
      <x:c r="AZ87" s="7"/>
      <x:c r="BA87" s="7"/>
      <x:c r="BB87" s="7"/>
      <x:c r="BC87" s="7" t="str">
        <x:v>已读取紫牛新闻一审判决跟踪全文；此前搜索的搜狐转载访问失败，改从新浪全文核对。</x:v>
      </x:c>
      <x:c r="BD87" s="2" t="str">
        <x:v>是</x:v>
      </x:c>
      <x:c r="BE87" s="2" t="str">
        <x:v>是</x:v>
      </x:c>
      <x:c r="BF87" s="2" t="str">
        <x:v>官方事实直接支持</x:v>
      </x:c>
      <x:c r="BG87" s="2" t="str">
        <x:v>学业问题；泄愤／转移报复</x:v>
      </x:c>
      <x:c r="BH87" s="9" t="n">
        <x:v>2023</x:v>
      </x:c>
      <x:c r="BI87" s="9" t="n">
        <x:v>1</x:v>
      </x:c>
      <x:c r="BJ87" s="9" t="n">
        <x:v>6</x:v>
      </x:c>
      <x:c r="BK87" s="9" t="n">
        <x:v>1</x:v>
      </x:c>
      <x:c r="BL87" s="9" t="n">
        <x:v>1</x:v>
      </x:c>
      <x:c r="BM87" s="9" t="n">
        <x:v>1</x:v>
      </x:c>
      <x:c r="BN87" s="9" t="n">
        <x:v>0</x:v>
      </x:c>
      <x:c r="BO87" s="9" t="n">
        <x:v>0</x:v>
      </x:c>
    </x:row>
    <x:row r="88" ht="38" customHeight="1">
      <x:c r="A88" s="2" t="str">
        <x:v>B33</x:v>
      </x:c>
      <x:c r="B88" s="2" t="str">
        <x:v>2023-05-12</x:v>
      </x:c>
      <x:c r="C88" s="7" t="str">
        <x:v>中山大涌镇装载作业车连续碰撞事件</x:v>
      </x:c>
      <x:c r="D88" s="2" t="str">
        <x:v>广东</x:v>
      </x:c>
      <x:c r="E88" s="2" t="str">
        <x:v>中山</x:v>
      </x:c>
      <x:c r="F88" s="2" t="str">
        <x:v>pending</x:v>
      </x:c>
      <x:c r="G88" s="2" t="str">
        <x:v>街道交通</x:v>
      </x:c>
      <x:c r="H88" s="2" t="str">
        <x:v>驾车</x:v>
      </x:c>
      <x:c r="I88" s="9" t="n">
        <x:v>0</x:v>
      </x:c>
      <x:c r="J88" s="9" t="n">
        <x:v>4</x:v>
      </x:c>
      <x:c r="K88" s="2"/>
      <x:c r="L88" s="9"/>
      <x:c r="M88" s="9"/>
      <x:c r="N88" s="10" t="n">
        <x:v>45058</x:v>
      </x:c>
      <x:c r="O88" s="7"/>
      <x:c r="P88" s="7" t="str">
        <x:v>通报没有确认故意冲撞或随机选择对象；仅凭连续碰撞无法定性。</x:v>
      </x:c>
      <x:c r="Q88" s="2" t="str">
        <x:v>大涌镇</x:v>
      </x:c>
      <x:c r="R88" s="2" t="str">
        <x:v>镇区</x:v>
      </x:c>
      <x:c r="S88" s="2" t="str">
        <x:v>day</x:v>
      </x:c>
      <x:c r="T88" s="2"/>
      <x:c r="U88" s="2"/>
      <x:c r="V88" s="9"/>
      <x:c r="W88" s="9"/>
      <x:c r="X88" s="9"/>
      <x:c r="Y88" s="2"/>
      <x:c r="Z88" s="2"/>
      <x:c r="AA88" s="9" t="n">
        <x:v>48</x:v>
      </x:c>
      <x:c r="AB88" s="2" t="str">
        <x:v>男</x:v>
      </x:c>
      <x:c r="AC88" s="2"/>
      <x:c r="AD88" s="7"/>
      <x:c r="AE88" s="2" t="str"/>
      <x:c r="AF88" s="2" t="str">
        <x:v>未知</x:v>
      </x:c>
      <x:c r="AG88" s="2"/>
      <x:c r="AH88" s="2"/>
      <x:c r="AI88" s="2"/>
      <x:c r="AJ88" s="2" t="str">
        <x:v>警方控制司机带所调查。</x:v>
      </x:c>
      <x:c r="AK88" s="2" t="str">
        <x:v>调查中。</x:v>
      </x:c>
      <x:c r="AL88" s="10"/>
      <x:c r="AM88" s="10"/>
      <x:c r="AN88" s="10" t="n">
        <x:v>45058</x:v>
      </x:c>
      <x:c r="AO88" s="2" t="str">
        <x:v>官方转载</x:v>
      </x:c>
      <x:c r="AP88" s="7" t="str">
        <x:v>BS36</x:v>
      </x:c>
      <x:c r="AQ88" s="7" t="str">
        <x:v>{"date":["BS36"],"location":["BS36"],"casualties":["BS36"],"classification":["BS36"],"motive":[],"outcome":["BS36"]}</x:v>
      </x:c>
      <x:c r="AR88" s="2"/>
      <x:c r="AS88" s="9"/>
      <x:c r="AT88" s="9"/>
      <x:c r="AU88" s="9"/>
      <x:c r="AV88" s="2"/>
      <x:c r="AW88" s="2"/>
      <x:c r="AX88" s="9"/>
      <x:c r="AY88" s="10"/>
      <x:c r="AZ88" s="7"/>
      <x:c r="BA88" s="7"/>
      <x:c r="BB88" s="7"/>
      <x:c r="BC88" s="7"/>
      <x:c r="BD88" s="2" t="str">
        <x:v>是</x:v>
      </x:c>
      <x:c r="BE88" s="2" t="str">
        <x:v>否</x:v>
      </x:c>
      <x:c r="BF88" s="2" t="str">
        <x:v>媒体调查／研究推断</x:v>
      </x:c>
      <x:c r="BG88" s="2" t="str"/>
      <x:c r="BH88" s="9" t="n">
        <x:v>2023</x:v>
      </x:c>
      <x:c r="BI88" s="9" t="n">
        <x:v>0</x:v>
      </x:c>
      <x:c r="BJ88" s="9" t="n">
        <x:v>4</x:v>
      </x:c>
      <x:c r="BK88" s="9" t="n">
        <x:v>0</x:v>
      </x:c>
      <x:c r="BL88" s="9" t="n">
        <x:v>0</x:v>
      </x:c>
      <x:c r="BM88" s="9" t="n">
        <x:v>1</x:v>
      </x:c>
      <x:c r="BN88" s="9" t="n">
        <x:v>0</x:v>
      </x:c>
      <x:c r="BO88" s="9" t="n">
        <x:v>0</x:v>
      </x:c>
    </x:row>
    <x:row r="89" ht="38" customHeight="1">
      <x:c r="A89" s="2" t="str">
        <x:v>B34</x:v>
      </x:c>
      <x:c r="B89" s="2" t="str">
        <x:v>2023-05-13</x:v>
      </x:c>
      <x:c r="C89" s="7" t="str">
        <x:v>山西兴县定向杀伤后驾车冲撞行人案</x:v>
      </x:c>
      <x:c r="D89" s="2" t="str">
        <x:v>山西</x:v>
      </x:c>
      <x:c r="E89" s="2" t="str">
        <x:v>吕梁</x:v>
      </x:c>
      <x:c r="F89" s="2" t="str">
        <x:v>expanded</x:v>
      </x:c>
      <x:c r="G89" s="2" t="str">
        <x:v>街道交通</x:v>
      </x:c>
      <x:c r="H89" s="2" t="str">
        <x:v>复合</x:v>
      </x:c>
      <x:c r="I89" s="9" t="n">
        <x:v>7</x:v>
      </x:c>
      <x:c r="J89" s="9" t="n">
        <x:v>11</x:v>
      </x:c>
      <x:c r="K89" s="2"/>
      <x:c r="L89" s="9"/>
      <x:c r="M89" s="9"/>
      <x:c r="N89" s="10" t="n">
        <x:v>45060</x:v>
      </x:c>
      <x:c r="O89" s="7" t="str">
        <x:v>包含最初家庭内3死1伤及后续撞人4死10伤，勿重复相加。</x:v>
      </x:c>
      <x:c r="P89" s="7" t="str">
        <x:v>原本针对感情纠纷对象及家属，随后逃窜驾车撞警务人员和行人，明确扩展至无关路人。</x:v>
      </x:c>
      <x:c r="Q89" s="2" t="str">
        <x:v>兴县</x:v>
      </x:c>
      <x:c r="R89" s="2" t="str">
        <x:v>城乡跨场景</x:v>
      </x:c>
      <x:c r="S89" s="2" t="str">
        <x:v>day</x:v>
      </x:c>
      <x:c r="T89" s="2"/>
      <x:c r="U89" s="2"/>
      <x:c r="V89" s="9"/>
      <x:c r="W89" s="9"/>
      <x:c r="X89" s="9"/>
      <x:c r="Y89" s="2" t="str">
        <x:v>是</x:v>
      </x:c>
      <x:c r="Z89" s="2" t="str">
        <x:v>感情纠纷女子及家属；另有出警人员与行人</x:v>
      </x:c>
      <x:c r="AA89" s="9" t="n">
        <x:v>27</x:v>
      </x:c>
      <x:c r="AB89" s="2" t="str">
        <x:v>男</x:v>
      </x:c>
      <x:c r="AC89" s="2"/>
      <x:c r="AD89" s="7" t="str">
        <x:v>警方初查源于感情纠纷。</x:v>
      </x:c>
      <x:c r="AE89" s="2" t="str">
        <x:v>感情纠纷</x:v>
      </x:c>
      <x:c r="AF89" s="2" t="str">
        <x:v>警方初步通报</x:v>
      </x:c>
      <x:c r="AG89" s="2"/>
      <x:c r="AH89" s="2"/>
      <x:c r="AI89" s="2"/>
      <x:c r="AJ89" s="2" t="str">
        <x:v>警方抓获；省市县联合处置。</x:v>
      </x:c>
      <x:c r="AK89" s="2" t="str">
        <x:v>侦查中；公开判决未检出。</x:v>
      </x:c>
      <x:c r="AL89" s="10"/>
      <x:c r="AM89" s="10"/>
      <x:c r="AN89" s="10" t="n">
        <x:v>45060</x:v>
      </x:c>
      <x:c r="AO89" s="2" t="str">
        <x:v>官方转载</x:v>
      </x:c>
      <x:c r="AP89" s="7" t="str">
        <x:v>BS37</x:v>
      </x:c>
      <x:c r="AQ89" s="7" t="str">
        <x:v>{"date":["BS37"],"location":["BS37"],"casualties":["BS37"],"classification":["BS37"],"motive":["BS37"],"outcome":["BS37"]}</x:v>
      </x:c>
      <x:c r="AR89" s="2"/>
      <x:c r="AS89" s="9"/>
      <x:c r="AT89" s="9"/>
      <x:c r="AU89" s="9"/>
      <x:c r="AV89" s="2"/>
      <x:c r="AW89" s="2"/>
      <x:c r="AX89" s="9"/>
      <x:c r="AY89" s="10"/>
      <x:c r="AZ89" s="7"/>
      <x:c r="BA89" s="7"/>
      <x:c r="BB89" s="7"/>
      <x:c r="BC89" s="7"/>
      <x:c r="BD89" s="2" t="str">
        <x:v>是</x:v>
      </x:c>
      <x:c r="BE89" s="2" t="str">
        <x:v>是</x:v>
      </x:c>
      <x:c r="BF89" s="2" t="str">
        <x:v>官方事实直接支持</x:v>
      </x:c>
      <x:c r="BG89" s="2" t="str">
        <x:v>婚姻／家庭／感情问题</x:v>
      </x:c>
      <x:c r="BH89" s="9" t="n">
        <x:v>2023</x:v>
      </x:c>
      <x:c r="BI89" s="9" t="n">
        <x:v>7</x:v>
      </x:c>
      <x:c r="BJ89" s="9" t="n">
        <x:v>11</x:v>
      </x:c>
      <x:c r="BK89" s="9" t="n">
        <x:v>1</x:v>
      </x:c>
      <x:c r="BL89" s="9" t="n">
        <x:v>1</x:v>
      </x:c>
      <x:c r="BM89" s="9" t="n">
        <x:v>1</x:v>
      </x:c>
      <x:c r="BN89" s="9" t="n">
        <x:v>0</x:v>
      </x:c>
      <x:c r="BO89" s="9" t="n">
        <x:v>0</x:v>
      </x:c>
    </x:row>
    <x:row r="90" ht="38" customHeight="1">
      <x:c r="A90" s="2" t="str">
        <x:v>B35</x:v>
      </x:c>
      <x:c r="B90" s="2" t="str">
        <x:v>2023-05-14</x:v>
      </x:c>
      <x:c r="C90" s="7" t="str">
        <x:v>贵阳云岩百草巷剪刀袭击行人案</x:v>
      </x:c>
      <x:c r="D90" s="2" t="str">
        <x:v>贵州</x:v>
      </x:c>
      <x:c r="E90" s="2" t="str">
        <x:v>贵阳</x:v>
      </x:c>
      <x:c r="F90" s="2" t="str">
        <x:v>pending</x:v>
      </x:c>
      <x:c r="G90" s="2" t="str">
        <x:v>街道交通</x:v>
      </x:c>
      <x:c r="H90" s="2" t="str">
        <x:v>持械</x:v>
      </x:c>
      <x:c r="I90" s="9" t="n">
        <x:v>0</x:v>
      </x:c>
      <x:c r="J90" s="9"/>
      <x:c r="K90" s="2" t="str">
        <x:v>几名行人</x:v>
      </x:c>
      <x:c r="L90" s="9"/>
      <x:c r="M90" s="9"/>
      <x:c r="N90" s="10" t="n">
        <x:v>45061</x:v>
      </x:c>
      <x:c r="O90" s="7" t="str">
        <x:v>未发布确切受伤人数，不能用汇编数字替代。</x:v>
      </x:c>
      <x:c r="P90" s="7" t="str">
        <x:v>警方确认剪刀伤及路过的几名行人，但未披露双方关系及选择目标过程；本轮补查未取得可靠随机性认定，不能仅凭多人或精神状态推定随机，保留待核。</x:v>
      </x:c>
      <x:c r="Q90" s="2" t="str">
        <x:v>云岩区</x:v>
      </x:c>
      <x:c r="R90" s="2" t="str">
        <x:v>城市</x:v>
      </x:c>
      <x:c r="S90" s="2" t="str">
        <x:v>day</x:v>
      </x:c>
      <x:c r="T90" s="2"/>
      <x:c r="U90" s="2"/>
      <x:c r="V90" s="9"/>
      <x:c r="W90" s="9"/>
      <x:c r="X90" s="9"/>
      <x:c r="Y90" s="2"/>
      <x:c r="Z90" s="2" t="str">
        <x:v>路过行人</x:v>
      </x:c>
      <x:c r="AA90" s="9" t="n">
        <x:v>40</x:v>
      </x:c>
      <x:c r="AB90" s="2" t="str">
        <x:v>男</x:v>
      </x:c>
      <x:c r="AC90" s="2"/>
      <x:c r="AD90" s="7"/>
      <x:c r="AE90" s="2" t="str"/>
      <x:c r="AF90" s="2" t="str">
        <x:v>未知</x:v>
      </x:c>
      <x:c r="AG90" s="2" t="str">
        <x:v>警方称精神障碍患者；刑责鉴定未知。</x:v>
      </x:c>
      <x:c r="AH90" s="2"/>
      <x:c r="AI90" s="2"/>
      <x:c r="AJ90" s="2" t="str">
        <x:v>警方迅速控制嫌疑人，伤者送医。</x:v>
      </x:c>
      <x:c r="AK90" s="2" t="str">
        <x:v>进一步办理。</x:v>
      </x:c>
      <x:c r="AL90" s="10"/>
      <x:c r="AM90" s="10"/>
      <x:c r="AN90" s="10" t="n">
        <x:v>45061</x:v>
      </x:c>
      <x:c r="AO90" s="2" t="str">
        <x:v>官方转载</x:v>
      </x:c>
      <x:c r="AP90" s="7" t="str">
        <x:v>BS38</x:v>
      </x:c>
      <x:c r="AQ90" s="7" t="str">
        <x:v>{"date":["BS38"],"location":["BS38"],"casualties":["BS38"],"classification":["BS38"],"motive":[],"outcome":["BS38"]}</x:v>
      </x:c>
      <x:c r="AR90" s="2"/>
      <x:c r="AS90" s="9"/>
      <x:c r="AT90" s="9"/>
      <x:c r="AU90" s="9"/>
      <x:c r="AV90" s="2"/>
      <x:c r="AW90" s="2"/>
      <x:c r="AX90" s="9"/>
      <x:c r="AY90" s="10"/>
      <x:c r="AZ90" s="7"/>
      <x:c r="BA90" s="7"/>
      <x:c r="BB90" s="7"/>
      <x:c r="BC90" s="7" t="str">
        <x:v>案发为5月14日，5月15日系报道日。</x:v>
      </x:c>
      <x:c r="BD90" s="2" t="str">
        <x:v>是</x:v>
      </x:c>
      <x:c r="BE90" s="2" t="str">
        <x:v>否</x:v>
      </x:c>
      <x:c r="BF90" s="2" t="str">
        <x:v>官方确认事件和路人受伤，未明确随机性；待补证</x:v>
      </x:c>
      <x:c r="BG90" s="2" t="str"/>
      <x:c r="BH90" s="9" t="n">
        <x:v>2023</x:v>
      </x:c>
      <x:c r="BI90" s="9" t="n">
        <x:v>0</x:v>
      </x:c>
      <x:c r="BJ90" s="9" t="n">
        <x:v>0</x:v>
      </x:c>
      <x:c r="BK90" s="9" t="n">
        <x:v>0</x:v>
      </x:c>
      <x:c r="BL90" s="9" t="n">
        <x:v>0</x:v>
      </x:c>
      <x:c r="BM90" s="9" t="n">
        <x:v>1</x:v>
      </x:c>
      <x:c r="BN90" s="9" t="n">
        <x:v>0</x:v>
      </x:c>
      <x:c r="BO90" s="9" t="n">
        <x:v>1</x:v>
      </x:c>
    </x:row>
    <x:row r="91" ht="38" customHeight="1">
      <x:c r="A91" s="2" t="str">
        <x:v>B36</x:v>
      </x:c>
      <x:c r="B91" s="2" t="str">
        <x:v>2023-05-18</x:v>
      </x:c>
      <x:c r="C91" s="7" t="str">
        <x:v>四川南部桂博路持刀伤人案</x:v>
      </x:c>
      <x:c r="D91" s="2" t="str">
        <x:v>四川</x:v>
      </x:c>
      <x:c r="E91" s="2" t="str">
        <x:v>南充</x:v>
      </x:c>
      <x:c r="F91" s="2" t="str">
        <x:v>pending</x:v>
      </x:c>
      <x:c r="G91" s="2" t="str">
        <x:v>街道交通</x:v>
      </x:c>
      <x:c r="H91" s="2" t="str">
        <x:v>持械</x:v>
      </x:c>
      <x:c r="I91" s="9" t="n">
        <x:v>0</x:v>
      </x:c>
      <x:c r="J91" s="9" t="n">
        <x:v>8</x:v>
      </x:c>
      <x:c r="K91" s="2"/>
      <x:c r="L91" s="9"/>
      <x:c r="M91" s="9"/>
      <x:c r="N91" s="10" t="n">
        <x:v>45064</x:v>
      </x:c>
      <x:c r="O91" s="7"/>
      <x:c r="P91" s="7" t="str">
        <x:v>通报未说明受害者关系或随机选择，无充分独立材料证明随机性。</x:v>
      </x:c>
      <x:c r="Q91" s="2" t="str">
        <x:v>南部县</x:v>
      </x:c>
      <x:c r="R91" s="2" t="str">
        <x:v>镇区</x:v>
      </x:c>
      <x:c r="S91" s="2" t="str">
        <x:v>day</x:v>
      </x:c>
      <x:c r="T91" s="2"/>
      <x:c r="U91" s="2"/>
      <x:c r="V91" s="9"/>
      <x:c r="W91" s="9"/>
      <x:c r="X91" s="9"/>
      <x:c r="Y91" s="2"/>
      <x:c r="Z91" s="2"/>
      <x:c r="AA91" s="9" t="n">
        <x:v>21</x:v>
      </x:c>
      <x:c r="AB91" s="2" t="str">
        <x:v>男</x:v>
      </x:c>
      <x:c r="AC91" s="2"/>
      <x:c r="AD91" s="7"/>
      <x:c r="AE91" s="2" t="str"/>
      <x:c r="AF91" s="2" t="str">
        <x:v>未知</x:v>
      </x:c>
      <x:c r="AG91" s="2"/>
      <x:c r="AH91" s="2"/>
      <x:c r="AI91" s="2"/>
      <x:c r="AJ91" s="2" t="str">
        <x:v>警方抓获。</x:v>
      </x:c>
      <x:c r="AK91" s="2" t="str">
        <x:v>侦查中。</x:v>
      </x:c>
      <x:c r="AL91" s="10"/>
      <x:c r="AM91" s="10"/>
      <x:c r="AN91" s="10" t="n">
        <x:v>45064</x:v>
      </x:c>
      <x:c r="AO91" s="2" t="str">
        <x:v>官方转载</x:v>
      </x:c>
      <x:c r="AP91" s="7" t="str">
        <x:v>BS39</x:v>
      </x:c>
      <x:c r="AQ91" s="7" t="str">
        <x:v>{"date":["BS39"],"location":["BS39"],"casualties":["BS39"],"classification":["BS39"],"motive":[],"outcome":["BS39"]}</x:v>
      </x:c>
      <x:c r="AR91" s="2"/>
      <x:c r="AS91" s="9"/>
      <x:c r="AT91" s="9"/>
      <x:c r="AU91" s="9"/>
      <x:c r="AV91" s="2"/>
      <x:c r="AW91" s="2"/>
      <x:c r="AX91" s="9"/>
      <x:c r="AY91" s="10"/>
      <x:c r="AZ91" s="7"/>
      <x:c r="BA91" s="7"/>
      <x:c r="BB91" s="7"/>
      <x:c r="BC91" s="7"/>
      <x:c r="BD91" s="2" t="str">
        <x:v>是</x:v>
      </x:c>
      <x:c r="BE91" s="2" t="str">
        <x:v>否</x:v>
      </x:c>
      <x:c r="BF91" s="2" t="str">
        <x:v>媒体调查／研究推断</x:v>
      </x:c>
      <x:c r="BG91" s="2" t="str"/>
      <x:c r="BH91" s="9" t="n">
        <x:v>2023</x:v>
      </x:c>
      <x:c r="BI91" s="9" t="n">
        <x:v>0</x:v>
      </x:c>
      <x:c r="BJ91" s="9" t="n">
        <x:v>8</x:v>
      </x:c>
      <x:c r="BK91" s="9" t="n">
        <x:v>0</x:v>
      </x:c>
      <x:c r="BL91" s="9" t="n">
        <x:v>0</x:v>
      </x:c>
      <x:c r="BM91" s="9" t="n">
        <x:v>1</x:v>
      </x:c>
      <x:c r="BN91" s="9" t="n">
        <x:v>0</x:v>
      </x:c>
      <x:c r="BO91" s="9" t="n">
        <x:v>0</x:v>
      </x:c>
    </x:row>
    <x:row r="92" ht="38" customHeight="1">
      <x:c r="A92" s="2" t="str">
        <x:v>B37</x:v>
      </x:c>
      <x:c r="B92" s="2" t="str">
        <x:v>2023-05-23</x:v>
      </x:c>
      <x:c r="C92" s="7" t="str">
        <x:v>天津和平山西路剪刀伤害路人案</x:v>
      </x:c>
      <x:c r="D92" s="2" t="str">
        <x:v>天津</x:v>
      </x:c>
      <x:c r="E92" s="2" t="str">
        <x:v>天津</x:v>
      </x:c>
      <x:c r="F92" s="2" t="str">
        <x:v>pending</x:v>
      </x:c>
      <x:c r="G92" s="2" t="str">
        <x:v>街道交通</x:v>
      </x:c>
      <x:c r="H92" s="2" t="str">
        <x:v>持械</x:v>
      </x:c>
      <x:c r="I92" s="9" t="n">
        <x:v>0</x:v>
      </x:c>
      <x:c r="J92" s="9" t="n">
        <x:v>1</x:v>
      </x:c>
      <x:c r="K92" s="2"/>
      <x:c r="L92" s="9"/>
      <x:c r="M92" s="9"/>
      <x:c r="N92" s="10" t="n">
        <x:v>45070</x:v>
      </x:c>
      <x:c r="O92" s="7"/>
      <x:c r="P92" s="7" t="str">
        <x:v>虽称路人，单一目标双方关系与选择原因未明，保守等待随机性证据。</x:v>
      </x:c>
      <x:c r="Q92" s="2" t="str">
        <x:v>和平区</x:v>
      </x:c>
      <x:c r="R92" s="2" t="str">
        <x:v>城市</x:v>
      </x:c>
      <x:c r="S92" s="2" t="str">
        <x:v>day</x:v>
      </x:c>
      <x:c r="T92" s="2"/>
      <x:c r="U92" s="2"/>
      <x:c r="V92" s="9"/>
      <x:c r="W92" s="9"/>
      <x:c r="X92" s="9"/>
      <x:c r="Y92" s="2"/>
      <x:c r="Z92" s="2"/>
      <x:c r="AA92" s="9" t="n">
        <x:v>53</x:v>
      </x:c>
      <x:c r="AB92" s="2" t="str">
        <x:v>男</x:v>
      </x:c>
      <x:c r="AC92" s="2"/>
      <x:c r="AD92" s="7"/>
      <x:c r="AE92" s="2" t="str"/>
      <x:c r="AF92" s="2" t="str">
        <x:v>未知</x:v>
      </x:c>
      <x:c r="AG92" s="2"/>
      <x:c r="AH92" s="2"/>
      <x:c r="AI92" s="2"/>
      <x:c r="AJ92" s="2" t="str">
        <x:v>围观群众当场控制；警方确认见义勇为行为。</x:v>
      </x:c>
      <x:c r="AK92" s="2" t="str">
        <x:v>刑事拘留。</x:v>
      </x:c>
      <x:c r="AL92" s="10"/>
      <x:c r="AM92" s="10"/>
      <x:c r="AN92" s="10" t="n">
        <x:v>45070</x:v>
      </x:c>
      <x:c r="AO92" s="2" t="str">
        <x:v>官方转载</x:v>
      </x:c>
      <x:c r="AP92" s="7" t="str">
        <x:v>BS40</x:v>
      </x:c>
      <x:c r="AQ92" s="7" t="str">
        <x:v>{"date":["BS40"],"location":["BS40"],"casualties":["BS40"],"classification":["BS40"],"motive":[],"outcome":["BS40"]}</x:v>
      </x:c>
      <x:c r="AR92" s="2"/>
      <x:c r="AS92" s="9"/>
      <x:c r="AT92" s="9"/>
      <x:c r="AU92" s="9"/>
      <x:c r="AV92" s="2"/>
      <x:c r="AW92" s="2"/>
      <x:c r="AX92" s="9"/>
      <x:c r="AY92" s="10"/>
      <x:c r="AZ92" s="7"/>
      <x:c r="BA92" s="7"/>
      <x:c r="BB92" s="7"/>
      <x:c r="BC92" s="7"/>
      <x:c r="BD92" s="2" t="str">
        <x:v>是</x:v>
      </x:c>
      <x:c r="BE92" s="2" t="str">
        <x:v>否</x:v>
      </x:c>
      <x:c r="BF92" s="2" t="str">
        <x:v>媒体调查／研究推断</x:v>
      </x:c>
      <x:c r="BG92" s="2" t="str"/>
      <x:c r="BH92" s="9" t="n">
        <x:v>2023</x:v>
      </x:c>
      <x:c r="BI92" s="9" t="n">
        <x:v>0</x:v>
      </x:c>
      <x:c r="BJ92" s="9" t="n">
        <x:v>1</x:v>
      </x:c>
      <x:c r="BK92" s="9" t="n">
        <x:v>0</x:v>
      </x:c>
      <x:c r="BL92" s="9" t="n">
        <x:v>0</x:v>
      </x:c>
      <x:c r="BM92" s="9" t="n">
        <x:v>1</x:v>
      </x:c>
      <x:c r="BN92" s="9" t="n">
        <x:v>0</x:v>
      </x:c>
      <x:c r="BO92" s="9" t="n">
        <x:v>0</x:v>
      </x:c>
    </x:row>
    <x:row r="93" ht="38" customHeight="1">
      <x:c r="A93" s="2" t="str">
        <x:v>B38</x:v>
      </x:c>
      <x:c r="B93" s="2" t="str">
        <x:v>2023-06-06</x:v>
      </x:c>
      <x:c r="C93" s="7" t="str">
        <x:v>长沙开福滨河路面包车撞人事件</x:v>
      </x:c>
      <x:c r="D93" s="2" t="str">
        <x:v>湖南</x:v>
      </x:c>
      <x:c r="E93" s="2" t="str">
        <x:v>长沙</x:v>
      </x:c>
      <x:c r="F93" s="2" t="str">
        <x:v>pending</x:v>
      </x:c>
      <x:c r="G93" s="2" t="str">
        <x:v>街道交通</x:v>
      </x:c>
      <x:c r="H93" s="2" t="str">
        <x:v>驾车</x:v>
      </x:c>
      <x:c r="I93" s="9" t="n">
        <x:v>0</x:v>
      </x:c>
      <x:c r="J93" s="9" t="n">
        <x:v>9</x:v>
      </x:c>
      <x:c r="K93" s="2"/>
      <x:c r="L93" s="9"/>
      <x:c r="M93" s="9"/>
      <x:c r="N93" s="10" t="n">
        <x:v>45083</x:v>
      </x:c>
      <x:c r="O93" s="7" t="str">
        <x:v>一人伤势较重，8人稳定无生命危险；未给司法重伤等级。</x:v>
      </x:c>
      <x:c r="P93" s="7" t="str">
        <x:v>仅有撞人逃逸事实，未确立故意性和无差别袭击动机。</x:v>
      </x:c>
      <x:c r="Q93" s="2" t="str">
        <x:v>开福区</x:v>
      </x:c>
      <x:c r="R93" s="2" t="str">
        <x:v>城市</x:v>
      </x:c>
      <x:c r="S93" s="2" t="str">
        <x:v>day</x:v>
      </x:c>
      <x:c r="T93" s="2"/>
      <x:c r="U93" s="2"/>
      <x:c r="V93" s="9"/>
      <x:c r="W93" s="9"/>
      <x:c r="X93" s="9"/>
      <x:c r="Y93" s="2"/>
      <x:c r="Z93" s="2"/>
      <x:c r="AA93" s="9" t="n">
        <x:v>39</x:v>
      </x:c>
      <x:c r="AB93" s="2" t="str">
        <x:v>男</x:v>
      </x:c>
      <x:c r="AC93" s="2"/>
      <x:c r="AD93" s="7"/>
      <x:c r="AE93" s="2" t="str"/>
      <x:c r="AF93" s="2" t="str">
        <x:v>未知</x:v>
      </x:c>
      <x:c r="AG93" s="2"/>
      <x:c r="AH93" s="2"/>
      <x:c r="AI93" s="2"/>
      <x:c r="AJ93" s="2" t="str">
        <x:v>警方抓获逃跑中的司机。</x:v>
      </x:c>
      <x:c r="AK93" s="2" t="str">
        <x:v>侦办中。</x:v>
      </x:c>
      <x:c r="AL93" s="10"/>
      <x:c r="AM93" s="10"/>
      <x:c r="AN93" s="10" t="n">
        <x:v>45083</x:v>
      </x:c>
      <x:c r="AO93" s="2" t="str">
        <x:v>官方转载</x:v>
      </x:c>
      <x:c r="AP93" s="7" t="str">
        <x:v>BS41</x:v>
      </x:c>
      <x:c r="AQ93" s="7" t="str">
        <x:v>{"date":["BS41"],"location":["BS41"],"casualties":["BS41"],"classification":["BS41"],"motive":[],"outcome":["BS41"]}</x:v>
      </x:c>
      <x:c r="AR93" s="2"/>
      <x:c r="AS93" s="9"/>
      <x:c r="AT93" s="9"/>
      <x:c r="AU93" s="9"/>
      <x:c r="AV93" s="2"/>
      <x:c r="AW93" s="2"/>
      <x:c r="AX93" s="9"/>
      <x:c r="AY93" s="10"/>
      <x:c r="AZ93" s="7"/>
      <x:c r="BA93" s="7"/>
      <x:c r="BB93" s="7"/>
      <x:c r="BC93" s="7"/>
      <x:c r="BD93" s="2" t="str">
        <x:v>是</x:v>
      </x:c>
      <x:c r="BE93" s="2" t="str">
        <x:v>否</x:v>
      </x:c>
      <x:c r="BF93" s="2" t="str">
        <x:v>媒体调查／研究推断</x:v>
      </x:c>
      <x:c r="BG93" s="2" t="str"/>
      <x:c r="BH93" s="9" t="n">
        <x:v>2023</x:v>
      </x:c>
      <x:c r="BI93" s="9" t="n">
        <x:v>0</x:v>
      </x:c>
      <x:c r="BJ93" s="9" t="n">
        <x:v>9</x:v>
      </x:c>
      <x:c r="BK93" s="9" t="n">
        <x:v>0</x:v>
      </x:c>
      <x:c r="BL93" s="9" t="n">
        <x:v>0</x:v>
      </x:c>
      <x:c r="BM93" s="9" t="n">
        <x:v>1</x:v>
      </x:c>
      <x:c r="BN93" s="9" t="n">
        <x:v>0</x:v>
      </x:c>
      <x:c r="BO93" s="9" t="n">
        <x:v>0</x:v>
      </x:c>
    </x:row>
    <x:row r="94" ht="38" customHeight="1">
      <x:c r="A94" s="2" t="str">
        <x:v>B39</x:v>
      </x:c>
      <x:c r="B94" s="2" t="str">
        <x:v>2023-06-16</x:v>
      </x:c>
      <x:c r="C94" s="7" t="str">
        <x:v>秦皇岛建国路持刀伤人事件</x:v>
      </x:c>
      <x:c r="D94" s="2" t="str">
        <x:v>河北</x:v>
      </x:c>
      <x:c r="E94" s="2" t="str">
        <x:v>秦皇岛</x:v>
      </x:c>
      <x:c r="F94" s="2" t="str">
        <x:v>pending</x:v>
      </x:c>
      <x:c r="G94" s="2" t="str">
        <x:v>街道交通</x:v>
      </x:c>
      <x:c r="H94" s="2" t="str">
        <x:v>持械</x:v>
      </x:c>
      <x:c r="I94" s="9"/>
      <x:c r="J94" s="9"/>
      <x:c r="K94" s="2"/>
      <x:c r="L94" s="9"/>
      <x:c r="M94" s="9"/>
      <x:c r="N94" s="10" t="n">
        <x:v>45094</x:v>
      </x:c>
      <x:c r="O94" s="7" t="str">
        <x:v>网传十余人受伤没有官方确认，死亡和受伤人数均留空。</x:v>
      </x:c>
      <x:c r="P94" s="7" t="str">
        <x:v>已采访警方确认事件，但人数、对象关系与随机性未明确。</x:v>
      </x:c>
      <x:c r="Q94" s="2" t="str">
        <x:v>海港区</x:v>
      </x:c>
      <x:c r="R94" s="2" t="str">
        <x:v>城市</x:v>
      </x:c>
      <x:c r="S94" s="2" t="str">
        <x:v>day</x:v>
      </x:c>
      <x:c r="T94" s="2"/>
      <x:c r="U94" s="2"/>
      <x:c r="V94" s="9"/>
      <x:c r="W94" s="9"/>
      <x:c r="X94" s="9"/>
      <x:c r="Y94" s="2"/>
      <x:c r="Z94" s="2"/>
      <x:c r="AA94" s="9"/>
      <x:c r="AB94" s="2" t="str">
        <x:v>男</x:v>
      </x:c>
      <x:c r="AC94" s="2"/>
      <x:c r="AD94" s="7"/>
      <x:c r="AE94" s="2" t="str"/>
      <x:c r="AF94" s="2" t="str">
        <x:v>未知</x:v>
      </x:c>
      <x:c r="AG94" s="2"/>
      <x:c r="AH94" s="2"/>
      <x:c r="AI94" s="2"/>
      <x:c r="AJ94" s="2" t="str">
        <x:v>警方控制。</x:v>
      </x:c>
      <x:c r="AK94" s="2" t="str">
        <x:v>调查中。</x:v>
      </x:c>
      <x:c r="AL94" s="10"/>
      <x:c r="AM94" s="10"/>
      <x:c r="AN94" s="10" t="n">
        <x:v>45094</x:v>
      </x:c>
      <x:c r="AO94" s="2" t="str">
        <x:v>单一媒体</x:v>
      </x:c>
      <x:c r="AP94" s="7" t="str">
        <x:v>BS42</x:v>
      </x:c>
      <x:c r="AQ94" s="7" t="str">
        <x:v>{"date":["BS42"],"location":["BS42"],"casualties":["BS42"],"classification":["BS42"],"motive":[],"outcome":["BS42"]}</x:v>
      </x:c>
      <x:c r="AR94" s="2"/>
      <x:c r="AS94" s="9"/>
      <x:c r="AT94" s="9"/>
      <x:c r="AU94" s="9"/>
      <x:c r="AV94" s="2"/>
      <x:c r="AW94" s="2"/>
      <x:c r="AX94" s="9"/>
      <x:c r="AY94" s="10"/>
      <x:c r="AZ94" s="7"/>
      <x:c r="BA94" s="7"/>
      <x:c r="BB94" s="7"/>
      <x:c r="BC94" s="7"/>
      <x:c r="BD94" s="2" t="str">
        <x:v>否</x:v>
      </x:c>
      <x:c r="BE94" s="2" t="str">
        <x:v>否</x:v>
      </x:c>
      <x:c r="BF94" s="2" t="str">
        <x:v>媒体调查／研究推断</x:v>
      </x:c>
      <x:c r="BG94" s="2" t="str"/>
      <x:c r="BH94" s="9" t="n">
        <x:v>2023</x:v>
      </x:c>
      <x:c r="BI94" s="9" t="n">
        <x:v>0</x:v>
      </x:c>
      <x:c r="BJ94" s="9" t="n">
        <x:v>0</x:v>
      </x:c>
      <x:c r="BK94" s="9" t="n">
        <x:v>0</x:v>
      </x:c>
      <x:c r="BL94" s="9" t="n">
        <x:v>0</x:v>
      </x:c>
      <x:c r="BM94" s="9" t="n">
        <x:v>1</x:v>
      </x:c>
      <x:c r="BN94" s="9" t="n">
        <x:v>1</x:v>
      </x:c>
      <x:c r="BO94" s="9" t="n">
        <x:v>1</x:v>
      </x:c>
    </x:row>
    <x:row r="95" ht="38" customHeight="1">
      <x:c r="A95" s="2" t="str">
        <x:v>B40a</x:v>
      </x:c>
      <x:c r="B95" s="2" t="str">
        <x:v>2023-06-17</x:v>
      </x:c>
      <x:c r="C95" s="7" t="str">
        <x:v>长春红旗街下午高空投掷水桶伤人案</x:v>
      </x:c>
      <x:c r="D95" s="2" t="str">
        <x:v>吉林</x:v>
      </x:c>
      <x:c r="E95" s="2" t="str">
        <x:v>长春</x:v>
      </x:c>
      <x:c r="F95" s="2" t="str">
        <x:v>core</x:v>
      </x:c>
      <x:c r="G95" s="2" t="str">
        <x:v>商业场所</x:v>
      </x:c>
      <x:c r="H95" s="2" t="str">
        <x:v>其他</x:v>
      </x:c>
      <x:c r="I95" s="9" t="n">
        <x:v>0</x:v>
      </x:c>
      <x:c r="J95" s="9" t="n">
        <x:v>1</x:v>
      </x:c>
      <x:c r="K95" s="2"/>
      <x:c r="L95" s="9"/>
      <x:c r="M95" s="9"/>
      <x:c r="N95" s="10" t="n">
        <x:v>45276</x:v>
      </x:c>
      <x:c r="O95" s="7" t="str">
        <x:v>本轮连续投掷2桶水，造成1名摊主受伤；与同日22:40投可乐及6月22日投砖分开计件，三轮总1死2伤。</x:v>
      </x:c>
      <x:c r="P95" s="7" t="str">
        <x:v>法院认定观察楼下行人后刻意向不特定人群投掷重物，以杀人求获死刑。</x:v>
      </x:c>
      <x:c r="Q95" s="2" t="str">
        <x:v>朝阳区</x:v>
      </x:c>
      <x:c r="R95" s="2" t="str">
        <x:v>城市</x:v>
      </x:c>
      <x:c r="S95" s="2" t="str">
        <x:v>day</x:v>
      </x:c>
      <x:c r="T95" s="2" t="n">
        <x:v>45094.354166666664</x:v>
      </x:c>
      <x:c r="U95" s="2" t="str">
        <x:v>是</x:v>
      </x:c>
      <x:c r="V95" s="9"/>
      <x:c r="W95" s="9"/>
      <x:c r="X95" s="9"/>
      <x:c r="Y95" s="2"/>
      <x:c r="Z95" s="2" t="str">
        <x:v>无关夜市摊主</x:v>
      </x:c>
      <x:c r="AA95" s="9" t="n">
        <x:v>23</x:v>
      </x:c>
      <x:c r="AB95" s="2" t="str">
        <x:v>男</x:v>
      </x:c>
      <x:c r="AC95" s="2" t="str">
        <x:v>无固定职业</x:v>
      </x:c>
      <x:c r="AD95" s="7" t="str">
        <x:v>法院认定生活窘迫、认为社会不公，欲自杀但没有勇气，预谋杀人以求死刑。</x:v>
      </x:c>
      <x:c r="AE95" s="2" t="str">
        <x:v>经济受挫；社会不满；借刑求死</x:v>
      </x:c>
      <x:c r="AF95" s="2" t="str">
        <x:v>法院认定</x:v>
      </x:c>
      <x:c r="AG95" s="2" t="str">
        <x:v>公安司法鉴定涉案时无精神疾病，完全刑事责任能力（界面核对鉴定意见）。</x:v>
      </x:c>
      <x:c r="AH95" s="2"/>
      <x:c r="AI95" s="2"/>
      <x:c r="AJ95" s="2" t="str">
        <x:v>后续6月22日自行投案。</x:v>
      </x:c>
      <x:c r="AK95" s="2" t="str">
        <x:v>12月13日一审死刑；当庭不上诉，2024年10月21日核准后执行（家属确认）。</x:v>
      </x:c>
      <x:c r="AL95" s="10" t="n">
        <x:v>45273</x:v>
      </x:c>
      <x:c r="AM95" s="10" t="n">
        <x:v>45586</x:v>
      </x:c>
      <x:c r="AN95" s="10" t="n">
        <x:v>45586</x:v>
      </x:c>
      <x:c r="AO95" s="2" t="str">
        <x:v>官方转载</x:v>
      </x:c>
      <x:c r="AP95" s="7" t="str">
        <x:v>BS43；BS44；RS002</x:v>
      </x:c>
      <x:c r="AQ95" s="7" t="str">
        <x:v>{"date":["BS43","BS44","RS002"],"location":["BS43","BS44","RS002"],"casualties":["BS43","BS44","RS002"],"classification":["BS43","BS44","RS002"],"motive":["BS43","BS44"],"outcome":["BS43","BS44"]}</x:v>
      </x:c>
      <x:c r="AR95" s="2" t="str">
        <x:v>B-SERIES-CHANGCHUN-202306</x:v>
      </x:c>
      <x:c r="AS95" s="9"/>
      <x:c r="AT95" s="9"/>
      <x:c r="AU95" s="9"/>
      <x:c r="AV95" s="2"/>
      <x:c r="AW95" s="2"/>
      <x:c r="AX95" s="9"/>
      <x:c r="AY95" s="10"/>
      <x:c r="AZ95" s="7"/>
      <x:c r="BA95" s="7"/>
      <x:c r="BB95" s="7"/>
      <x:c r="BC95" s="7" t="str">
        <x:v>原始候选B40按连续过程拆为B40a/B40b。两次重新启动的袭击相隔6小时10分；同日不自动合并。</x:v>
      </x:c>
      <x:c r="BD95" s="2" t="str">
        <x:v>是</x:v>
      </x:c>
      <x:c r="BE95" s="2" t="str">
        <x:v>是</x:v>
      </x:c>
      <x:c r="BF95" s="2" t="str">
        <x:v>官方事实直接支持</x:v>
      </x:c>
      <x:c r="BG95" s="2" t="str">
        <x:v>求死／求入狱；泄愤／转移报复；经济／工作／财产纠纷</x:v>
      </x:c>
      <x:c r="BH95" s="9" t="n">
        <x:v>2023</x:v>
      </x:c>
      <x:c r="BI95" s="9" t="n">
        <x:v>0</x:v>
      </x:c>
      <x:c r="BJ95" s="9" t="n">
        <x:v>1</x:v>
      </x:c>
      <x:c r="BK95" s="9" t="n">
        <x:v>1</x:v>
      </x:c>
      <x:c r="BL95" s="9" t="n">
        <x:v>1</x:v>
      </x:c>
      <x:c r="BM95" s="9" t="n">
        <x:v>1</x:v>
      </x:c>
      <x:c r="BN95" s="9" t="n">
        <x:v>0</x:v>
      </x:c>
      <x:c r="BO95" s="9" t="n">
        <x:v>0</x:v>
      </x:c>
    </x:row>
    <x:row r="96" ht="38" customHeight="1">
      <x:c r="A96" s="2" t="str">
        <x:v>B40b</x:v>
      </x:c>
      <x:c r="B96" s="2" t="str">
        <x:v>2023-06-17</x:v>
      </x:c>
      <x:c r="C96" s="7" t="str">
        <x:v>长春红旗街夜间高空投掷罐装饮料伤人案</x:v>
      </x:c>
      <x:c r="D96" s="2" t="str">
        <x:v>吉林</x:v>
      </x:c>
      <x:c r="E96" s="2" t="str">
        <x:v>长春</x:v>
      </x:c>
      <x:c r="F96" s="2" t="str">
        <x:v>core</x:v>
      </x:c>
      <x:c r="G96" s="2" t="str">
        <x:v>商业场所</x:v>
      </x:c>
      <x:c r="H96" s="2" t="str">
        <x:v>其他</x:v>
      </x:c>
      <x:c r="I96" s="9" t="n">
        <x:v>0</x:v>
      </x:c>
      <x:c r="J96" s="9" t="n">
        <x:v>1</x:v>
      </x:c>
      <x:c r="K96" s="2"/>
      <x:c r="L96" s="9"/>
      <x:c r="M96" s="9"/>
      <x:c r="N96" s="10" t="n">
        <x:v>45276</x:v>
      </x:c>
      <x:c r="O96" s="7" t="str">
        <x:v>本轮连续投掷3罐饮料，造成1名食客轻微伤；与同日16:30投水桶及6月22日投砖分开计件，三轮总1死2伤。</x:v>
      </x:c>
      <x:c r="P96" s="7" t="str">
        <x:v>法院认定观察楼下行人后刻意向不特定人群投掷重物，以杀人求获死刑。</x:v>
      </x:c>
      <x:c r="Q96" s="2" t="str">
        <x:v>朝阳区</x:v>
      </x:c>
      <x:c r="R96" s="2" t="str">
        <x:v>城市</x:v>
      </x:c>
      <x:c r="S96" s="2" t="str">
        <x:v>day</x:v>
      </x:c>
      <x:c r="T96" s="2" t="n">
        <x:v>45094.61111111111</x:v>
      </x:c>
      <x:c r="U96" s="2" t="str">
        <x:v>是</x:v>
      </x:c>
      <x:c r="V96" s="9"/>
      <x:c r="W96" s="9"/>
      <x:c r="X96" s="9"/>
      <x:c r="Y96" s="2"/>
      <x:c r="Z96" s="2" t="str">
        <x:v>无关夜市食客</x:v>
      </x:c>
      <x:c r="AA96" s="9" t="n">
        <x:v>23</x:v>
      </x:c>
      <x:c r="AB96" s="2" t="str">
        <x:v>男</x:v>
      </x:c>
      <x:c r="AC96" s="2" t="str">
        <x:v>无固定职业</x:v>
      </x:c>
      <x:c r="AD96" s="7" t="str">
        <x:v>法院认定生活窘迫、认为社会不公，欲自杀但没有勇气，预谋杀人以求死刑。</x:v>
      </x:c>
      <x:c r="AE96" s="2" t="str">
        <x:v>经济受挫；社会不满；借刑求死</x:v>
      </x:c>
      <x:c r="AF96" s="2" t="str">
        <x:v>法院认定</x:v>
      </x:c>
      <x:c r="AG96" s="2" t="str">
        <x:v>公安司法鉴定涉案时无精神疾病，完全刑事责任能力（界面核对鉴定意见）。</x:v>
      </x:c>
      <x:c r="AH96" s="2"/>
      <x:c r="AI96" s="2"/>
      <x:c r="AJ96" s="2" t="str">
        <x:v>后续6月22日自行投案。</x:v>
      </x:c>
      <x:c r="AK96" s="2" t="str">
        <x:v>12月13日一审死刑；当庭不上诉，2024年10月21日核准后执行（家属确认）。</x:v>
      </x:c>
      <x:c r="AL96" s="10" t="n">
        <x:v>45273</x:v>
      </x:c>
      <x:c r="AM96" s="10" t="n">
        <x:v>45586</x:v>
      </x:c>
      <x:c r="AN96" s="10" t="n">
        <x:v>45586</x:v>
      </x:c>
      <x:c r="AO96" s="2" t="str">
        <x:v>官方转载</x:v>
      </x:c>
      <x:c r="AP96" s="7" t="str">
        <x:v>BS43；BS44；RS002</x:v>
      </x:c>
      <x:c r="AQ96" s="7" t="str">
        <x:v>{"date":["BS43","BS44","RS002"],"location":["BS43","BS44","RS002"],"casualties":["BS43","BS44","RS002"],"classification":["BS43","BS44","RS002"],"motive":["BS43","BS44"],"outcome":["BS43","BS44"]}</x:v>
      </x:c>
      <x:c r="AR96" s="2" t="str">
        <x:v>B-SERIES-CHANGCHUN-202306</x:v>
      </x:c>
      <x:c r="AS96" s="9"/>
      <x:c r="AT96" s="9"/>
      <x:c r="AU96" s="9"/>
      <x:c r="AV96" s="2"/>
      <x:c r="AW96" s="2"/>
      <x:c r="AX96" s="9"/>
      <x:c r="AY96" s="10"/>
      <x:c r="AZ96" s="7"/>
      <x:c r="BA96" s="7"/>
      <x:c r="BB96" s="7"/>
      <x:c r="BC96" s="7" t="str">
        <x:v>原始候选B40按连续过程拆为B40a/B40b。两次重新启动的袭击相隔6小时10分；同日不自动合并。</x:v>
      </x:c>
      <x:c r="BD96" s="2" t="str">
        <x:v>是</x:v>
      </x:c>
      <x:c r="BE96" s="2" t="str">
        <x:v>是</x:v>
      </x:c>
      <x:c r="BF96" s="2" t="str">
        <x:v>官方事实直接支持</x:v>
      </x:c>
      <x:c r="BG96" s="2" t="str">
        <x:v>求死／求入狱；泄愤／转移报复；经济／工作／财产纠纷</x:v>
      </x:c>
      <x:c r="BH96" s="9" t="n">
        <x:v>2023</x:v>
      </x:c>
      <x:c r="BI96" s="9" t="n">
        <x:v>0</x:v>
      </x:c>
      <x:c r="BJ96" s="9" t="n">
        <x:v>1</x:v>
      </x:c>
      <x:c r="BK96" s="9" t="n">
        <x:v>1</x:v>
      </x:c>
      <x:c r="BL96" s="9" t="n">
        <x:v>1</x:v>
      </x:c>
      <x:c r="BM96" s="9" t="n">
        <x:v>1</x:v>
      </x:c>
      <x:c r="BN96" s="9" t="n">
        <x:v>0</x:v>
      </x:c>
      <x:c r="BO96" s="9" t="n">
        <x:v>0</x:v>
      </x:c>
    </x:row>
    <x:row r="97" ht="38" customHeight="1">
      <x:c r="A97" s="2" t="str">
        <x:v>B41</x:v>
      </x:c>
      <x:c r="B97" s="2" t="str">
        <x:v>2023-06-22</x:v>
      </x:c>
      <x:c r="C97" s="7" t="str">
        <x:v>长春红旗街高空投砖致死案</x:v>
      </x:c>
      <x:c r="D97" s="2" t="str">
        <x:v>吉林</x:v>
      </x:c>
      <x:c r="E97" s="2" t="str">
        <x:v>长春</x:v>
      </x:c>
      <x:c r="F97" s="2" t="str">
        <x:v>core</x:v>
      </x:c>
      <x:c r="G97" s="2" t="str">
        <x:v>商业场所</x:v>
      </x:c>
      <x:c r="H97" s="2" t="str">
        <x:v>其他</x:v>
      </x:c>
      <x:c r="I97" s="9" t="n">
        <x:v>1</x:v>
      </x:c>
      <x:c r="J97" s="9" t="n">
        <x:v>0</x:v>
      </x:c>
      <x:c r="K97" s="2"/>
      <x:c r="L97" s="9"/>
      <x:c r="M97" s="9"/>
      <x:c r="N97" s="10" t="n">
        <x:v>45276</x:v>
      </x:c>
      <x:c r="O97" s="7" t="str">
        <x:v>本日期1死；其他两名伤者属6月17日，不重复计数。</x:v>
      </x:c>
      <x:c r="P97" s="7" t="str">
        <x:v>法院认定观察楼下行人后刻意向不特定人群投掷重物，以杀人求获死刑。</x:v>
      </x:c>
      <x:c r="Q97" s="2" t="str">
        <x:v>朝阳区</x:v>
      </x:c>
      <x:c r="R97" s="2" t="str">
        <x:v>城市</x:v>
      </x:c>
      <x:c r="S97" s="2" t="str">
        <x:v>day</x:v>
      </x:c>
      <x:c r="T97" s="2"/>
      <x:c r="U97" s="2" t="str">
        <x:v>是</x:v>
      </x:c>
      <x:c r="V97" s="9"/>
      <x:c r="W97" s="9"/>
      <x:c r="X97" s="9"/>
      <x:c r="Y97" s="2"/>
      <x:c r="Z97" s="2" t="str">
        <x:v>无关食客、摊主和路人</x:v>
      </x:c>
      <x:c r="AA97" s="9" t="n">
        <x:v>23</x:v>
      </x:c>
      <x:c r="AB97" s="2" t="str">
        <x:v>男</x:v>
      </x:c>
      <x:c r="AC97" s="2" t="str">
        <x:v>无固定职业</x:v>
      </x:c>
      <x:c r="AD97" s="7" t="str">
        <x:v>法院认定生活窘迫、认为社会不公，欲自杀但没有勇气，预谋杀人以求死刑。</x:v>
      </x:c>
      <x:c r="AE97" s="2" t="str">
        <x:v>经济受挫；社会不满；借刑求死</x:v>
      </x:c>
      <x:c r="AF97" s="2" t="str">
        <x:v>法院认定</x:v>
      </x:c>
      <x:c r="AG97" s="2" t="str">
        <x:v>公安司法鉴定涉案时无精神疾病，完全刑事责任能力（界面核对鉴定意见）。</x:v>
      </x:c>
      <x:c r="AH97" s="2"/>
      <x:c r="AI97" s="2" t="str">
        <x:v>同楼此前多次高空抛物已伤人；家属及摊主称有过报警但未找到人，属媒体转述。</x:v>
      </x:c>
      <x:c r="AJ97" s="2" t="str">
        <x:v>23时30分嫌疑人主动到派出所投案。</x:v>
      </x:c>
      <x:c r="AK97" s="2" t="str">
        <x:v>12月13日一审死刑；当庭不上诉，2024年10月21日核准后执行（家属确认）。</x:v>
      </x:c>
      <x:c r="AL97" s="10" t="n">
        <x:v>45273</x:v>
      </x:c>
      <x:c r="AM97" s="10" t="n">
        <x:v>45586</x:v>
      </x:c>
      <x:c r="AN97" s="10" t="n">
        <x:v>45586</x:v>
      </x:c>
      <x:c r="AO97" s="2" t="str">
        <x:v>官方转载</x:v>
      </x:c>
      <x:c r="AP97" s="7" t="str">
        <x:v>BS43；BS44</x:v>
      </x:c>
      <x:c r="AQ97" s="7" t="str">
        <x:v>{"date":["BS43","BS44"],"location":["BS43","BS44"],"casualties":["BS43","BS44"],"classification":["BS43","BS44"],"motive":["BS43","BS44"],"outcome":["BS43","BS44"]}</x:v>
      </x:c>
      <x:c r="AR97" s="2" t="str">
        <x:v>B-SERIES-CHANGCHUN-202306</x:v>
      </x:c>
      <x:c r="AS97" s="9"/>
      <x:c r="AT97" s="9"/>
      <x:c r="AU97" s="9"/>
      <x:c r="AV97" s="2"/>
      <x:c r="AW97" s="2"/>
      <x:c r="AX97" s="9"/>
      <x:c r="AY97" s="10"/>
      <x:c r="AZ97" s="7"/>
      <x:c r="BA97" s="7"/>
      <x:c r="BB97" s="7"/>
      <x:c r="BC97" s="7" t="str">
        <x:v>同一系列含6月17日下午、夜间和6月22日三次独立过程，分别计件；本件21至23时连续投砖计一件。</x:v>
      </x:c>
      <x:c r="BD97" s="2" t="str">
        <x:v>是</x:v>
      </x:c>
      <x:c r="BE97" s="2" t="str">
        <x:v>是</x:v>
      </x:c>
      <x:c r="BF97" s="2" t="str">
        <x:v>官方事实直接支持</x:v>
      </x:c>
      <x:c r="BG97" s="2" t="str">
        <x:v>求死／求入狱；泄愤／转移报复；经济／工作／财产纠纷</x:v>
      </x:c>
      <x:c r="BH97" s="9" t="n">
        <x:v>2023</x:v>
      </x:c>
      <x:c r="BI97" s="9" t="n">
        <x:v>1</x:v>
      </x:c>
      <x:c r="BJ97" s="9" t="n">
        <x:v>0</x:v>
      </x:c>
      <x:c r="BK97" s="9" t="n">
        <x:v>1</x:v>
      </x:c>
      <x:c r="BL97" s="9" t="n">
        <x:v>1</x:v>
      </x:c>
      <x:c r="BM97" s="9" t="n">
        <x:v>1</x:v>
      </x:c>
      <x:c r="BN97" s="9" t="n">
        <x:v>0</x:v>
      </x:c>
      <x:c r="BO97" s="9" t="n">
        <x:v>0</x:v>
      </x:c>
    </x:row>
    <x:row r="98" ht="38" customHeight="1">
      <x:c r="A98" s="2" t="str">
        <x:v>B42</x:v>
      </x:c>
      <x:c r="B98" s="2" t="str">
        <x:v>2023-06-30</x:v>
      </x:c>
      <x:c r="C98" s="7" t="str">
        <x:v>海南临高临城镇二环路持刀伤人案</x:v>
      </x:c>
      <x:c r="D98" s="2" t="str">
        <x:v>海南</x:v>
      </x:c>
      <x:c r="E98" s="2" t="str">
        <x:v>临高县</x:v>
      </x:c>
      <x:c r="F98" s="2" t="str">
        <x:v>pending</x:v>
      </x:c>
      <x:c r="G98" s="2" t="str">
        <x:v>街道交通</x:v>
      </x:c>
      <x:c r="H98" s="2" t="str">
        <x:v>持械</x:v>
      </x:c>
      <x:c r="I98" s="9" t="n">
        <x:v>0</x:v>
      </x:c>
      <x:c r="J98" s="9"/>
      <x:c r="K98" s="2"/>
      <x:c r="L98" s="9"/>
      <x:c r="M98" s="9"/>
      <x:c r="N98" s="10" t="n">
        <x:v>45108</x:v>
      </x:c>
      <x:c r="O98" s="7" t="str">
        <x:v>通报称伤者均无生命危险，网传具体人数不采用。</x:v>
      </x:c>
      <x:c r="P98" s="7" t="str">
        <x:v>官方证实伤人，未披露人数、目标关系或选择方式。</x:v>
      </x:c>
      <x:c r="Q98" s="2" t="str">
        <x:v>临城镇</x:v>
      </x:c>
      <x:c r="R98" s="2" t="str">
        <x:v>镇区</x:v>
      </x:c>
      <x:c r="S98" s="2" t="str">
        <x:v>day</x:v>
      </x:c>
      <x:c r="T98" s="2"/>
      <x:c r="U98" s="2"/>
      <x:c r="V98" s="9"/>
      <x:c r="W98" s="9"/>
      <x:c r="X98" s="9"/>
      <x:c r="Y98" s="2"/>
      <x:c r="Z98" s="2"/>
      <x:c r="AA98" s="9"/>
      <x:c r="AB98" s="2"/>
      <x:c r="AC98" s="2"/>
      <x:c r="AD98" s="7"/>
      <x:c r="AE98" s="2" t="str"/>
      <x:c r="AF98" s="2" t="str">
        <x:v>未知</x:v>
      </x:c>
      <x:c r="AG98" s="2"/>
      <x:c r="AH98" s="2"/>
      <x:c r="AI98" s="2"/>
      <x:c r="AJ98" s="2" t="str">
        <x:v>警方控制嫌疑人、伤者送医。</x:v>
      </x:c>
      <x:c r="AK98" s="2" t="str">
        <x:v>侦办中。</x:v>
      </x:c>
      <x:c r="AL98" s="10"/>
      <x:c r="AM98" s="10"/>
      <x:c r="AN98" s="10" t="n">
        <x:v>45108</x:v>
      </x:c>
      <x:c r="AO98" s="2" t="str">
        <x:v>官方转载</x:v>
      </x:c>
      <x:c r="AP98" s="7" t="str">
        <x:v>BS45</x:v>
      </x:c>
      <x:c r="AQ98" s="7" t="str">
        <x:v>{"date":["BS45"],"location":["BS45"],"casualties":["BS45"],"classification":["BS45"],"motive":[],"outcome":["BS45"]}</x:v>
      </x:c>
      <x:c r="AR98" s="2"/>
      <x:c r="AS98" s="9"/>
      <x:c r="AT98" s="9"/>
      <x:c r="AU98" s="9"/>
      <x:c r="AV98" s="2"/>
      <x:c r="AW98" s="2"/>
      <x:c r="AX98" s="9"/>
      <x:c r="AY98" s="10"/>
      <x:c r="AZ98" s="7"/>
      <x:c r="BA98" s="7"/>
      <x:c r="BB98" s="7"/>
      <x:c r="BC98" s="7"/>
      <x:c r="BD98" s="2" t="str">
        <x:v>是</x:v>
      </x:c>
      <x:c r="BE98" s="2" t="str">
        <x:v>否</x:v>
      </x:c>
      <x:c r="BF98" s="2" t="str">
        <x:v>媒体调查／研究推断</x:v>
      </x:c>
      <x:c r="BG98" s="2" t="str"/>
      <x:c r="BH98" s="9" t="n">
        <x:v>2023</x:v>
      </x:c>
      <x:c r="BI98" s="9" t="n">
        <x:v>0</x:v>
      </x:c>
      <x:c r="BJ98" s="9" t="n">
        <x:v>0</x:v>
      </x:c>
      <x:c r="BK98" s="9" t="n">
        <x:v>0</x:v>
      </x:c>
      <x:c r="BL98" s="9" t="n">
        <x:v>0</x:v>
      </x:c>
      <x:c r="BM98" s="9" t="n">
        <x:v>1</x:v>
      </x:c>
      <x:c r="BN98" s="9" t="n">
        <x:v>0</x:v>
      </x:c>
      <x:c r="BO98" s="9" t="n">
        <x:v>1</x:v>
      </x:c>
    </x:row>
    <x:row r="99" ht="38" customHeight="1">
      <x:c r="A99" s="2" t="str">
        <x:v>B43</x:v>
      </x:c>
      <x:c r="B99" s="2" t="str">
        <x:v>2023-07-10</x:v>
      </x:c>
      <x:c r="C99" s="7" t="str">
        <x:v>广东廉江横山镇幼儿园持刀伤人案</x:v>
      </x:c>
      <x:c r="D99" s="2" t="str">
        <x:v>广东</x:v>
      </x:c>
      <x:c r="E99" s="2" t="str">
        <x:v>湛江</x:v>
      </x:c>
      <x:c r="F99" s="2" t="str">
        <x:v>pending</x:v>
      </x:c>
      <x:c r="G99" s="2" t="str">
        <x:v>校园及周边</x:v>
      </x:c>
      <x:c r="H99" s="2" t="str">
        <x:v>持械</x:v>
      </x:c>
      <x:c r="I99" s="9" t="n">
        <x:v>6</x:v>
      </x:c>
      <x:c r="J99" s="9" t="n">
        <x:v>1</x:v>
      </x:c>
      <x:c r="K99" s="2"/>
      <x:c r="L99" s="9"/>
      <x:c r="M99" s="9"/>
      <x:c r="N99" s="10" t="n">
        <x:v>45117</x:v>
      </x:c>
      <x:c r="O99" s="7"/>
      <x:c r="P99" s="7" t="str">
        <x:v>案件伤亡已获警方证实，尚无可靠材料确认对象选择与关系；不采信网传私人报复起因，也不直接称随机。</x:v>
      </x:c>
      <x:c r="Q99" s="2" t="str">
        <x:v>廉江市</x:v>
      </x:c>
      <x:c r="R99" s="2" t="str">
        <x:v>镇区</x:v>
      </x:c>
      <x:c r="S99" s="2" t="str">
        <x:v>day</x:v>
      </x:c>
      <x:c r="T99" s="2"/>
      <x:c r="U99" s="2"/>
      <x:c r="V99" s="9"/>
      <x:c r="W99" s="9"/>
      <x:c r="X99" s="9"/>
      <x:c r="Y99" s="2" t="str">
        <x:v>是</x:v>
      </x:c>
      <x:c r="Z99" s="2" t="str">
        <x:v>幼儿园内人员，包含幼儿</x:v>
      </x:c>
      <x:c r="AA99" s="9" t="n">
        <x:v>25</x:v>
      </x:c>
      <x:c r="AB99" s="2" t="str">
        <x:v>男</x:v>
      </x:c>
      <x:c r="AC99" s="2"/>
      <x:c r="AD99" s="7"/>
      <x:c r="AE99" s="2" t="str"/>
      <x:c r="AF99" s="2" t="str">
        <x:v>未知</x:v>
      </x:c>
      <x:c r="AG99" s="2"/>
      <x:c r="AH99" s="2"/>
      <x:c r="AI99" s="2"/>
      <x:c r="AJ99" s="2" t="str">
        <x:v>7时40分发案，8时许警方抓获。</x:v>
      </x:c>
      <x:c r="AK99" s="2" t="str">
        <x:v>侦办中；裁判未检出。</x:v>
      </x:c>
      <x:c r="AL99" s="10"/>
      <x:c r="AM99" s="10"/>
      <x:c r="AN99" s="10" t="n">
        <x:v>45117</x:v>
      </x:c>
      <x:c r="AO99" s="2" t="str">
        <x:v>官方转载</x:v>
      </x:c>
      <x:c r="AP99" s="7" t="str">
        <x:v>BS46</x:v>
      </x:c>
      <x:c r="AQ99" s="7" t="str">
        <x:v>{"date":["BS46"],"location":["BS46"],"casualties":["BS46"],"classification":["BS46"],"motive":[],"outcome":["BS46"]}</x:v>
      </x:c>
      <x:c r="AR99" s="2"/>
      <x:c r="AS99" s="9"/>
      <x:c r="AT99" s="9"/>
      <x:c r="AU99" s="9"/>
      <x:c r="AV99" s="2"/>
      <x:c r="AW99" s="2"/>
      <x:c r="AX99" s="9"/>
      <x:c r="AY99" s="10"/>
      <x:c r="AZ99" s="7"/>
      <x:c r="BA99" s="7"/>
      <x:c r="BB99" s="7"/>
      <x:c r="BC99" s="7"/>
      <x:c r="BD99" s="2" t="str">
        <x:v>是</x:v>
      </x:c>
      <x:c r="BE99" s="2" t="str">
        <x:v>否</x:v>
      </x:c>
      <x:c r="BF99" s="2" t="str">
        <x:v>媒体调查／研究推断</x:v>
      </x:c>
      <x:c r="BG99" s="2" t="str"/>
      <x:c r="BH99" s="9" t="n">
        <x:v>2023</x:v>
      </x:c>
      <x:c r="BI99" s="9" t="n">
        <x:v>6</x:v>
      </x:c>
      <x:c r="BJ99" s="9" t="n">
        <x:v>1</x:v>
      </x:c>
      <x:c r="BK99" s="9" t="n">
        <x:v>0</x:v>
      </x:c>
      <x:c r="BL99" s="9" t="n">
        <x:v>0</x:v>
      </x:c>
      <x:c r="BM99" s="9" t="n">
        <x:v>1</x:v>
      </x:c>
      <x:c r="BN99" s="9" t="n">
        <x:v>0</x:v>
      </x:c>
      <x:c r="BO99" s="9" t="n">
        <x:v>0</x:v>
      </x:c>
    </x:row>
    <x:row r="100" ht="38" customHeight="1">
      <x:c r="A100" s="2" t="str">
        <x:v>B44</x:v>
      </x:c>
      <x:c r="B100" s="2" t="str">
        <x:v>2023-08-08</x:v>
      </x:c>
      <x:c r="C100" s="7" t="str">
        <x:v>云南罗平伤母后逃窜持刀伤人案</x:v>
      </x:c>
      <x:c r="D100" s="2" t="str">
        <x:v>云南</x:v>
      </x:c>
      <x:c r="E100" s="2" t="str">
        <x:v>曲靖</x:v>
      </x:c>
      <x:c r="F100" s="2" t="str">
        <x:v>expanded</x:v>
      </x:c>
      <x:c r="G100" s="2" t="str">
        <x:v>街道交通</x:v>
      </x:c>
      <x:c r="H100" s="2" t="str">
        <x:v>持械</x:v>
      </x:c>
      <x:c r="I100" s="9" t="n">
        <x:v>2</x:v>
      </x:c>
      <x:c r="J100" s="9" t="n">
        <x:v>7</x:v>
      </x:c>
      <x:c r="K100" s="2"/>
      <x:c r="L100" s="9"/>
      <x:c r="M100" s="9"/>
      <x:c r="N100" s="10" t="n">
        <x:v>45146</x:v>
      </x:c>
      <x:c r="O100" s="7" t="str">
        <x:v>总计9名受害者；母亲和逃窜阶段受伤者均在2死7伤内。</x:v>
      </x:c>
      <x:c r="P100" s="7" t="str">
        <x:v>先刺母亲后在逃窜过程中继续刺伤8人，攻击范围从家庭扩展到街面他人。</x:v>
      </x:c>
      <x:c r="Q100" s="2" t="str">
        <x:v>罗平县</x:v>
      </x:c>
      <x:c r="R100" s="2" t="str">
        <x:v>镇区</x:v>
      </x:c>
      <x:c r="S100" s="2" t="str">
        <x:v>day</x:v>
      </x:c>
      <x:c r="T100" s="2"/>
      <x:c r="U100" s="2"/>
      <x:c r="V100" s="9"/>
      <x:c r="W100" s="9"/>
      <x:c r="X100" s="9"/>
      <x:c r="Y100" s="2"/>
      <x:c r="Z100" s="2"/>
      <x:c r="AA100" s="9" t="n">
        <x:v>20</x:v>
      </x:c>
      <x:c r="AB100" s="2" t="str">
        <x:v>男</x:v>
      </x:c>
      <x:c r="AC100" s="2"/>
      <x:c r="AD100" s="7"/>
      <x:c r="AE100" s="2" t="str"/>
      <x:c r="AF100" s="2" t="str">
        <x:v>未知</x:v>
      </x:c>
      <x:c r="AG100" s="2" t="str">
        <x:v>警方称有精神病史，未披露司法责任能力鉴定。</x:v>
      </x:c>
      <x:c r="AH100" s="2"/>
      <x:c r="AI100" s="2"/>
      <x:c r="AJ100" s="2" t="str">
        <x:v>警方抓获，伤者送医。</x:v>
      </x:c>
      <x:c r="AK100" s="2" t="str">
        <x:v>侦办中。</x:v>
      </x:c>
      <x:c r="AL100" s="10"/>
      <x:c r="AM100" s="10"/>
      <x:c r="AN100" s="10" t="n">
        <x:v>45146</x:v>
      </x:c>
      <x:c r="AO100" s="2" t="str">
        <x:v>官方转载</x:v>
      </x:c>
      <x:c r="AP100" s="7" t="str">
        <x:v>BS47</x:v>
      </x:c>
      <x:c r="AQ100" s="7" t="str">
        <x:v>{"date":["BS47"],"location":["BS47"],"casualties":["BS47"],"classification":["BS47"],"motive":[],"outcome":["BS47"]}</x:v>
      </x:c>
      <x:c r="AR100" s="2"/>
      <x:c r="AS100" s="9"/>
      <x:c r="AT100" s="9"/>
      <x:c r="AU100" s="9"/>
      <x:c r="AV100" s="2"/>
      <x:c r="AW100" s="2"/>
      <x:c r="AX100" s="9"/>
      <x:c r="AY100" s="10"/>
      <x:c r="AZ100" s="7"/>
      <x:c r="BA100" s="7"/>
      <x:c r="BB100" s="7"/>
      <x:c r="BC100" s="7"/>
      <x:c r="BD100" s="2" t="str">
        <x:v>是</x:v>
      </x:c>
      <x:c r="BE100" s="2" t="str">
        <x:v>是</x:v>
      </x:c>
      <x:c r="BF100" s="2" t="str">
        <x:v>官方事实直接支持</x:v>
      </x:c>
      <x:c r="BG100" s="2" t="str"/>
      <x:c r="BH100" s="9" t="n">
        <x:v>2023</x:v>
      </x:c>
      <x:c r="BI100" s="9" t="n">
        <x:v>2</x:v>
      </x:c>
      <x:c r="BJ100" s="9" t="n">
        <x:v>7</x:v>
      </x:c>
      <x:c r="BK100" s="9" t="n">
        <x:v>1</x:v>
      </x:c>
      <x:c r="BL100" s="9" t="n">
        <x:v>0</x:v>
      </x:c>
      <x:c r="BM100" s="9" t="n">
        <x:v>1</x:v>
      </x:c>
      <x:c r="BN100" s="9" t="n">
        <x:v>0</x:v>
      </x:c>
      <x:c r="BO100" s="9" t="n">
        <x:v>0</x:v>
      </x:c>
    </x:row>
    <x:row r="101" ht="38" customHeight="1">
      <x:c r="A101" s="2" t="str">
        <x:v>B45</x:v>
      </x:c>
      <x:c r="B101" s="2" t="str">
        <x:v>2023-08-17</x:v>
      </x:c>
      <x:c r="C101" s="7" t="str">
        <x:v>湖北枣阳万象城附近沿街持刀伤人事件</x:v>
      </x:c>
      <x:c r="D101" s="2" t="str">
        <x:v>湖北</x:v>
      </x:c>
      <x:c r="E101" s="2" t="str">
        <x:v>襄阳</x:v>
      </x:c>
      <x:c r="F101" s="2" t="str">
        <x:v>pending</x:v>
      </x:c>
      <x:c r="G101" s="2" t="str">
        <x:v>街道交通</x:v>
      </x:c>
      <x:c r="H101" s="2" t="str">
        <x:v>持械</x:v>
      </x:c>
      <x:c r="I101" s="9"/>
      <x:c r="J101" s="9" t="n">
        <x:v>4</x:v>
      </x:c>
      <x:c r="K101" s="2"/>
      <x:c r="L101" s="9"/>
      <x:c r="M101" s="9"/>
      <x:c r="N101" s="10" t="n">
        <x:v>45155</x:v>
      </x:c>
      <x:c r="O101" s="7" t="str">
        <x:v>4伤来自目击者，非官方最终数字；是否死亡未见可靠说明。</x:v>
      </x:c>
      <x:c r="P101" s="7" t="str">
        <x:v>目击采访支持沿街攻击路人，但目前只有同一电视报道转载，未满足独立多源或官方证据标准。</x:v>
      </x:c>
      <x:c r="Q101" s="2" t="str">
        <x:v>枣阳市</x:v>
      </x:c>
      <x:c r="R101" s="2" t="str">
        <x:v>城市</x:v>
      </x:c>
      <x:c r="S101" s="2" t="str">
        <x:v>day</x:v>
      </x:c>
      <x:c r="T101" s="2"/>
      <x:c r="U101" s="2"/>
      <x:c r="V101" s="9"/>
      <x:c r="W101" s="9"/>
      <x:c r="X101" s="9"/>
      <x:c r="Y101" s="2"/>
      <x:c r="Z101" s="2" t="str">
        <x:v>报道称老年人及女性路人</x:v>
      </x:c>
      <x:c r="AA101" s="9"/>
      <x:c r="AB101" s="2" t="str">
        <x:v>男</x:v>
      </x:c>
      <x:c r="AC101" s="2"/>
      <x:c r="AD101" s="7"/>
      <x:c r="AE101" s="2" t="str"/>
      <x:c r="AF101" s="2" t="str">
        <x:v>未知</x:v>
      </x:c>
      <x:c r="AG101" s="2"/>
      <x:c r="AH101" s="2"/>
      <x:c r="AI101" s="2"/>
      <x:c r="AJ101" s="2" t="str">
        <x:v>商户泼水阻止，群众报警。</x:v>
      </x:c>
      <x:c r="AK101" s="2"/>
      <x:c r="AL101" s="10"/>
      <x:c r="AM101" s="10"/>
      <x:c r="AN101" s="10" t="n">
        <x:v>45155</x:v>
      </x:c>
      <x:c r="AO101" s="2" t="str">
        <x:v>单一媒体</x:v>
      </x:c>
      <x:c r="AP101" s="7" t="str">
        <x:v>BS48</x:v>
      </x:c>
      <x:c r="AQ101" s="7" t="str">
        <x:v>{"date":["BS48"],"location":["BS48"],"casualties":["BS48"],"classification":["BS48"],"motive":[],"outcome":["BS48"]}</x:v>
      </x:c>
      <x:c r="AR101" s="2"/>
      <x:c r="AS101" s="9"/>
      <x:c r="AT101" s="9"/>
      <x:c r="AU101" s="9"/>
      <x:c r="AV101" s="2"/>
      <x:c r="AW101" s="2"/>
      <x:c r="AX101" s="9"/>
      <x:c r="AY101" s="10"/>
      <x:c r="AZ101" s="7"/>
      <x:c r="BA101" s="7"/>
      <x:c r="BB101" s="7"/>
      <x:c r="BC101" s="7" t="str">
        <x:v>不采信目击者关于精神病的猜测。</x:v>
      </x:c>
      <x:c r="BD101" s="2" t="str">
        <x:v>否</x:v>
      </x:c>
      <x:c r="BE101" s="2" t="str">
        <x:v>否</x:v>
      </x:c>
      <x:c r="BF101" s="2" t="str">
        <x:v>媒体调查／研究推断</x:v>
      </x:c>
      <x:c r="BG101" s="2" t="str"/>
      <x:c r="BH101" s="9" t="n">
        <x:v>2023</x:v>
      </x:c>
      <x:c r="BI101" s="9" t="n">
        <x:v>0</x:v>
      </x:c>
      <x:c r="BJ101" s="9" t="n">
        <x:v>4</x:v>
      </x:c>
      <x:c r="BK101" s="9" t="n">
        <x:v>0</x:v>
      </x:c>
      <x:c r="BL101" s="9" t="n">
        <x:v>0</x:v>
      </x:c>
      <x:c r="BM101" s="9" t="n">
        <x:v>1</x:v>
      </x:c>
      <x:c r="BN101" s="9" t="n">
        <x:v>1</x:v>
      </x:c>
      <x:c r="BO101" s="9" t="n">
        <x:v>0</x:v>
      </x:c>
    </x:row>
    <x:row r="102" ht="38" customHeight="1">
      <x:c r="A102" s="2" t="str">
        <x:v>B47</x:v>
      </x:c>
      <x:c r="B102" s="2" t="str">
        <x:v>2023-11-09</x:v>
      </x:c>
      <x:c r="C102" s="7" t="str">
        <x:v>深圳龙华大浪广场附近持刀伤人案</x:v>
      </x:c>
      <x:c r="D102" s="2" t="str">
        <x:v>广东</x:v>
      </x:c>
      <x:c r="E102" s="2" t="str">
        <x:v>深圳</x:v>
      </x:c>
      <x:c r="F102" s="2" t="str">
        <x:v>pending</x:v>
      </x:c>
      <x:c r="G102" s="2" t="str">
        <x:v>公园广场</x:v>
      </x:c>
      <x:c r="H102" s="2" t="str">
        <x:v>持械</x:v>
      </x:c>
      <x:c r="I102" s="9" t="n">
        <x:v>1</x:v>
      </x:c>
      <x:c r="J102" s="9" t="n">
        <x:v>3</x:v>
      </x:c>
      <x:c r="K102" s="2"/>
      <x:c r="L102" s="9"/>
      <x:c r="M102" s="9"/>
      <x:c r="N102" s="10" t="n">
        <x:v>45239</x:v>
      </x:c>
      <x:c r="O102" s="7"/>
      <x:c r="P102" s="7" t="str">
        <x:v>事件伤亡获警方确认，但起因和对象关系未披露。</x:v>
      </x:c>
      <x:c r="Q102" s="2" t="str">
        <x:v>龙华区</x:v>
      </x:c>
      <x:c r="R102" s="2" t="str">
        <x:v>城市</x:v>
      </x:c>
      <x:c r="S102" s="2" t="str">
        <x:v>day</x:v>
      </x:c>
      <x:c r="T102" s="2"/>
      <x:c r="U102" s="2"/>
      <x:c r="V102" s="9"/>
      <x:c r="W102" s="9"/>
      <x:c r="X102" s="9"/>
      <x:c r="Y102" s="2"/>
      <x:c r="Z102" s="2"/>
      <x:c r="AA102" s="9" t="n">
        <x:v>37</x:v>
      </x:c>
      <x:c r="AB102" s="2" t="str">
        <x:v>男</x:v>
      </x:c>
      <x:c r="AC102" s="2"/>
      <x:c r="AD102" s="7"/>
      <x:c r="AE102" s="2" t="str"/>
      <x:c r="AF102" s="2" t="str">
        <x:v>未知</x:v>
      </x:c>
      <x:c r="AG102" s="2"/>
      <x:c r="AH102" s="2"/>
      <x:c r="AI102" s="2"/>
      <x:c r="AJ102" s="2" t="str">
        <x:v>警方现场抓获，伤者送医。</x:v>
      </x:c>
      <x:c r="AK102" s="2" t="str">
        <x:v>侦办中。</x:v>
      </x:c>
      <x:c r="AL102" s="10"/>
      <x:c r="AM102" s="10"/>
      <x:c r="AN102" s="10" t="n">
        <x:v>45239</x:v>
      </x:c>
      <x:c r="AO102" s="2" t="str">
        <x:v>官方转载</x:v>
      </x:c>
      <x:c r="AP102" s="7" t="str">
        <x:v>BS50</x:v>
      </x:c>
      <x:c r="AQ102" s="7" t="str">
        <x:v>{"date":["BS50"],"location":["BS50"],"casualties":["BS50"],"classification":["BS50"],"motive":[],"outcome":["BS50"]}</x:v>
      </x:c>
      <x:c r="AR102" s="2"/>
      <x:c r="AS102" s="9"/>
      <x:c r="AT102" s="9"/>
      <x:c r="AU102" s="9"/>
      <x:c r="AV102" s="2"/>
      <x:c r="AW102" s="2"/>
      <x:c r="AX102" s="9"/>
      <x:c r="AY102" s="10"/>
      <x:c r="AZ102" s="7"/>
      <x:c r="BA102" s="7"/>
      <x:c r="BB102" s="7"/>
      <x:c r="BC102" s="7" t="str">
        <x:v>部分汇编称20时，按警方通报18时。</x:v>
      </x:c>
      <x:c r="BD102" s="2" t="str">
        <x:v>是</x:v>
      </x:c>
      <x:c r="BE102" s="2" t="str">
        <x:v>否</x:v>
      </x:c>
      <x:c r="BF102" s="2" t="str">
        <x:v>媒体调查／研究推断</x:v>
      </x:c>
      <x:c r="BG102" s="2" t="str"/>
      <x:c r="BH102" s="9" t="n">
        <x:v>2023</x:v>
      </x:c>
      <x:c r="BI102" s="9" t="n">
        <x:v>1</x:v>
      </x:c>
      <x:c r="BJ102" s="9" t="n">
        <x:v>3</x:v>
      </x:c>
      <x:c r="BK102" s="9" t="n">
        <x:v>0</x:v>
      </x:c>
      <x:c r="BL102" s="9" t="n">
        <x:v>0</x:v>
      </x:c>
      <x:c r="BM102" s="9" t="n">
        <x:v>0</x:v>
      </x:c>
      <x:c r="BN102" s="9" t="n">
        <x:v>0</x:v>
      </x:c>
      <x:c r="BO102" s="9" t="n">
        <x:v>0</x:v>
      </x:c>
    </x:row>
    <x:row r="103" ht="38" customHeight="1">
      <x:c r="A103" s="2" t="str">
        <x:v>B46</x:v>
      </x:c>
      <x:c r="B103" s="2" t="str">
        <x:v>2023-12-24</x:v>
      </x:c>
      <x:c r="C103" s="7" t="str">
        <x:v>成都新都同福路持刀伤人案</x:v>
      </x:c>
      <x:c r="D103" s="2" t="str">
        <x:v>四川</x:v>
      </x:c>
      <x:c r="E103" s="2" t="str">
        <x:v>成都</x:v>
      </x:c>
      <x:c r="F103" s="2" t="str">
        <x:v>pending</x:v>
      </x:c>
      <x:c r="G103" s="2" t="str">
        <x:v>街道交通</x:v>
      </x:c>
      <x:c r="H103" s="2" t="str">
        <x:v>持械</x:v>
      </x:c>
      <x:c r="I103" s="9" t="n">
        <x:v>0</x:v>
      </x:c>
      <x:c r="J103" s="9"/>
      <x:c r="K103" s="2"/>
      <x:c r="L103" s="9"/>
      <x:c r="M103" s="9"/>
      <x:c r="N103" s="10" t="n">
        <x:v>45284</x:v>
      </x:c>
      <x:c r="O103" s="7" t="str">
        <x:v>通报未给伤者数，不采用汇编的5伤。</x:v>
      </x:c>
      <x:c r="P103" s="7" t="str">
        <x:v>官方确认事件但未披露确切人数或受害者关系，不能仅凭地点和精神病史推断随机。</x:v>
      </x:c>
      <x:c r="Q103" s="2" t="str">
        <x:v>新都区</x:v>
      </x:c>
      <x:c r="R103" s="2" t="str">
        <x:v>城市</x:v>
      </x:c>
      <x:c r="S103" s="2" t="str">
        <x:v>day</x:v>
      </x:c>
      <x:c r="T103" s="2"/>
      <x:c r="U103" s="2"/>
      <x:c r="V103" s="9"/>
      <x:c r="W103" s="9"/>
      <x:c r="X103" s="9"/>
      <x:c r="Y103" s="2"/>
      <x:c r="Z103" s="2"/>
      <x:c r="AA103" s="9" t="n">
        <x:v>21</x:v>
      </x:c>
      <x:c r="AB103" s="2" t="str">
        <x:v>男</x:v>
      </x:c>
      <x:c r="AC103" s="2"/>
      <x:c r="AD103" s="7"/>
      <x:c r="AE103" s="2" t="str"/>
      <x:c r="AF103" s="2" t="str">
        <x:v>未知</x:v>
      </x:c>
      <x:c r="AG103" s="2" t="str">
        <x:v>警方称有精神病史；无刑责鉴定。</x:v>
      </x:c>
      <x:c r="AH103" s="2"/>
      <x:c r="AI103" s="2"/>
      <x:c r="AJ103" s="2" t="str">
        <x:v>现场群众制服后警方控制。</x:v>
      </x:c>
      <x:c r="AK103" s="2" t="str">
        <x:v>侦办中。</x:v>
      </x:c>
      <x:c r="AL103" s="10"/>
      <x:c r="AM103" s="10"/>
      <x:c r="AN103" s="10" t="n">
        <x:v>45284</x:v>
      </x:c>
      <x:c r="AO103" s="2" t="str">
        <x:v>官方转载</x:v>
      </x:c>
      <x:c r="AP103" s="7" t="str">
        <x:v>BS49</x:v>
      </x:c>
      <x:c r="AQ103" s="7" t="str">
        <x:v>{"date":["BS49"],"location":["BS49"],"casualties":["BS49"],"classification":["BS49"],"motive":[],"outcome":["BS49"]}</x:v>
      </x:c>
      <x:c r="AR103" s="2"/>
      <x:c r="AS103" s="9"/>
      <x:c r="AT103" s="9"/>
      <x:c r="AU103" s="9"/>
      <x:c r="AV103" s="2"/>
      <x:c r="AW103" s="2"/>
      <x:c r="AX103" s="9"/>
      <x:c r="AY103" s="10"/>
      <x:c r="AZ103" s="7"/>
      <x:c r="BA103" s="7"/>
      <x:c r="BB103" s="7"/>
      <x:c r="BC103" s="7"/>
      <x:c r="BD103" s="2" t="str">
        <x:v>是</x:v>
      </x:c>
      <x:c r="BE103" s="2" t="str">
        <x:v>否</x:v>
      </x:c>
      <x:c r="BF103" s="2" t="str">
        <x:v>媒体调查／研究推断</x:v>
      </x:c>
      <x:c r="BG103" s="2" t="str"/>
      <x:c r="BH103" s="9" t="n">
        <x:v>2023</x:v>
      </x:c>
      <x:c r="BI103" s="9" t="n">
        <x:v>0</x:v>
      </x:c>
      <x:c r="BJ103" s="9" t="n">
        <x:v>0</x:v>
      </x:c>
      <x:c r="BK103" s="9" t="n">
        <x:v>0</x:v>
      </x:c>
      <x:c r="BL103" s="9" t="n">
        <x:v>0</x:v>
      </x:c>
      <x:c r="BM103" s="9" t="n">
        <x:v>0</x:v>
      </x:c>
      <x:c r="BN103" s="9" t="n">
        <x:v>0</x:v>
      </x:c>
      <x:c r="BO103" s="9" t="n">
        <x:v>1</x:v>
      </x:c>
    </x:row>
    <x:row r="104" ht="38" customHeight="1">
      <x:c r="A104" s="2" t="str">
        <x:v>C005</x:v>
      </x:c>
      <x:c r="B104" s="2" t="str">
        <x:v>2024-03-01</x:v>
      </x:c>
      <x:c r="C104" s="7" t="str">
        <x:v>德州安居苑道路车辆撞人事件</x:v>
      </x:c>
      <x:c r="D104" s="2" t="str">
        <x:v>山东</x:v>
      </x:c>
      <x:c r="E104" s="2" t="str">
        <x:v>德州</x:v>
      </x:c>
      <x:c r="F104" s="2" t="str">
        <x:v>pending</x:v>
      </x:c>
      <x:c r="G104" s="2" t="str">
        <x:v>街道交通</x:v>
      </x:c>
      <x:c r="H104" s="2" t="str">
        <x:v>驾车</x:v>
      </x:c>
      <x:c r="I104" s="9" t="n">
        <x:v>2</x:v>
      </x:c>
      <x:c r="J104" s="9"/>
      <x:c r="K104" s="2" t="str">
        <x:v>6人重伤；其他伤者人数未见明确披露</x:v>
      </x:c>
      <x:c r="L104" s="9" t="n">
        <x:v>6</x:v>
      </x:c>
      <x:c r="M104" s="9"/>
      <x:c r="N104" s="10" t="n">
        <x:v>45352</x:v>
      </x:c>
      <x:c r="O104" s="7"/>
      <x:c r="P104" s="7" t="str">
        <x:v>警方确认车辆冲撞及伤亡，公开报道仍称交通肇事；未取得可证明故意袭击或随机性的裁判材料。</x:v>
      </x:c>
      <x:c r="Q104" s="2" t="str">
        <x:v>德城区</x:v>
      </x:c>
      <x:c r="R104" s="2" t="str">
        <x:v>城市</x:v>
      </x:c>
      <x:c r="S104" s="2" t="str">
        <x:v>day</x:v>
      </x:c>
      <x:c r="T104" s="2"/>
      <x:c r="U104" s="2"/>
      <x:c r="V104" s="9" t="n">
        <x:v>6</x:v>
      </x:c>
      <x:c r="W104" s="9"/>
      <x:c r="X104" s="9"/>
      <x:c r="Y104" s="2"/>
      <x:c r="Z104" s="2"/>
      <x:c r="AA104" s="9"/>
      <x:c r="AB104" s="2"/>
      <x:c r="AC104" s="2"/>
      <x:c r="AD104" s="7"/>
      <x:c r="AE104" s="2" t="str"/>
      <x:c r="AF104" s="2" t="str">
        <x:v>未知</x:v>
      </x:c>
      <x:c r="AG104" s="2"/>
      <x:c r="AH104" s="2"/>
      <x:c r="AI104" s="2"/>
      <x:c r="AJ104" s="2" t="str">
        <x:v>驾驶人当场被抓</x:v>
      </x:c>
      <x:c r="AK104" s="2"/>
      <x:c r="AL104" s="10"/>
      <x:c r="AM104" s="10"/>
      <x:c r="AN104" s="10" t="n">
        <x:v>45352</x:v>
      </x:c>
      <x:c r="AO104" s="2" t="str">
        <x:v>官方转载</x:v>
      </x:c>
      <x:c r="AP104" s="7" t="str">
        <x:v>CS008</x:v>
      </x:c>
      <x:c r="AQ104" s="7" t="str">
        <x:v>{"date":["CS008"],"location":["CS008"],"casualties":["CS008"],"classification":["CS008"],"motive":[],"outcome":[]}</x:v>
      </x:c>
      <x:c r="AR104" s="2"/>
      <x:c r="AS104" s="9"/>
      <x:c r="AT104" s="9"/>
      <x:c r="AU104" s="9"/>
      <x:c r="AV104" s="2"/>
      <x:c r="AW104" s="2"/>
      <x:c r="AX104" s="9"/>
      <x:c r="AY104" s="10"/>
      <x:c r="AZ104" s="7"/>
      <x:c r="BA104" s="7"/>
      <x:c r="BB104" s="7"/>
      <x:c r="BC104" s="7" t="str">
        <x:v>6为已披露重伤人数；不把网上所传十余儿童或同名旧案拼接为本案事实。</x:v>
      </x:c>
      <x:c r="BD104" s="2" t="str">
        <x:v>是</x:v>
      </x:c>
      <x:c r="BE104" s="2" t="str">
        <x:v>否</x:v>
      </x:c>
      <x:c r="BF104" s="2" t="str">
        <x:v>媒体调查／研究推断</x:v>
      </x:c>
      <x:c r="BG104" s="2" t="str"/>
      <x:c r="BH104" s="9" t="n">
        <x:v>2024</x:v>
      </x:c>
      <x:c r="BI104" s="9" t="n">
        <x:v>2</x:v>
      </x:c>
      <x:c r="BJ104" s="9" t="n">
        <x:v>6</x:v>
      </x:c>
      <x:c r="BK104" s="9" t="n">
        <x:v>0</x:v>
      </x:c>
      <x:c r="BL104" s="9" t="n">
        <x:v>0</x:v>
      </x:c>
      <x:c r="BM104" s="9" t="n">
        <x:v>1</x:v>
      </x:c>
      <x:c r="BN104" s="9" t="n">
        <x:v>0</x:v>
      </x:c>
      <x:c r="BO104" s="9" t="n">
        <x:v>1</x:v>
      </x:c>
    </x:row>
    <x:row r="105" ht="38" customHeight="1">
      <x:c r="A105" s="2" t="str">
        <x:v>C009</x:v>
      </x:c>
      <x:c r="B105" s="2" t="str">
        <x:v>2024-03-04</x:v>
      </x:c>
      <x:c r="C105" s="7" t="str">
        <x:v>祁东三友小学持刀袭击报道</x:v>
      </x:c>
      <x:c r="D105" s="2" t="str">
        <x:v>湖南</x:v>
      </x:c>
      <x:c r="E105" s="2" t="str">
        <x:v>衡阳</x:v>
      </x:c>
      <x:c r="F105" s="2" t="str">
        <x:v>pending</x:v>
      </x:c>
      <x:c r="G105" s="2" t="str">
        <x:v>校园及周边</x:v>
      </x:c>
      <x:c r="H105" s="2" t="str">
        <x:v>持械</x:v>
      </x:c>
      <x:c r="I105" s="9"/>
      <x:c r="J105" s="9"/>
      <x:c r="K105" s="2"/>
      <x:c r="L105" s="9"/>
      <x:c r="M105" s="9"/>
      <x:c r="N105" s="10" t="n">
        <x:v>45363</x:v>
      </x:c>
      <x:c r="O105" s="7" t="str">
        <x:v>单一媒体称1死1伤；未作为核实数字。</x:v>
      </x:c>
      <x:c r="P105" s="7" t="str">
        <x:v>独立记者采访的单一报道可见存档，缺第二独立采集来源及完整官方确认。</x:v>
      </x:c>
      <x:c r="Q105" s="2" t="str">
        <x:v>祁东县</x:v>
      </x:c>
      <x:c r="R105" s="2" t="str">
        <x:v>乡镇</x:v>
      </x:c>
      <x:c r="S105" s="2" t="str">
        <x:v>day</x:v>
      </x:c>
      <x:c r="T105" s="2"/>
      <x:c r="U105" s="2"/>
      <x:c r="V105" s="9"/>
      <x:c r="W105" s="9"/>
      <x:c r="X105" s="9"/>
      <x:c r="Y105" s="2" t="str">
        <x:v>是</x:v>
      </x:c>
      <x:c r="Z105" s="2" t="str">
        <x:v>据报为用餐小学生</x:v>
      </x:c>
      <x:c r="AA105" s="9"/>
      <x:c r="AB105" s="2" t="str">
        <x:v>男</x:v>
      </x:c>
      <x:c r="AC105" s="2"/>
      <x:c r="AD105" s="7"/>
      <x:c r="AE105" s="2" t="str"/>
      <x:c r="AF105" s="2" t="str">
        <x:v>未知</x:v>
      </x:c>
      <x:c r="AG105" s="2" t="str">
        <x:v>村民称有精神疾病，未经司法鉴定确认</x:v>
      </x:c>
      <x:c r="AH105" s="2" t="str">
        <x:v>报道村民称前一年曾入校划伤学生，未取得独立核证</x:v>
      </x:c>
      <x:c r="AI105" s="2" t="str">
        <x:v>上述既往袭击及保安离岗仅属单一采访说法</x:v>
      </x:c>
      <x:c r="AJ105" s="2"/>
      <x:c r="AK105" s="2"/>
      <x:c r="AL105" s="10"/>
      <x:c r="AM105" s="10"/>
      <x:c r="AN105" s="10" t="n">
        <x:v>45363</x:v>
      </x:c>
      <x:c r="AO105" s="2" t="str">
        <x:v>单一媒体</x:v>
      </x:c>
      <x:c r="AP105" s="7" t="str">
        <x:v>CS015</x:v>
      </x:c>
      <x:c r="AQ105" s="7" t="str">
        <x:v>{"date":["CS015"],"location":["CS015"],"casualties":["CS015"],"classification":["CS015"],"motive":[],"outcome":[]}</x:v>
      </x:c>
      <x:c r="AR105" s="2"/>
      <x:c r="AS105" s="9"/>
      <x:c r="AT105" s="9"/>
      <x:c r="AU105" s="9"/>
      <x:c r="AV105" s="2"/>
      <x:c r="AW105" s="2"/>
      <x:c r="AX105" s="9"/>
      <x:c r="AY105" s="10"/>
      <x:c r="AZ105" s="7"/>
      <x:c r="BA105" s="7"/>
      <x:c r="BB105" s="7"/>
      <x:c r="BC105" s="7"/>
      <x:c r="BD105" s="2" t="str">
        <x:v>否</x:v>
      </x:c>
      <x:c r="BE105" s="2" t="str">
        <x:v>否</x:v>
      </x:c>
      <x:c r="BF105" s="2" t="str">
        <x:v>媒体调查／研究推断</x:v>
      </x:c>
      <x:c r="BG105" s="2" t="str"/>
      <x:c r="BH105" s="9" t="n">
        <x:v>2024</x:v>
      </x:c>
      <x:c r="BI105" s="9" t="n">
        <x:v>0</x:v>
      </x:c>
      <x:c r="BJ105" s="9" t="n">
        <x:v>0</x:v>
      </x:c>
      <x:c r="BK105" s="9" t="n">
        <x:v>0</x:v>
      </x:c>
      <x:c r="BL105" s="9" t="n">
        <x:v>0</x:v>
      </x:c>
      <x:c r="BM105" s="9" t="n">
        <x:v>1</x:v>
      </x:c>
      <x:c r="BN105" s="9" t="n">
        <x:v>1</x:v>
      </x:c>
      <x:c r="BO105" s="9" t="n">
        <x:v>1</x:v>
      </x:c>
    </x:row>
    <x:row r="106" ht="38" customHeight="1">
      <x:c r="A106" s="2" t="str">
        <x:v>C006</x:v>
      </x:c>
      <x:c r="B106" s="2" t="str">
        <x:v>2024-03-19</x:v>
      </x:c>
      <x:c r="C106" s="7" t="str">
        <x:v>台州职业技术学院车辆冲撞事件</x:v>
      </x:c>
      <x:c r="D106" s="2" t="str">
        <x:v>浙江</x:v>
      </x:c>
      <x:c r="E106" s="2" t="str">
        <x:v>台州</x:v>
      </x:c>
      <x:c r="F106" s="2" t="str">
        <x:v>pending</x:v>
      </x:c>
      <x:c r="G106" s="2" t="str">
        <x:v>校园及周边</x:v>
      </x:c>
      <x:c r="H106" s="2" t="str">
        <x:v>驾车</x:v>
      </x:c>
      <x:c r="I106" s="9" t="n">
        <x:v>3</x:v>
      </x:c>
      <x:c r="J106" s="9" t="n">
        <x:v>16</x:v>
      </x:c>
      <x:c r="K106" s="2"/>
      <x:c r="L106" s="9"/>
      <x:c r="M106" s="9"/>
      <x:c r="N106" s="10" t="n">
        <x:v>45381</x:v>
      </x:c>
      <x:c r="O106" s="7"/>
      <x:c r="P106" s="7" t="str">
        <x:v>媒体有学生访谈和疑似威胁聊天截图，但尚未取得明确故意性及随机性司法认定；保守待核。</x:v>
      </x:c>
      <x:c r="Q106" s="2" t="str">
        <x:v>椒江区</x:v>
      </x:c>
      <x:c r="R106" s="2" t="str">
        <x:v>城市</x:v>
      </x:c>
      <x:c r="S106" s="2" t="str">
        <x:v>day</x:v>
      </x:c>
      <x:c r="T106" s="2"/>
      <x:c r="U106" s="2"/>
      <x:c r="V106" s="9"/>
      <x:c r="W106" s="9"/>
      <x:c r="X106" s="9"/>
      <x:c r="Y106" s="2"/>
      <x:c r="Z106" s="2" t="str">
        <x:v>校内学生</x:v>
      </x:c>
      <x:c r="AA106" s="9"/>
      <x:c r="AB106" s="2" t="str">
        <x:v>男</x:v>
      </x:c>
      <x:c r="AC106" s="2" t="str">
        <x:v>该校学生</x:v>
      </x:c>
      <x:c r="AD106" s="7"/>
      <x:c r="AE106" s="2" t="str"/>
      <x:c r="AF106" s="2" t="str">
        <x:v>未知</x:v>
      </x:c>
      <x:c r="AG106" s="2"/>
      <x:c r="AH106" s="2"/>
      <x:c r="AI106" s="2" t="str">
        <x:v>三联采访同学辨认疑似随机攻击威胁聊天；真实性尚待司法证据核验。</x:v>
      </x:c>
      <x:c r="AJ106" s="2"/>
      <x:c r="AK106" s="2"/>
      <x:c r="AL106" s="10"/>
      <x:c r="AM106" s="10"/>
      <x:c r="AN106" s="10" t="n">
        <x:v>45381</x:v>
      </x:c>
      <x:c r="AO106" s="2" t="str">
        <x:v>官方转载</x:v>
      </x:c>
      <x:c r="AP106" s="7" t="str">
        <x:v>CS009；CS010</x:v>
      </x:c>
      <x:c r="AQ106" s="7" t="str">
        <x:v>{"date":["CS009","CS010"],"location":["CS009","CS010"],"casualties":["CS009","CS010"],"classification":["CS009","CS010"],"motive":[],"outcome":[]}</x:v>
      </x:c>
      <x:c r="AR106" s="2"/>
      <x:c r="AS106" s="9"/>
      <x:c r="AT106" s="9"/>
      <x:c r="AU106" s="9"/>
      <x:c r="AV106" s="2"/>
      <x:c r="AW106" s="2"/>
      <x:c r="AX106" s="9"/>
      <x:c r="AY106" s="10"/>
      <x:c r="AZ106" s="7"/>
      <x:c r="BA106" s="7"/>
      <x:c r="BB106" s="7"/>
      <x:c r="BC106" s="7" t="str">
        <x:v>官方通报完整转载已补得；2026年安全保卫研究文章的相关页面访问失败，未把搜索摘要的故意冲卡描述当正式结论。</x:v>
      </x:c>
      <x:c r="BD106" s="2" t="str">
        <x:v>是</x:v>
      </x:c>
      <x:c r="BE106" s="2" t="str">
        <x:v>否</x:v>
      </x:c>
      <x:c r="BF106" s="2" t="str">
        <x:v>媒体调查／研究推断</x:v>
      </x:c>
      <x:c r="BG106" s="2" t="str"/>
      <x:c r="BH106" s="9" t="n">
        <x:v>2024</x:v>
      </x:c>
      <x:c r="BI106" s="9" t="n">
        <x:v>3</x:v>
      </x:c>
      <x:c r="BJ106" s="9" t="n">
        <x:v>16</x:v>
      </x:c>
      <x:c r="BK106" s="9" t="n">
        <x:v>0</x:v>
      </x:c>
      <x:c r="BL106" s="9" t="n">
        <x:v>0</x:v>
      </x:c>
      <x:c r="BM106" s="9" t="n">
        <x:v>1</x:v>
      </x:c>
      <x:c r="BN106" s="9" t="n">
        <x:v>0</x:v>
      </x:c>
      <x:c r="BO106" s="9" t="n">
        <x:v>0</x:v>
      </x:c>
    </x:row>
    <x:row r="107" ht="38" customHeight="1">
      <x:c r="A107" s="2" t="str">
        <x:v>C030</x:v>
      </x:c>
      <x:c r="B107" s="2" t="str">
        <x:v>2024-04-10</x:v>
      </x:c>
      <x:c r="C107" s="7" t="str">
        <x:v>吉安翠岭路持刀伤人案</x:v>
      </x:c>
      <x:c r="D107" s="2" t="str">
        <x:v>江西</x:v>
      </x:c>
      <x:c r="E107" s="2" t="str">
        <x:v>吉安</x:v>
      </x:c>
      <x:c r="F107" s="2" t="str">
        <x:v>pending</x:v>
      </x:c>
      <x:c r="G107" s="2" t="str">
        <x:v>街道交通</x:v>
      </x:c>
      <x:c r="H107" s="2" t="str">
        <x:v>持械</x:v>
      </x:c>
      <x:c r="I107" s="9" t="n">
        <x:v>0</x:v>
      </x:c>
      <x:c r="J107" s="9" t="n">
        <x:v>2</x:v>
      </x:c>
      <x:c r="K107" s="2"/>
      <x:c r="L107" s="9"/>
      <x:c r="M107" s="9"/>
      <x:c r="N107" s="10" t="n">
        <x:v>45392</x:v>
      </x:c>
      <x:c r="O107" s="7"/>
      <x:c r="P107" s="7" t="str">
        <x:v>官方称伤害路人，但未交代双方关系；路人称谓不足以单独证明不特定目标。</x:v>
      </x:c>
      <x:c r="Q107" s="2" t="str">
        <x:v>吉州区</x:v>
      </x:c>
      <x:c r="R107" s="2" t="str">
        <x:v>城市</x:v>
      </x:c>
      <x:c r="S107" s="2" t="str">
        <x:v>day</x:v>
      </x:c>
      <x:c r="T107" s="2"/>
      <x:c r="U107" s="2"/>
      <x:c r="V107" s="9"/>
      <x:c r="W107" s="9"/>
      <x:c r="X107" s="9"/>
      <x:c r="Y107" s="2"/>
      <x:c r="Z107" s="2"/>
      <x:c r="AA107" s="9" t="n">
        <x:v>38</x:v>
      </x:c>
      <x:c r="AB107" s="2" t="str">
        <x:v>男</x:v>
      </x:c>
      <x:c r="AC107" s="2"/>
      <x:c r="AD107" s="7"/>
      <x:c r="AE107" s="2" t="str"/>
      <x:c r="AF107" s="2" t="str">
        <x:v>未知</x:v>
      </x:c>
      <x:c r="AG107" s="2"/>
      <x:c r="AH107" s="2"/>
      <x:c r="AI107" s="2"/>
      <x:c r="AJ107" s="2"/>
      <x:c r="AK107" s="2" t="str">
        <x:v>余某逃匿后被抓。</x:v>
      </x:c>
      <x:c r="AL107" s="10"/>
      <x:c r="AM107" s="10"/>
      <x:c r="AN107" s="10" t="n">
        <x:v>45393</x:v>
      </x:c>
      <x:c r="AO107" s="2" t="str">
        <x:v>官方转载</x:v>
      </x:c>
      <x:c r="AP107" s="7" t="str">
        <x:v>CS041</x:v>
      </x:c>
      <x:c r="AQ107" s="7" t="str">
        <x:v>{"date":["CS041"],"location":["CS041"],"casualties":["CS041"],"classification":["CS041"],"motive":[],"outcome":["CS041"]}</x:v>
      </x:c>
      <x:c r="AR107" s="2"/>
      <x:c r="AS107" s="9"/>
      <x:c r="AT107" s="9"/>
      <x:c r="AU107" s="9"/>
      <x:c r="AV107" s="2"/>
      <x:c r="AW107" s="2"/>
      <x:c r="AX107" s="9"/>
      <x:c r="AY107" s="10"/>
      <x:c r="AZ107" s="7"/>
      <x:c r="BA107" s="7"/>
      <x:c r="BB107" s="7"/>
      <x:c r="BC107" s="7" t="str">
        <x:v>案发4月10日，不能将4月13日媒体转载日当案发日。</x:v>
      </x:c>
      <x:c r="BD107" s="2" t="str">
        <x:v>是</x:v>
      </x:c>
      <x:c r="BE107" s="2" t="str">
        <x:v>否</x:v>
      </x:c>
      <x:c r="BF107" s="2" t="str">
        <x:v>媒体调查／研究推断</x:v>
      </x:c>
      <x:c r="BG107" s="2" t="str"/>
      <x:c r="BH107" s="9" t="n">
        <x:v>2024</x:v>
      </x:c>
      <x:c r="BI107" s="9" t="n">
        <x:v>0</x:v>
      </x:c>
      <x:c r="BJ107" s="9" t="n">
        <x:v>2</x:v>
      </x:c>
      <x:c r="BK107" s="9" t="n">
        <x:v>0</x:v>
      </x:c>
      <x:c r="BL107" s="9" t="n">
        <x:v>0</x:v>
      </x:c>
      <x:c r="BM107" s="9" t="n">
        <x:v>1</x:v>
      </x:c>
      <x:c r="BN107" s="9" t="n">
        <x:v>0</x:v>
      </x:c>
      <x:c r="BO107" s="9" t="n">
        <x:v>0</x:v>
      </x:c>
    </x:row>
    <x:row r="108" ht="38" customHeight="1">
      <x:c r="A108" s="2" t="str">
        <x:v>C039</x:v>
      </x:c>
      <x:c r="B108" s="2" t="str">
        <x:v>2024-04-26</x:v>
      </x:c>
      <x:c r="C108" s="7" t="str">
        <x:v>封开江口街道汽车碰撞摩托车事件</x:v>
      </x:c>
      <x:c r="D108" s="2" t="str">
        <x:v>广东</x:v>
      </x:c>
      <x:c r="E108" s="2" t="str">
        <x:v>肇庆</x:v>
      </x:c>
      <x:c r="F108" s="2" t="str">
        <x:v>pending</x:v>
      </x:c>
      <x:c r="G108" s="2" t="str">
        <x:v>街道交通</x:v>
      </x:c>
      <x:c r="H108" s="2" t="str">
        <x:v>驾车</x:v>
      </x:c>
      <x:c r="I108" s="9"/>
      <x:c r="J108" s="9"/>
      <x:c r="K108" s="2" t="str">
        <x:v>有人员受伤，人数未公布</x:v>
      </x:c>
      <x:c r="L108" s="9"/>
      <x:c r="M108" s="9"/>
      <x:c r="N108" s="10" t="n">
        <x:v>45408</x:v>
      </x:c>
      <x:c r="O108" s="7"/>
      <x:c r="P108" s="7" t="str">
        <x:v>警方通报交通事故，未明原因；先持刀行凶再撞人等说法未获证实。</x:v>
      </x:c>
      <x:c r="Q108" s="2" t="str">
        <x:v>封开县</x:v>
      </x:c>
      <x:c r="R108" s="2" t="str">
        <x:v>乡镇</x:v>
      </x:c>
      <x:c r="S108" s="2" t="str">
        <x:v>day</x:v>
      </x:c>
      <x:c r="T108" s="2"/>
      <x:c r="U108" s="2"/>
      <x:c r="V108" s="9"/>
      <x:c r="W108" s="9"/>
      <x:c r="X108" s="9"/>
      <x:c r="Y108" s="2"/>
      <x:c r="Z108" s="2"/>
      <x:c r="AA108" s="9"/>
      <x:c r="AB108" s="2"/>
      <x:c r="AC108" s="2"/>
      <x:c r="AD108" s="7"/>
      <x:c r="AE108" s="2" t="str"/>
      <x:c r="AF108" s="2" t="str">
        <x:v>未知</x:v>
      </x:c>
      <x:c r="AG108" s="2"/>
      <x:c r="AH108" s="2"/>
      <x:c r="AI108" s="2"/>
      <x:c r="AJ108" s="2"/>
      <x:c r="AK108" s="2"/>
      <x:c r="AL108" s="10"/>
      <x:c r="AM108" s="10"/>
      <x:c r="AN108" s="10" t="n">
        <x:v>45408</x:v>
      </x:c>
      <x:c r="AO108" s="2" t="str">
        <x:v>官方转载</x:v>
      </x:c>
      <x:c r="AP108" s="7" t="str">
        <x:v>CS050</x:v>
      </x:c>
      <x:c r="AQ108" s="7" t="str">
        <x:v>{"date":["CS050"],"location":["CS050"],"casualties":["CS050"],"classification":["CS050"],"motive":[],"outcome":[]}</x:v>
      </x:c>
      <x:c r="AR108" s="2"/>
      <x:c r="AS108" s="9"/>
      <x:c r="AT108" s="9"/>
      <x:c r="AU108" s="9"/>
      <x:c r="AV108" s="2"/>
      <x:c r="AW108" s="2"/>
      <x:c r="AX108" s="9"/>
      <x:c r="AY108" s="10"/>
      <x:c r="AZ108" s="7"/>
      <x:c r="BA108" s="7"/>
      <x:c r="BB108" s="7"/>
      <x:c r="BC108" s="7"/>
      <x:c r="BD108" s="2" t="str">
        <x:v>是</x:v>
      </x:c>
      <x:c r="BE108" s="2" t="str">
        <x:v>否</x:v>
      </x:c>
      <x:c r="BF108" s="2" t="str">
        <x:v>媒体调查／研究推断</x:v>
      </x:c>
      <x:c r="BG108" s="2" t="str"/>
      <x:c r="BH108" s="9" t="n">
        <x:v>2024</x:v>
      </x:c>
      <x:c r="BI108" s="9" t="n">
        <x:v>0</x:v>
      </x:c>
      <x:c r="BJ108" s="9" t="n">
        <x:v>0</x:v>
      </x:c>
      <x:c r="BK108" s="9" t="n">
        <x:v>0</x:v>
      </x:c>
      <x:c r="BL108" s="9" t="n">
        <x:v>0</x:v>
      </x:c>
      <x:c r="BM108" s="9" t="n">
        <x:v>1</x:v>
      </x:c>
      <x:c r="BN108" s="9" t="n">
        <x:v>1</x:v>
      </x:c>
      <x:c r="BO108" s="9" t="n">
        <x:v>1</x:v>
      </x:c>
    </x:row>
    <x:row r="109" ht="38" customHeight="1">
      <x:c r="A109" s="2" t="str">
        <x:v>C007</x:v>
      </x:c>
      <x:c r="B109" s="2" t="str">
        <x:v>2024-05-07</x:v>
      </x:c>
      <x:c r="C109" s="7" t="str">
        <x:v>镇雄城南医院持刀伤人案</x:v>
      </x:c>
      <x:c r="D109" s="2" t="str">
        <x:v>云南</x:v>
      </x:c>
      <x:c r="E109" s="2" t="str">
        <x:v>昭通</x:v>
      </x:c>
      <x:c r="F109" s="2" t="str">
        <x:v>pending</x:v>
      </x:c>
      <x:c r="G109" s="2" t="str">
        <x:v>医疗机构</x:v>
      </x:c>
      <x:c r="H109" s="2" t="str">
        <x:v>持械</x:v>
      </x:c>
      <x:c r="I109" s="9" t="n">
        <x:v>2</x:v>
      </x:c>
      <x:c r="J109" s="9" t="n">
        <x:v>21</x:v>
      </x:c>
      <x:c r="K109" s="2"/>
      <x:c r="L109" s="9"/>
      <x:c r="M109" s="9"/>
      <x:c r="N109" s="10" t="n">
        <x:v>45419</x:v>
      </x:c>
      <x:c r="O109" s="7"/>
      <x:c r="P109" s="7" t="str">
        <x:v>官方确认医院多人遇袭；可靠正文未明确披露受害人与嫌犯关系，随机性须进一步确认。</x:v>
      </x:c>
      <x:c r="Q109" s="2" t="str">
        <x:v>镇雄县</x:v>
      </x:c>
      <x:c r="R109" s="2"/>
      <x:c r="S109" s="2" t="str">
        <x:v>day</x:v>
      </x:c>
      <x:c r="T109" s="2"/>
      <x:c r="U109" s="2"/>
      <x:c r="V109" s="9"/>
      <x:c r="W109" s="9"/>
      <x:c r="X109" s="9"/>
      <x:c r="Y109" s="2" t="str">
        <x:v>是</x:v>
      </x:c>
      <x:c r="Z109" s="2"/>
      <x:c r="AA109" s="9" t="n">
        <x:v>40</x:v>
      </x:c>
      <x:c r="AB109" s="2" t="str">
        <x:v>男</x:v>
      </x:c>
      <x:c r="AC109" s="2"/>
      <x:c r="AD109" s="7"/>
      <x:c r="AE109" s="2" t="str"/>
      <x:c r="AF109" s="2" t="str">
        <x:v>未知</x:v>
      </x:c>
      <x:c r="AG109" s="2"/>
      <x:c r="AH109" s="2"/>
      <x:c r="AI109" s="2"/>
      <x:c r="AJ109" s="2" t="str">
        <x:v>当日下午在县内抓获；在场患者曾对峙并追赶制止</x:v>
      </x:c>
      <x:c r="AK109" s="2" t="str">
        <x:v>已抓获；未检得本案可核实裁判</x:v>
      </x:c>
      <x:c r="AL109" s="10"/>
      <x:c r="AM109" s="10"/>
      <x:c r="AN109" s="10" t="n">
        <x:v>45426</x:v>
      </x:c>
      <x:c r="AO109" s="2" t="str">
        <x:v>官方转载</x:v>
      </x:c>
      <x:c r="AP109" s="7" t="str">
        <x:v>CS011；CS012；RCS001；RCS003</x:v>
      </x:c>
      <x:c r="AQ109" s="7" t="str">
        <x:v>{"date":["CS011","CS012"],"location":["CS011","CS012"],"casualties":["CS011","CS012"],"classification":["CS011","CS012"],"motive":[],"outcome":["CS011","CS012"],"involves_children":["RCS001"]}</x:v>
      </x:c>
      <x:c r="AR109" s="2"/>
      <x:c r="AS109" s="9"/>
      <x:c r="AT109" s="9"/>
      <x:c r="AU109" s="9"/>
      <x:c r="AV109" s="2"/>
      <x:c r="AW109" s="2"/>
      <x:c r="AX109" s="9"/>
      <x:c r="AY109" s="10"/>
      <x:c r="AZ109" s="7"/>
      <x:c r="BA109" s="7"/>
      <x:c r="BB109" s="7"/>
      <x:c r="BC109" s="7" t="str">
        <x:v>官方人士称网传朋友圈动机截图不实。不能把亲属所述旧案不满直接等同本次动机。</x:v>
      </x:c>
      <x:c r="BD109" s="2" t="str">
        <x:v>是</x:v>
      </x:c>
      <x:c r="BE109" s="2" t="str">
        <x:v>否</x:v>
      </x:c>
      <x:c r="BF109" s="2" t="str">
        <x:v>警方确认医院持刀案及2死21伤，未披露受害关系；南风窗标题称随机但正文未明确关系，仍待核。</x:v>
      </x:c>
      <x:c r="BG109" s="2" t="str"/>
      <x:c r="BH109" s="9" t="n">
        <x:v>2024</x:v>
      </x:c>
      <x:c r="BI109" s="9" t="n">
        <x:v>2</x:v>
      </x:c>
      <x:c r="BJ109" s="9" t="n">
        <x:v>21</x:v>
      </x:c>
      <x:c r="BK109" s="9" t="n">
        <x:v>0</x:v>
      </x:c>
      <x:c r="BL109" s="9" t="n">
        <x:v>0</x:v>
      </x:c>
      <x:c r="BM109" s="9" t="n">
        <x:v>1</x:v>
      </x:c>
      <x:c r="BN109" s="9" t="n">
        <x:v>0</x:v>
      </x:c>
      <x:c r="BO109" s="9" t="n">
        <x:v>0</x:v>
      </x:c>
    </x:row>
    <x:row r="110" ht="38" customHeight="1">
      <x:c r="A110" s="2" t="str">
        <x:v>C008</x:v>
      </x:c>
      <x:c r="B110" s="2" t="str">
        <x:v>2024-05-20</x:v>
      </x:c>
      <x:c r="C110" s="7" t="str">
        <x:v>贵溪文坊明德小学持刀袭击案</x:v>
      </x:c>
      <x:c r="D110" s="2" t="str">
        <x:v>江西</x:v>
      </x:c>
      <x:c r="E110" s="2" t="str">
        <x:v>鹰潭</x:v>
      </x:c>
      <x:c r="F110" s="2" t="str">
        <x:v>core</x:v>
      </x:c>
      <x:c r="G110" s="2" t="str">
        <x:v>校园及周边</x:v>
      </x:c>
      <x:c r="H110" s="2" t="str">
        <x:v>持械</x:v>
      </x:c>
      <x:c r="I110" s="9" t="n">
        <x:v>2</x:v>
      </x:c>
      <x:c r="J110" s="9" t="n">
        <x:v>10</x:v>
      </x:c>
      <x:c r="K110" s="2"/>
      <x:c r="L110" s="9"/>
      <x:c r="M110" s="9"/>
      <x:c r="N110" s="10" t="n">
        <x:v>45432</x:v>
      </x:c>
      <x:c r="O110" s="7" t="str">
        <x:v>10名存活伤者中4名直接受伤、6名躲闪擦伤；死者不重复计伤。</x:v>
      </x:c>
      <x:c r="P110" s="7" t="str">
        <x:v>警方确认小学持刀案；南风窗对家长和学生的采访确认低年级教室及多名儿童遇袭。按校园学生群体受袭行为归入核心，随机性不作为警方通报的直接结论。</x:v>
      </x:c>
      <x:c r="Q110" s="2" t="str">
        <x:v>贵溪市</x:v>
      </x:c>
      <x:c r="R110" s="2" t="str">
        <x:v>乡镇</x:v>
      </x:c>
      <x:c r="S110" s="2" t="str">
        <x:v>day</x:v>
      </x:c>
      <x:c r="T110" s="2"/>
      <x:c r="U110" s="2"/>
      <x:c r="V110" s="9"/>
      <x:c r="W110" s="9"/>
      <x:c r="X110" s="9"/>
      <x:c r="Y110" s="2" t="str">
        <x:v>是</x:v>
      </x:c>
      <x:c r="Z110" s="2" t="str">
        <x:v>小学低年级学生</x:v>
      </x:c>
      <x:c r="AA110" s="9" t="n">
        <x:v>45</x:v>
      </x:c>
      <x:c r="AB110" s="2" t="str">
        <x:v>女</x:v>
      </x:c>
      <x:c r="AC110" s="2" t="str">
        <x:v>当地医护人员（居民接受南风窗采访所述，警方未确认）</x:v>
      </x:c>
      <x:c r="AD110" s="7"/>
      <x:c r="AE110" s="2" t="str"/>
      <x:c r="AF110" s="2" t="str">
        <x:v>未知</x:v>
      </x:c>
      <x:c r="AG110" s="2"/>
      <x:c r="AH110" s="2"/>
      <x:c r="AI110" s="2"/>
      <x:c r="AJ110" s="2" t="str">
        <x:v>警方控制嫌疑人；学校临时停课</x:v>
      </x:c>
      <x:c r="AK110" s="2"/>
      <x:c r="AL110" s="10"/>
      <x:c r="AM110" s="10"/>
      <x:c r="AN110" s="10" t="n">
        <x:v>45433</x:v>
      </x:c>
      <x:c r="AO110" s="2" t="str">
        <x:v>官方转载</x:v>
      </x:c>
      <x:c r="AP110" s="7" t="str">
        <x:v>CS013；CS014</x:v>
      </x:c>
      <x:c r="AQ110" s="7" t="str">
        <x:v>{"date":["CS013","CS014"],"location":["CS013","CS014"],"casualties":["CS013","CS014"],"classification":["CS013","CS014"],"motive":[],"outcome":[],"demographics":["CS013","CS014"]}</x:v>
      </x:c>
      <x:c r="AR110" s="2"/>
      <x:c r="AS110" s="9"/>
      <x:c r="AT110" s="9"/>
      <x:c r="AU110" s="9"/>
      <x:c r="AV110" s="2"/>
      <x:c r="AW110" s="2"/>
      <x:c r="AX110" s="9"/>
      <x:c r="AY110" s="10"/>
      <x:c r="AZ110" s="7"/>
      <x:c r="BA110" s="7"/>
      <x:c r="BB110" s="7"/>
      <x:c r="BC110" s="7" t="str">
        <x:v>动机未披露；不把性格描述当精神医学诊断。 人口特征复核：年龄性别为警方通报；职业仅为多名居民接受南风窗采访的陈述，警方回应以通报为准，须保留此证据层级。</x:v>
      </x:c>
      <x:c r="BD110" s="2" t="str">
        <x:v>是</x:v>
      </x:c>
      <x:c r="BE110" s="2" t="str">
        <x:v>否</x:v>
      </x:c>
      <x:c r="BF110" s="2" t="str">
        <x:v>发生与伤亡获警方确认；校园低年级学生群体受袭的分类依据来自南风窗家长、学生等采访。</x:v>
      </x:c>
      <x:c r="BG110" s="2" t="str"/>
      <x:c r="BH110" s="9" t="n">
        <x:v>2024</x:v>
      </x:c>
      <x:c r="BI110" s="9" t="n">
        <x:v>2</x:v>
      </x:c>
      <x:c r="BJ110" s="9" t="n">
        <x:v>10</x:v>
      </x:c>
      <x:c r="BK110" s="9" t="n">
        <x:v>0</x:v>
      </x:c>
      <x:c r="BL110" s="9" t="n">
        <x:v>0</x:v>
      </x:c>
      <x:c r="BM110" s="9" t="n">
        <x:v>1</x:v>
      </x:c>
      <x:c r="BN110" s="9" t="n">
        <x:v>0</x:v>
      </x:c>
      <x:c r="BO110" s="9" t="n">
        <x:v>0</x:v>
      </x:c>
    </x:row>
    <x:row r="111" ht="38" customHeight="1">
      <x:c r="A111" s="2" t="str">
        <x:v>C010</x:v>
      </x:c>
      <x:c r="B111" s="2" t="str">
        <x:v>2024-05-20</x:v>
      </x:c>
      <x:c r="C111" s="7" t="str">
        <x:v>郴州苏仙区公园刑事案件</x:v>
      </x:c>
      <x:c r="D111" s="2" t="str">
        <x:v>湖南</x:v>
      </x:c>
      <x:c r="E111" s="2" t="str">
        <x:v>郴州</x:v>
      </x:c>
      <x:c r="F111" s="2" t="str">
        <x:v>pending</x:v>
      </x:c>
      <x:c r="G111" s="2" t="str">
        <x:v>公园广场</x:v>
      </x:c>
      <x:c r="H111" s="2" t="str">
        <x:v>其他</x:v>
      </x:c>
      <x:c r="I111" s="9" t="n">
        <x:v>3</x:v>
      </x:c>
      <x:c r="J111" s="9" t="n">
        <x:v>2</x:v>
      </x:c>
      <x:c r="K111" s="2"/>
      <x:c r="L111" s="9"/>
      <x:c r="M111" s="9"/>
      <x:c r="N111" s="10" t="n">
        <x:v>45433</x:v>
      </x:c>
      <x:c r="O111" s="7"/>
      <x:c r="P111" s="7" t="str">
        <x:v>通报仅称刑事案件及伤亡，未披露行为方式、动机或被害关系，不能凭多人伤亡认定随机袭击。</x:v>
      </x:c>
      <x:c r="Q111" s="2" t="str">
        <x:v>苏仙区</x:v>
      </x:c>
      <x:c r="R111" s="2"/>
      <x:c r="S111" s="2" t="str">
        <x:v>day</x:v>
      </x:c>
      <x:c r="T111" s="2"/>
      <x:c r="U111" s="2"/>
      <x:c r="V111" s="9"/>
      <x:c r="W111" s="9"/>
      <x:c r="X111" s="9"/>
      <x:c r="Y111" s="2"/>
      <x:c r="Z111" s="2"/>
      <x:c r="AA111" s="9" t="n">
        <x:v>35</x:v>
      </x:c>
      <x:c r="AB111" s="2" t="str">
        <x:v>男</x:v>
      </x:c>
      <x:c r="AC111" s="2"/>
      <x:c r="AD111" s="7"/>
      <x:c r="AE111" s="2" t="str"/>
      <x:c r="AF111" s="2" t="str">
        <x:v>未知</x:v>
      </x:c>
      <x:c r="AG111" s="2"/>
      <x:c r="AH111" s="2"/>
      <x:c r="AI111" s="2"/>
      <x:c r="AJ111" s="2" t="str">
        <x:v>嫌疑人被抓获</x:v>
      </x:c>
      <x:c r="AK111" s="2"/>
      <x:c r="AL111" s="10"/>
      <x:c r="AM111" s="10"/>
      <x:c r="AN111" s="10" t="n">
        <x:v>45433</x:v>
      </x:c>
      <x:c r="AO111" s="2" t="str">
        <x:v>官方转载</x:v>
      </x:c>
      <x:c r="AP111" s="7" t="str">
        <x:v>CS016</x:v>
      </x:c>
      <x:c r="AQ111" s="7" t="str">
        <x:v>{"date":["CS016"],"location":["CS016"],"casualties":["CS016"],"classification":["CS016"],"motive":[],"outcome":[]}</x:v>
      </x:c>
      <x:c r="AR111" s="2"/>
      <x:c r="AS111" s="9"/>
      <x:c r="AT111" s="9"/>
      <x:c r="AU111" s="9"/>
      <x:c r="AV111" s="2"/>
      <x:c r="AW111" s="2"/>
      <x:c r="AX111" s="9"/>
      <x:c r="AY111" s="10"/>
      <x:c r="AZ111" s="7"/>
      <x:c r="BA111" s="7"/>
      <x:c r="BB111" s="7"/>
      <x:c r="BC111" s="7"/>
      <x:c r="BD111" s="2" t="str">
        <x:v>是</x:v>
      </x:c>
      <x:c r="BE111" s="2" t="str">
        <x:v>否</x:v>
      </x:c>
      <x:c r="BF111" s="2" t="str">
        <x:v>媒体调查／研究推断</x:v>
      </x:c>
      <x:c r="BG111" s="2" t="str"/>
      <x:c r="BH111" s="9" t="n">
        <x:v>2024</x:v>
      </x:c>
      <x:c r="BI111" s="9" t="n">
        <x:v>3</x:v>
      </x:c>
      <x:c r="BJ111" s="9" t="n">
        <x:v>2</x:v>
      </x:c>
      <x:c r="BK111" s="9" t="n">
        <x:v>0</x:v>
      </x:c>
      <x:c r="BL111" s="9" t="n">
        <x:v>0</x:v>
      </x:c>
      <x:c r="BM111" s="9" t="n">
        <x:v>1</x:v>
      </x:c>
      <x:c r="BN111" s="9" t="n">
        <x:v>0</x:v>
      </x:c>
      <x:c r="BO111" s="9" t="n">
        <x:v>0</x:v>
      </x:c>
    </x:row>
    <x:row r="112" ht="38" customHeight="1">
      <x:c r="A112" s="2" t="str">
        <x:v>C011</x:v>
      </x:c>
      <x:c r="B112" s="2" t="str">
        <x:v>2024-06-10</x:v>
      </x:c>
      <x:c r="C112" s="7" t="str">
        <x:v>吉林北山公园持刀伤人案</x:v>
      </x:c>
      <x:c r="D112" s="2" t="str">
        <x:v>吉林</x:v>
      </x:c>
      <x:c r="E112" s="2" t="str">
        <x:v>吉林</x:v>
      </x:c>
      <x:c r="F112" s="2" t="str">
        <x:v>expanded</x:v>
      </x:c>
      <x:c r="G112" s="2" t="str">
        <x:v>公园广场</x:v>
      </x:c>
      <x:c r="H112" s="2" t="str">
        <x:v>持械</x:v>
      </x:c>
      <x:c r="I112" s="9" t="n">
        <x:v>0</x:v>
      </x:c>
      <x:c r="J112" s="9" t="n">
        <x:v>5</x:v>
      </x:c>
      <x:c r="K112" s="2"/>
      <x:c r="L112" s="9"/>
      <x:c r="M112" s="9"/>
      <x:c r="N112" s="10" t="n">
        <x:v>45454</x:v>
      </x:c>
      <x:c r="O112" s="7"/>
      <x:c r="P112" s="7" t="str">
        <x:v>警方称先与一名游客碰撞后攻击其同行者及劝阻游客，伤害扩大到原碰撞以外人员。</x:v>
      </x:c>
      <x:c r="Q112" s="2" t="str">
        <x:v>船营区</x:v>
      </x:c>
      <x:c r="R112" s="2" t="str">
        <x:v>城市</x:v>
      </x:c>
      <x:c r="S112" s="2" t="str">
        <x:v>day</x:v>
      </x:c>
      <x:c r="T112" s="2"/>
      <x:c r="U112" s="2"/>
      <x:c r="V112" s="9"/>
      <x:c r="W112" s="9"/>
      <x:c r="X112" s="9"/>
      <x:c r="Y112" s="2"/>
      <x:c r="Z112" s="2" t="str">
        <x:v>1名碰撞者、3名同行者及1名劝阻游客</x:v>
      </x:c>
      <x:c r="AA112" s="9" t="n">
        <x:v>55</x:v>
      </x:c>
      <x:c r="AB112" s="2" t="str">
        <x:v>男</x:v>
      </x:c>
      <x:c r="AC112" s="2"/>
      <x:c r="AD112" s="7" t="str">
        <x:v>警方初查走路碰撞后持刀行凶。</x:v>
      </x:c>
      <x:c r="AE112" s="2" t="str">
        <x:v>临时纠纷</x:v>
      </x:c>
      <x:c r="AF112" s="2" t="str">
        <x:v>警方初步通报</x:v>
      </x:c>
      <x:c r="AG112" s="2"/>
      <x:c r="AH112" s="2"/>
      <x:c r="AI112" s="2"/>
      <x:c r="AJ112" s="2" t="str">
        <x:v>劝阻游客受伤；嫌疑人当日被抓</x:v>
      </x:c>
      <x:c r="AK112" s="2"/>
      <x:c r="AL112" s="10"/>
      <x:c r="AM112" s="10"/>
      <x:c r="AN112" s="10" t="n">
        <x:v>45454</x:v>
      </x:c>
      <x:c r="AO112" s="2" t="str">
        <x:v>官方转载</x:v>
      </x:c>
      <x:c r="AP112" s="7" t="str">
        <x:v>CS017</x:v>
      </x:c>
      <x:c r="AQ112" s="7" t="str">
        <x:v>{"date":["CS017"],"location":["CS017"],"casualties":["CS017"],"classification":["CS017"],"motive":["CS017"],"outcome":[],"demographics":["CS017"]}</x:v>
      </x:c>
      <x:c r="AR112" s="2"/>
      <x:c r="AS112" s="9"/>
      <x:c r="AT112" s="9"/>
      <x:c r="AU112" s="9"/>
      <x:c r="AV112" s="2"/>
      <x:c r="AW112" s="2"/>
      <x:c r="AX112" s="9"/>
      <x:c r="AY112" s="10"/>
      <x:c r="AZ112" s="7"/>
      <x:c r="BA112" s="7"/>
      <x:c r="BB112" s="7"/>
      <x:c r="BC112" s="7" t="str">
        <x:v>不据外籍身份推定仇外动机。 人口特征复核：船营警方通报明确男55岁，未披露职业；授课人员为受害者，不是嫌疑人职业。</x:v>
      </x:c>
      <x:c r="BD112" s="2" t="str">
        <x:v>是</x:v>
      </x:c>
      <x:c r="BE112" s="2" t="str">
        <x:v>是</x:v>
      </x:c>
      <x:c r="BF112" s="2" t="str">
        <x:v>完整警方通报明确：与一名游客碰撞后，刺伤其同行者和上前制止的中国游客，超出原碰撞对象。</x:v>
      </x:c>
      <x:c r="BG112" s="2" t="str">
        <x:v>其他已披露背景</x:v>
      </x:c>
      <x:c r="BH112" s="9" t="n">
        <x:v>2024</x:v>
      </x:c>
      <x:c r="BI112" s="9" t="n">
        <x:v>0</x:v>
      </x:c>
      <x:c r="BJ112" s="9" t="n">
        <x:v>5</x:v>
      </x:c>
      <x:c r="BK112" s="9" t="n">
        <x:v>1</x:v>
      </x:c>
      <x:c r="BL112" s="9" t="n">
        <x:v>1</x:v>
      </x:c>
      <x:c r="BM112" s="9" t="n">
        <x:v>1</x:v>
      </x:c>
      <x:c r="BN112" s="9" t="n">
        <x:v>0</x:v>
      </x:c>
      <x:c r="BO112" s="9" t="n">
        <x:v>0</x:v>
      </x:c>
    </x:row>
    <x:row r="113" ht="38" customHeight="1">
      <x:c r="A113" s="2" t="str">
        <x:v>C012</x:v>
      </x:c>
      <x:c r="B113" s="2" t="str">
        <x:v>2024-06-19</x:v>
      </x:c>
      <x:c r="C113" s="7" t="str">
        <x:v>上海合川路地铁站持刀伤人案</x:v>
      </x:c>
      <x:c r="D113" s="2" t="str">
        <x:v>上海</x:v>
      </x:c>
      <x:c r="E113" s="2" t="str">
        <x:v>上海</x:v>
      </x:c>
      <x:c r="F113" s="2" t="str">
        <x:v>pending</x:v>
      </x:c>
      <x:c r="G113" s="2" t="str">
        <x:v>公共交通</x:v>
      </x:c>
      <x:c r="H113" s="2" t="str">
        <x:v>持械</x:v>
      </x:c>
      <x:c r="I113" s="9"/>
      <x:c r="J113" s="9" t="n">
        <x:v>3</x:v>
      </x:c>
      <x:c r="K113" s="2"/>
      <x:c r="L113" s="9"/>
      <x:c r="M113" s="9"/>
      <x:c r="N113" s="10" t="n">
        <x:v>45462</x:v>
      </x:c>
      <x:c r="O113" s="7"/>
      <x:c r="P113" s="7" t="str">
        <x:v>官方确认3人受伤，但未披露关系或随机选择过程，不能仅因公共场所多人被刺列核心。</x:v>
      </x:c>
      <x:c r="Q113" s="2" t="str">
        <x:v>闵行区</x:v>
      </x:c>
      <x:c r="R113" s="2" t="str">
        <x:v>城市</x:v>
      </x:c>
      <x:c r="S113" s="2" t="str">
        <x:v>day</x:v>
      </x:c>
      <x:c r="T113" s="2"/>
      <x:c r="U113" s="2"/>
      <x:c r="V113" s="9"/>
      <x:c r="W113" s="9"/>
      <x:c r="X113" s="9"/>
      <x:c r="Y113" s="2"/>
      <x:c r="Z113" s="2"/>
      <x:c r="AA113" s="9" t="n">
        <x:v>54</x:v>
      </x:c>
      <x:c r="AB113" s="2" t="str">
        <x:v>男</x:v>
      </x:c>
      <x:c r="AC113" s="2"/>
      <x:c r="AD113" s="7"/>
      <x:c r="AE113" s="2" t="str"/>
      <x:c r="AF113" s="2" t="str">
        <x:v>未知</x:v>
      </x:c>
      <x:c r="AG113" s="2"/>
      <x:c r="AH113" s="2"/>
      <x:c r="AI113" s="2"/>
      <x:c r="AJ113" s="2" t="str">
        <x:v>警方抓获</x:v>
      </x:c>
      <x:c r="AK113" s="2"/>
      <x:c r="AL113" s="10"/>
      <x:c r="AM113" s="10"/>
      <x:c r="AN113" s="10" t="n">
        <x:v>45462</x:v>
      </x:c>
      <x:c r="AO113" s="2" t="str">
        <x:v>官方转载</x:v>
      </x:c>
      <x:c r="AP113" s="7" t="str">
        <x:v>CS018</x:v>
      </x:c>
      <x:c r="AQ113" s="7" t="str">
        <x:v>{"date":["CS018"],"location":["CS018"],"casualties":["CS018"],"classification":["CS018"],"motive":[],"outcome":[]}</x:v>
      </x:c>
      <x:c r="AR113" s="2"/>
      <x:c r="AS113" s="9"/>
      <x:c r="AT113" s="9"/>
      <x:c r="AU113" s="9"/>
      <x:c r="AV113" s="2"/>
      <x:c r="AW113" s="2"/>
      <x:c r="AX113" s="9"/>
      <x:c r="AY113" s="10"/>
      <x:c r="AZ113" s="7"/>
      <x:c r="BA113" s="7"/>
      <x:c r="BB113" s="7"/>
      <x:c r="BC113" s="7"/>
      <x:c r="BD113" s="2" t="str">
        <x:v>是</x:v>
      </x:c>
      <x:c r="BE113" s="2" t="str">
        <x:v>否</x:v>
      </x:c>
      <x:c r="BF113" s="2" t="str">
        <x:v>媒体调查／研究推断</x:v>
      </x:c>
      <x:c r="BG113" s="2" t="str"/>
      <x:c r="BH113" s="9" t="n">
        <x:v>2024</x:v>
      </x:c>
      <x:c r="BI113" s="9" t="n">
        <x:v>0</x:v>
      </x:c>
      <x:c r="BJ113" s="9" t="n">
        <x:v>3</x:v>
      </x:c>
      <x:c r="BK113" s="9" t="n">
        <x:v>0</x:v>
      </x:c>
      <x:c r="BL113" s="9" t="n">
        <x:v>0</x:v>
      </x:c>
      <x:c r="BM113" s="9" t="n">
        <x:v>1</x:v>
      </x:c>
      <x:c r="BN113" s="9" t="n">
        <x:v>1</x:v>
      </x:c>
      <x:c r="BO113" s="9" t="n">
        <x:v>0</x:v>
      </x:c>
    </x:row>
    <x:row r="114" ht="38" customHeight="1">
      <x:c r="A114" s="2" t="str">
        <x:v>C013</x:v>
      </x:c>
      <x:c r="B114" s="2" t="str">
        <x:v>2024-06-24</x:v>
      </x:c>
      <x:c r="C114" s="7" t="str">
        <x:v>苏州日本学校校车站持刀袭击案</x:v>
      </x:c>
      <x:c r="D114" s="2" t="str">
        <x:v>江苏</x:v>
      </x:c>
      <x:c r="E114" s="2" t="str">
        <x:v>苏州</x:v>
      </x:c>
      <x:c r="F114" s="2" t="str">
        <x:v>core</x:v>
      </x:c>
      <x:c r="G114" s="2" t="str">
        <x:v>公共交通</x:v>
      </x:c>
      <x:c r="H114" s="2" t="str">
        <x:v>持械</x:v>
      </x:c>
      <x:c r="I114" s="9" t="n">
        <x:v>1</x:v>
      </x:c>
      <x:c r="J114" s="9" t="n">
        <x:v>2</x:v>
      </x:c>
      <x:c r="K114" s="2"/>
      <x:c r="L114" s="9"/>
      <x:c r="M114" s="9"/>
      <x:c r="N114" s="10" t="n">
        <x:v>45472</x:v>
      </x:c>
      <x:c r="O114" s="7" t="str">
        <x:v>最初3名伤者中救人者于6月26日死亡，余2人存活。</x:v>
      </x:c>
      <x:c r="P114" s="7" t="str">
        <x:v>袭击候车妇女儿童并攻击阻拦者，官方追授说明其阻止了对无辜者的持续袭击；后续报道判决指生活绝望及债务。</x:v>
      </x:c>
      <x:c r="Q114" s="2" t="str">
        <x:v>虎丘区（高新区）</x:v>
      </x:c>
      <x:c r="R114" s="2" t="str">
        <x:v>城市</x:v>
      </x:c>
      <x:c r="S114" s="2" t="str">
        <x:v>day</x:v>
      </x:c>
      <x:c r="T114" s="2"/>
      <x:c r="U114" s="2"/>
      <x:c r="V114" s="9"/>
      <x:c r="W114" s="9"/>
      <x:c r="X114" s="9"/>
      <x:c r="Y114" s="2" t="str">
        <x:v>是</x:v>
      </x:c>
      <x:c r="Z114" s="2" t="str">
        <x:v>日本母子及阻拦袭击的校车工作人员</x:v>
      </x:c>
      <x:c r="AA114" s="9" t="n">
        <x:v>52</x:v>
      </x:c>
      <x:c r="AB114" s="2" t="str">
        <x:v>男</x:v>
      </x:c>
      <x:c r="AC114" s="2" t="str">
        <x:v>无业（警方通报）</x:v>
      </x:c>
      <x:c r="AD114" s="7" t="str">
        <x:v>据富士电视台援引日本外务省的判决说明，被告因债务产生厌世心理并杀伤3人；未取得中国法院裁判全文。</x:v>
      </x:c>
      <x:c r="AE114" s="2" t="str">
        <x:v>债务压力；厌世</x:v>
      </x:c>
      <x:c r="AF114" s="2" t="str">
        <x:v>法院认定</x:v>
      </x:c>
      <x:c r="AG114" s="2"/>
      <x:c r="AH114" s="2"/>
      <x:c r="AI114" s="2"/>
      <x:c r="AJ114" s="2" t="str">
        <x:v>群众、途经司机及巡警合力制服</x:v>
      </x:c>
      <x:c r="AK114" s="2" t="str">
        <x:v>2025年4月日方证实中方通知已执行死刑；具体执行日期未披露</x:v>
      </x:c>
      <x:c r="AL114" s="10" t="n">
        <x:v>45680</x:v>
      </x:c>
      <x:c r="AM114" s="10"/>
      <x:c r="AN114" s="10" t="n">
        <x:v>45765</x:v>
      </x:c>
      <x:c r="AO114" s="2" t="str">
        <x:v>官方转载</x:v>
      </x:c>
      <x:c r="AP114" s="7" t="str">
        <x:v>CS019；CS022；CS059；CS060；RSD003</x:v>
      </x:c>
      <x:c r="AQ114" s="7" t="str">
        <x:v>{"date":["CS019","CS022","CS059","CS060"],"location":["CS019","CS022","CS059","CS060"],"casualties":["CS019","CS022","CS059","CS060"],"classification":["CS019","CS022","CS059","CS060"],"motive":["CS059"],"outcome":["CS022","CS059","CS060"],"demographics":["RSD003","CS059"]}</x:v>
      </x:c>
      <x:c r="AR114" s="2"/>
      <x:c r="AS114" s="9"/>
      <x:c r="AT114" s="9"/>
      <x:c r="AU114" s="9"/>
      <x:c r="AV114" s="2"/>
      <x:c r="AW114" s="2"/>
      <x:c r="AX114" s="9"/>
      <x:c r="AY114" s="10"/>
      <x:c r="AZ114" s="7"/>
      <x:c r="BA114" s="7"/>
      <x:c r="BB114" s="7"/>
      <x:c r="BC114" s="7" t="str">
        <x:v>法院认定内容由日方对判决的说明转述；执行通知日期不得当作实际执行日。 人口特征复核：采用案发次日警方通报男52岁、无业，避免将2025年报道年龄当作精确案发年龄；FNN判决报道亦称无职。</x:v>
      </x:c>
      <x:c r="BD114" s="2" t="str">
        <x:v>是</x:v>
      </x:c>
      <x:c r="BE114" s="2" t="str">
        <x:v>否</x:v>
      </x:c>
      <x:c r="BF114" s="2" t="str">
        <x:v>官方见义勇为材料说明持续袭击妇女儿童及阻拦者；核心分类还使用FNN转述日本外务省对判决债务动机的说明。未直接取得完整中国裁判书。</x:v>
      </x:c>
      <x:c r="BG114" s="2" t="str">
        <x:v>生活受挫／疏离／厌世；经济／工作／财产纠纷</x:v>
      </x:c>
      <x:c r="BH114" s="9" t="n">
        <x:v>2024</x:v>
      </x:c>
      <x:c r="BI114" s="9" t="n">
        <x:v>1</x:v>
      </x:c>
      <x:c r="BJ114" s="9" t="n">
        <x:v>2</x:v>
      </x:c>
      <x:c r="BK114" s="9" t="n">
        <x:v>0</x:v>
      </x:c>
      <x:c r="BL114" s="9" t="n">
        <x:v>1</x:v>
      </x:c>
      <x:c r="BM114" s="9" t="n">
        <x:v>1</x:v>
      </x:c>
      <x:c r="BN114" s="9" t="n">
        <x:v>0</x:v>
      </x:c>
      <x:c r="BO114" s="9" t="n">
        <x:v>0</x:v>
      </x:c>
    </x:row>
    <x:row r="115" ht="38" customHeight="1">
      <x:c r="A115" s="2" t="str">
        <x:v>C040</x:v>
      </x:c>
      <x:c r="B115" s="2" t="str">
        <x:v>2024-07-27</x:v>
      </x:c>
      <x:c r="C115" s="7" t="str">
        <x:v>长沙月湖街道车辆撞人案</x:v>
      </x:c>
      <x:c r="D115" s="2" t="str">
        <x:v>湖南</x:v>
      </x:c>
      <x:c r="E115" s="2" t="str">
        <x:v>长沙</x:v>
      </x:c>
      <x:c r="F115" s="2" t="str">
        <x:v>pending</x:v>
      </x:c>
      <x:c r="G115" s="2" t="str">
        <x:v>街道交通</x:v>
      </x:c>
      <x:c r="H115" s="2" t="str">
        <x:v>驾车</x:v>
      </x:c>
      <x:c r="I115" s="9" t="n">
        <x:v>8</x:v>
      </x:c>
      <x:c r="J115" s="9" t="n">
        <x:v>5</x:v>
      </x:c>
      <x:c r="K115" s="2"/>
      <x:c r="L115" s="9"/>
      <x:c r="M115" s="9"/>
      <x:c r="N115" s="10" t="n">
        <x:v>45500</x:v>
      </x:c>
      <x:c r="O115" s="7"/>
      <x:c r="P115" s="7" t="str">
        <x:v>官方确认刑事案件和伤亡，未明主动冲撞过程及被害关系，不能仅依8死认定随机。</x:v>
      </x:c>
      <x:c r="Q115" s="2" t="str">
        <x:v>开福区</x:v>
      </x:c>
      <x:c r="R115" s="2"/>
      <x:c r="S115" s="2" t="str">
        <x:v>day</x:v>
      </x:c>
      <x:c r="T115" s="2"/>
      <x:c r="U115" s="2"/>
      <x:c r="V115" s="9" t="n">
        <x:v>2</x:v>
      </x:c>
      <x:c r="W115" s="9"/>
      <x:c r="X115" s="9"/>
      <x:c r="Y115" s="2"/>
      <x:c r="Z115" s="2"/>
      <x:c r="AA115" s="9" t="n">
        <x:v>55</x:v>
      </x:c>
      <x:c r="AB115" s="2" t="str">
        <x:v>男</x:v>
      </x:c>
      <x:c r="AC115" s="2"/>
      <x:c r="AD115" s="7"/>
      <x:c r="AE115" s="2" t="str"/>
      <x:c r="AF115" s="2" t="str">
        <x:v>未知</x:v>
      </x:c>
      <x:c r="AG115" s="2"/>
      <x:c r="AH115" s="2"/>
      <x:c r="AI115" s="2"/>
      <x:c r="AJ115" s="2"/>
      <x:c r="AK115" s="2" t="str">
        <x:v>粟某某被控制。</x:v>
      </x:c>
      <x:c r="AL115" s="10"/>
      <x:c r="AM115" s="10"/>
      <x:c r="AN115" s="10" t="n">
        <x:v>45500</x:v>
      </x:c>
      <x:c r="AO115" s="2" t="str">
        <x:v>官方转载</x:v>
      </x:c>
      <x:c r="AP115" s="7" t="str">
        <x:v>CS051</x:v>
      </x:c>
      <x:c r="AQ115" s="7" t="str">
        <x:v>{"date":["CS051"],"location":["CS051"],"casualties":["CS051"],"classification":["CS051"],"motive":[],"outcome":["CS051"]}</x:v>
      </x:c>
      <x:c r="AR115" s="2"/>
      <x:c r="AS115" s="9"/>
      <x:c r="AT115" s="9"/>
      <x:c r="AU115" s="9"/>
      <x:c r="AV115" s="2"/>
      <x:c r="AW115" s="2"/>
      <x:c r="AX115" s="9"/>
      <x:c r="AY115" s="10"/>
      <x:c r="AZ115" s="7"/>
      <x:c r="BA115" s="7"/>
      <x:c r="BB115" s="7"/>
      <x:c r="BC115" s="7"/>
      <x:c r="BD115" s="2" t="str">
        <x:v>是</x:v>
      </x:c>
      <x:c r="BE115" s="2" t="str">
        <x:v>否</x:v>
      </x:c>
      <x:c r="BF115" s="2" t="str">
        <x:v>媒体调查／研究推断</x:v>
      </x:c>
      <x:c r="BG115" s="2" t="str"/>
      <x:c r="BH115" s="9" t="n">
        <x:v>2024</x:v>
      </x:c>
      <x:c r="BI115" s="9" t="n">
        <x:v>8</x:v>
      </x:c>
      <x:c r="BJ115" s="9" t="n">
        <x:v>5</x:v>
      </x:c>
      <x:c r="BK115" s="9" t="n">
        <x:v>0</x:v>
      </x:c>
      <x:c r="BL115" s="9" t="n">
        <x:v>0</x:v>
      </x:c>
      <x:c r="BM115" s="9" t="n">
        <x:v>1</x:v>
      </x:c>
      <x:c r="BN115" s="9" t="n">
        <x:v>0</x:v>
      </x:c>
      <x:c r="BO115" s="9" t="n">
        <x:v>0</x:v>
      </x:c>
    </x:row>
    <x:row r="116" ht="38" customHeight="1">
      <x:c r="A116" s="2" t="str">
        <x:v>C018</x:v>
      </x:c>
      <x:c r="B116" s="2" t="str">
        <x:v>2024-08-13</x:v>
      </x:c>
      <x:c r="C116" s="7" t="str">
        <x:v>中山横栏厨卫工厂车辆撞人事件</x:v>
      </x:c>
      <x:c r="D116" s="2" t="str">
        <x:v>广东</x:v>
      </x:c>
      <x:c r="E116" s="2" t="str">
        <x:v>中山</x:v>
      </x:c>
      <x:c r="F116" s="2" t="str">
        <x:v>pending</x:v>
      </x:c>
      <x:c r="G116" s="2" t="str">
        <x:v>其他</x:v>
      </x:c>
      <x:c r="H116" s="2" t="str">
        <x:v>驾车</x:v>
      </x:c>
      <x:c r="I116" s="9"/>
      <x:c r="J116" s="9" t="n">
        <x:v>8</x:v>
      </x:c>
      <x:c r="K116" s="2"/>
      <x:c r="L116" s="9"/>
      <x:c r="M116" s="9"/>
      <x:c r="N116" s="10" t="n">
        <x:v>45517</x:v>
      </x:c>
      <x:c r="O116" s="7"/>
      <x:c r="P116" s="7" t="str">
        <x:v>官方仅证实车辆碰撞及8人受伤，开除后泄愤说法未获可靠核实。</x:v>
      </x:c>
      <x:c r="Q116" s="2" t="str">
        <x:v>横栏镇</x:v>
      </x:c>
      <x:c r="R116" s="2"/>
      <x:c r="S116" s="2" t="str">
        <x:v>day</x:v>
      </x:c>
      <x:c r="T116" s="2"/>
      <x:c r="U116" s="2"/>
      <x:c r="V116" s="9"/>
      <x:c r="W116" s="9"/>
      <x:c r="X116" s="9"/>
      <x:c r="Y116" s="2"/>
      <x:c r="Z116" s="2"/>
      <x:c r="AA116" s="9" t="n">
        <x:v>29</x:v>
      </x:c>
      <x:c r="AB116" s="2" t="str">
        <x:v>男</x:v>
      </x:c>
      <x:c r="AC116" s="2"/>
      <x:c r="AD116" s="7"/>
      <x:c r="AE116" s="2" t="str"/>
      <x:c r="AF116" s="2" t="str">
        <x:v>未知</x:v>
      </x:c>
      <x:c r="AG116" s="2"/>
      <x:c r="AH116" s="2"/>
      <x:c r="AI116" s="2"/>
      <x:c r="AJ116" s="2" t="str">
        <x:v>司机当场控制</x:v>
      </x:c>
      <x:c r="AK116" s="2"/>
      <x:c r="AL116" s="10"/>
      <x:c r="AM116" s="10"/>
      <x:c r="AN116" s="10" t="n">
        <x:v>45517</x:v>
      </x:c>
      <x:c r="AO116" s="2" t="str">
        <x:v>官方转载</x:v>
      </x:c>
      <x:c r="AP116" s="7" t="str">
        <x:v>CS027</x:v>
      </x:c>
      <x:c r="AQ116" s="7" t="str">
        <x:v>{"date":["CS027"],"location":["CS027"],"casualties":["CS027"],"classification":["CS027"],"motive":[],"outcome":[]}</x:v>
      </x:c>
      <x:c r="AR116" s="2"/>
      <x:c r="AS116" s="9"/>
      <x:c r="AT116" s="9"/>
      <x:c r="AU116" s="9"/>
      <x:c r="AV116" s="2"/>
      <x:c r="AW116" s="2"/>
      <x:c r="AX116" s="9"/>
      <x:c r="AY116" s="10"/>
      <x:c r="AZ116" s="7"/>
      <x:c r="BA116" s="7"/>
      <x:c r="BB116" s="7"/>
      <x:c r="BC116" s="7"/>
      <x:c r="BD116" s="2" t="str">
        <x:v>是</x:v>
      </x:c>
      <x:c r="BE116" s="2" t="str">
        <x:v>否</x:v>
      </x:c>
      <x:c r="BF116" s="2" t="str">
        <x:v>媒体调查／研究推断</x:v>
      </x:c>
      <x:c r="BG116" s="2" t="str"/>
      <x:c r="BH116" s="9" t="n">
        <x:v>2024</x:v>
      </x:c>
      <x:c r="BI116" s="9" t="n">
        <x:v>0</x:v>
      </x:c>
      <x:c r="BJ116" s="9" t="n">
        <x:v>8</x:v>
      </x:c>
      <x:c r="BK116" s="9" t="n">
        <x:v>0</x:v>
      </x:c>
      <x:c r="BL116" s="9" t="n">
        <x:v>0</x:v>
      </x:c>
      <x:c r="BM116" s="9" t="n">
        <x:v>1</x:v>
      </x:c>
      <x:c r="BN116" s="9" t="n">
        <x:v>1</x:v>
      </x:c>
      <x:c r="BO116" s="9" t="n">
        <x:v>0</x:v>
      </x:c>
    </x:row>
    <x:row r="117" ht="38" customHeight="1">
      <x:c r="A117" s="2" t="str">
        <x:v>C046</x:v>
      </x:c>
      <x:c r="B117" s="2" t="str">
        <x:v>2024-09-03</x:v>
      </x:c>
      <x:c r="C117" s="7" t="str">
        <x:v>东平佛山中学附近公交车失控事故</x:v>
      </x:c>
      <x:c r="D117" s="2" t="str">
        <x:v>山东</x:v>
      </x:c>
      <x:c r="E117" s="2" t="str">
        <x:v>泰安</x:v>
      </x:c>
      <x:c r="F117" s="2" t="str">
        <x:v>excluded</x:v>
      </x:c>
      <x:c r="G117" s="2" t="str">
        <x:v>校园及周边</x:v>
      </x:c>
      <x:c r="H117" s="2" t="str">
        <x:v>驾车</x:v>
      </x:c>
      <x:c r="I117" s="9" t="n">
        <x:v>11</x:v>
      </x:c>
      <x:c r="J117" s="9" t="n">
        <x:v>13</x:v>
      </x:c>
      <x:c r="K117" s="2"/>
      <x:c r="L117" s="9"/>
      <x:c r="M117" s="9"/>
      <x:c r="N117" s="10" t="n">
        <x:v>45538</x:v>
      </x:c>
      <x:c r="O117" s="7" t="str">
        <x:v>11死包括6名家长5名学生；13名伤者含1危重，危重不等于法医重伤。</x:v>
      </x:c>
      <x:c r="P117" s="7" t="str">
        <x:v>完整警方通报为接送学生车辆失控交通事故；没有支持故意袭击的核实材料。</x:v>
      </x:c>
      <x:c r="Q117" s="2" t="str">
        <x:v>东平县</x:v>
      </x:c>
      <x:c r="R117" s="2" t="str">
        <x:v>城市</x:v>
      </x:c>
      <x:c r="S117" s="2" t="str">
        <x:v>day</x:v>
      </x:c>
      <x:c r="T117" s="2"/>
      <x:c r="U117" s="2"/>
      <x:c r="V117" s="9"/>
      <x:c r="W117" s="9"/>
      <x:c r="X117" s="9"/>
      <x:c r="Y117" s="2" t="str">
        <x:v>是</x:v>
      </x:c>
      <x:c r="Z117" s="2"/>
      <x:c r="AA117" s="9"/>
      <x:c r="AB117" s="2"/>
      <x:c r="AC117" s="2"/>
      <x:c r="AD117" s="7"/>
      <x:c r="AE117" s="2" t="str"/>
      <x:c r="AF117" s="2" t="str">
        <x:v>未知</x:v>
      </x:c>
      <x:c r="AG117" s="2"/>
      <x:c r="AH117" s="2"/>
      <x:c r="AI117" s="2"/>
      <x:c r="AJ117" s="2"/>
      <x:c r="AK117" s="2" t="str">
        <x:v>驾驶员及公交公司相关人员被调查。</x:v>
      </x:c>
      <x:c r="AL117" s="10"/>
      <x:c r="AM117" s="10"/>
      <x:c r="AN117" s="10" t="n">
        <x:v>45538</x:v>
      </x:c>
      <x:c r="AO117" s="2" t="str">
        <x:v>官方转载</x:v>
      </x:c>
      <x:c r="AP117" s="7" t="str">
        <x:v>CS057</x:v>
      </x:c>
      <x:c r="AQ117" s="7" t="str">
        <x:v>{"date":["CS057"],"location":["CS057"],"casualties":["CS057"],"classification":["CS057"],"motive":[],"outcome":["CS057"]}</x:v>
      </x:c>
      <x:c r="AR117" s="2"/>
      <x:c r="AS117" s="9"/>
      <x:c r="AT117" s="9"/>
      <x:c r="AU117" s="9"/>
      <x:c r="AV117" s="2"/>
      <x:c r="AW117" s="2"/>
      <x:c r="AX117" s="9"/>
      <x:c r="AY117" s="10"/>
      <x:c r="AZ117" s="7"/>
      <x:c r="BA117" s="7"/>
      <x:c r="BB117" s="7"/>
      <x:c r="BC117" s="7"/>
      <x:c r="BD117" s="2" t="str">
        <x:v>是</x:v>
      </x:c>
      <x:c r="BE117" s="2" t="str">
        <x:v>否</x:v>
      </x:c>
      <x:c r="BF117" s="2" t="str">
        <x:v>媒体调查／研究推断</x:v>
      </x:c>
      <x:c r="BG117" s="2" t="str"/>
      <x:c r="BH117" s="9" t="n">
        <x:v>2024</x:v>
      </x:c>
      <x:c r="BI117" s="9" t="n">
        <x:v>11</x:v>
      </x:c>
      <x:c r="BJ117" s="9" t="n">
        <x:v>13</x:v>
      </x:c>
      <x:c r="BK117" s="9" t="n">
        <x:v>0</x:v>
      </x:c>
      <x:c r="BL117" s="9" t="n">
        <x:v>0</x:v>
      </x:c>
      <x:c r="BM117" s="9" t="n">
        <x:v>1</x:v>
      </x:c>
      <x:c r="BN117" s="9" t="n">
        <x:v>0</x:v>
      </x:c>
      <x:c r="BO117" s="9" t="n">
        <x:v>0</x:v>
      </x:c>
    </x:row>
    <x:row r="118" ht="38" customHeight="1">
      <x:c r="A118" s="2" t="str">
        <x:v>C014</x:v>
      </x:c>
      <x:c r="B118" s="2" t="str">
        <x:v>2024-09-18</x:v>
      </x:c>
      <x:c r="C118" s="7" t="str">
        <x:v>深圳日本学校学童遭持刀袭击案</x:v>
      </x:c>
      <x:c r="D118" s="2" t="str">
        <x:v>广东</x:v>
      </x:c>
      <x:c r="E118" s="2" t="str">
        <x:v>深圳</x:v>
      </x:c>
      <x:c r="F118" s="2" t="str">
        <x:v>core</x:v>
      </x:c>
      <x:c r="G118" s="2" t="str">
        <x:v>校园及周边</x:v>
      </x:c>
      <x:c r="H118" s="2" t="str">
        <x:v>持械</x:v>
      </x:c>
      <x:c r="I118" s="9" t="n">
        <x:v>1</x:v>
      </x:c>
      <x:c r="J118" s="9" t="n">
        <x:v>0</x:v>
      </x:c>
      <x:c r="K118" s="2"/>
      <x:c r="L118" s="9"/>
      <x:c r="M118" s="9"/>
      <x:c r="N118" s="10" t="n">
        <x:v>45555</x:v>
      </x:c>
      <x:c r="O118" s="7"/>
      <x:c r="P118" s="7" t="str">
        <x:v>无辜上学儿童遭陌生成人主动袭击，官方确认单人作案；日方庭审信息指为引发网络关注，非已知私人定向纠纷。</x:v>
      </x:c>
      <x:c r="Q118" s="2" t="str">
        <x:v>南山区</x:v>
      </x:c>
      <x:c r="R118" s="2" t="str">
        <x:v>城市</x:v>
      </x:c>
      <x:c r="S118" s="2" t="str">
        <x:v>day</x:v>
      </x:c>
      <x:c r="T118" s="2"/>
      <x:c r="U118" s="2"/>
      <x:c r="V118" s="9"/>
      <x:c r="W118" s="9"/>
      <x:c r="X118" s="9"/>
      <x:c r="Y118" s="2" t="str">
        <x:v>是</x:v>
      </x:c>
      <x:c r="Z118" s="2" t="str">
        <x:v>上学途中10岁儿童</x:v>
      </x:c>
      <x:c r="AA118" s="9" t="n">
        <x:v>44</x:v>
      </x:c>
      <x:c r="AB118" s="2" t="str">
        <x:v>男</x:v>
      </x:c>
      <x:c r="AC118" s="2" t="str">
        <x:v>无固定职业</x:v>
      </x:c>
      <x:c r="AD118" s="7" t="str">
        <x:v>联合早报转述日本驻华大使的判决说明：为在网上博取关注而购买刀具、袭击儿童，案发后曾打电话给媒体；未取得中国裁判全文。</x:v>
      </x:c>
      <x:c r="AE118" s="2" t="str">
        <x:v>寻求关注</x:v>
      </x:c>
      <x:c r="AF118" s="2" t="str">
        <x:v>法院认定</x:v>
      </x:c>
      <x:c r="AG118" s="2"/>
      <x:c r="AH118" s="2"/>
      <x:c r="AI118" s="2"/>
      <x:c r="AJ118" s="2" t="str">
        <x:v>当场抓获；医疗抢救；学校加强安保与心理支持</x:v>
      </x:c>
      <x:c r="AK118" s="2" t="str">
        <x:v>故意杀人罪死刑已执行；日方4月21日获通知，执行日未披露</x:v>
      </x:c>
      <x:c r="AL118" s="10" t="n">
        <x:v>45681</x:v>
      </x:c>
      <x:c r="AM118" s="10"/>
      <x:c r="AN118" s="10" t="n">
        <x:v>45769</x:v>
      </x:c>
      <x:c r="AO118" s="2" t="str">
        <x:v>官方转载</x:v>
      </x:c>
      <x:c r="AP118" s="7" t="str">
        <x:v>CS020；CS021；CS060</x:v>
      </x:c>
      <x:c r="AQ118" s="7" t="str">
        <x:v>{"date":["CS020","CS021","CS060"],"location":["CS020","CS021","CS060"],"casualties":["CS020","CS021","CS060"],"classification":["CS020","CS021","CS060"],"motive":["CS060"],"outcome":["CS021","CS060"],"demographics":["CS020"]}</x:v>
      </x:c>
      <x:c r="AR118" s="2"/>
      <x:c r="AS118" s="9"/>
      <x:c r="AT118" s="9"/>
      <x:c r="AU118" s="9"/>
      <x:c r="AV118" s="2"/>
      <x:c r="AW118" s="2"/>
      <x:c r="AX118" s="9"/>
      <x:c r="AY118" s="10"/>
      <x:c r="AZ118" s="7"/>
      <x:c r="BA118" s="7"/>
      <x:c r="BB118" s="7"/>
      <x:c r="BC118" s="7" t="str">
        <x:v>涉嫌旧违法经历非既往暴力定罪；不得因日期或国籍推定仇外动机。 人口特征复核：深圳特区报记者向警方核实男44岁、无固定职业。</x:v>
      </x:c>
      <x:c r="BD118" s="2" t="str">
        <x:v>是</x:v>
      </x:c>
      <x:c r="BE118" s="2" t="str">
        <x:v>否</x:v>
      </x:c>
      <x:c r="BF118" s="2" t="str">
        <x:v>警方确认上学男童遇害；核心分类的非私人定向性质主要依赖媒体转述日本驻华大使对判决博取关注动机的说明。未直接取得完整中国裁判书。</x:v>
      </x:c>
      <x:c r="BG118" s="2" t="str">
        <x:v>寻求关注／表达诉求</x:v>
      </x:c>
      <x:c r="BH118" s="9" t="n">
        <x:v>2024</x:v>
      </x:c>
      <x:c r="BI118" s="9" t="n">
        <x:v>1</x:v>
      </x:c>
      <x:c r="BJ118" s="9" t="n">
        <x:v>0</x:v>
      </x:c>
      <x:c r="BK118" s="9" t="n">
        <x:v>0</x:v>
      </x:c>
      <x:c r="BL118" s="9" t="n">
        <x:v>1</x:v>
      </x:c>
      <x:c r="BM118" s="9" t="n">
        <x:v>0</x:v>
      </x:c>
      <x:c r="BN118" s="9" t="n">
        <x:v>0</x:v>
      </x:c>
      <x:c r="BO118" s="9" t="n">
        <x:v>0</x:v>
      </x:c>
    </x:row>
    <x:row r="119" ht="38" customHeight="1">
      <x:c r="A119" s="2" t="str">
        <x:v>C004</x:v>
      </x:c>
      <x:c r="B119" s="2" t="str">
        <x:v>2024-09-30</x:v>
      </x:c>
      <x:c r="C119" s="7" t="str">
        <x:v>上海松江超市持刀袭击案</x:v>
      </x:c>
      <x:c r="D119" s="2" t="str">
        <x:v>上海</x:v>
      </x:c>
      <x:c r="E119" s="2" t="str">
        <x:v>上海</x:v>
      </x:c>
      <x:c r="F119" s="2" t="str">
        <x:v>core</x:v>
      </x:c>
      <x:c r="G119" s="2" t="str">
        <x:v>商业场所</x:v>
      </x:c>
      <x:c r="H119" s="2" t="str">
        <x:v>持械</x:v>
      </x:c>
      <x:c r="I119" s="9" t="n">
        <x:v>3</x:v>
      </x:c>
      <x:c r="J119" s="9" t="n">
        <x:v>15</x:v>
      </x:c>
      <x:c r="K119" s="2"/>
      <x:c r="L119" s="9"/>
      <x:c r="M119" s="9"/>
      <x:c r="N119" s="10" t="n">
        <x:v>45566</x:v>
      </x:c>
      <x:c r="O119" s="7" t="str">
        <x:v>18名送医者中3名死亡；其余15人不再重复计入死亡。</x:v>
      </x:c>
      <x:c r="P119" s="7" t="str">
        <x:v>警方初查为个人经济纠纷后来沪、在超市持刀泄愤；依据该行为背景归入核心。随机性为官方事实基础上的研究判断，通报未逐一披露受害关系。</x:v>
      </x:c>
      <x:c r="Q119" s="2" t="str">
        <x:v>松江区</x:v>
      </x:c>
      <x:c r="R119" s="2" t="str">
        <x:v>城市</x:v>
      </x:c>
      <x:c r="S119" s="2" t="str">
        <x:v>day</x:v>
      </x:c>
      <x:c r="T119" s="2"/>
      <x:c r="U119" s="2"/>
      <x:c r="V119" s="9"/>
      <x:c r="W119" s="9"/>
      <x:c r="X119" s="9"/>
      <x:c r="Y119" s="2"/>
      <x:c r="Z119" s="2"/>
      <x:c r="AA119" s="9" t="n">
        <x:v>37</x:v>
      </x:c>
      <x:c r="AB119" s="2" t="str">
        <x:v>男</x:v>
      </x:c>
      <x:c r="AC119" s="2"/>
      <x:c r="AD119" s="7" t="str">
        <x:v>警方初查个人经济纠纷后来沪泄愤。</x:v>
      </x:c>
      <x:c r="AE119" s="2" t="str">
        <x:v>经济纠纷；泄愤</x:v>
      </x:c>
      <x:c r="AF119" s="2" t="str">
        <x:v>警方初步通报</x:v>
      </x:c>
      <x:c r="AG119" s="2"/>
      <x:c r="AH119" s="2"/>
      <x:c r="AI119" s="2"/>
      <x:c r="AJ119" s="2" t="str">
        <x:v>当场抓获</x:v>
      </x:c>
      <x:c r="AK119" s="2" t="str">
        <x:v>警方侦办，未检得可核实裁判后续</x:v>
      </x:c>
      <x:c r="AL119" s="10"/>
      <x:c r="AM119" s="10"/>
      <x:c r="AN119" s="10" t="n">
        <x:v>45566</x:v>
      </x:c>
      <x:c r="AO119" s="2" t="str">
        <x:v>官方转载</x:v>
      </x:c>
      <x:c r="AP119" s="7" t="str">
        <x:v>CS007</x:v>
      </x:c>
      <x:c r="AQ119" s="7" t="str">
        <x:v>{"date":["CS007"],"location":["CS007"],"casualties":["CS007"],"classification":["CS007"],"motive":["CS007"],"outcome":["CS007"],"demographics":["CS007"]}</x:v>
      </x:c>
      <x:c r="AR119" s="2"/>
      <x:c r="AS119" s="9"/>
      <x:c r="AT119" s="9"/>
      <x:c r="AU119" s="9"/>
      <x:c r="AV119" s="2"/>
      <x:c r="AW119" s="2"/>
      <x:c r="AX119" s="9"/>
      <x:c r="AY119" s="10"/>
      <x:c r="AZ119" s="7"/>
      <x:c r="BA119" s="7"/>
      <x:c r="BB119" s="7"/>
      <x:c r="BC119" s="7" t="str">
        <x:v>网传内部材料、欠薪原因及全名不采信。 人口特征复核：松江警方通报明确男37岁，未披露职业。</x:v>
      </x:c>
      <x:c r="BD119" s="2" t="str">
        <x:v>是</x:v>
      </x:c>
      <x:c r="BE119" s="2" t="str">
        <x:v>否</x:v>
      </x:c>
      <x:c r="BF119" s="2" t="str">
        <x:v>警方事实基础上的研究推断：个人经济纠纷后来沪在超市泄愤。通报未逐一公布受害关系，随机性不是法院判定。</x:v>
      </x:c>
      <x:c r="BG119" s="2" t="str">
        <x:v>泄愤／转移报复；经济／工作／财产纠纷</x:v>
      </x:c>
      <x:c r="BH119" s="9" t="n">
        <x:v>2024</x:v>
      </x:c>
      <x:c r="BI119" s="9" t="n">
        <x:v>3</x:v>
      </x:c>
      <x:c r="BJ119" s="9" t="n">
        <x:v>15</x:v>
      </x:c>
      <x:c r="BK119" s="9" t="n">
        <x:v>0</x:v>
      </x:c>
      <x:c r="BL119" s="9" t="n">
        <x:v>1</x:v>
      </x:c>
      <x:c r="BM119" s="9" t="n">
        <x:v>0</x:v>
      </x:c>
      <x:c r="BN119" s="9" t="n">
        <x:v>0</x:v>
      </x:c>
      <x:c r="BO119" s="9" t="n">
        <x:v>0</x:v>
      </x:c>
    </x:row>
    <x:row r="120" ht="38" customHeight="1">
      <x:c r="A120" s="2" t="str">
        <x:v>C015</x:v>
      </x:c>
      <x:c r="B120" s="2" t="str">
        <x:v>2024-10-08</x:v>
      </x:c>
      <x:c r="C120" s="7" t="str">
        <x:v>广州天河华强路小学周边持刀袭击案</x:v>
      </x:c>
      <x:c r="D120" s="2" t="str">
        <x:v>广东</x:v>
      </x:c>
      <x:c r="E120" s="2" t="str">
        <x:v>广州</x:v>
      </x:c>
      <x:c r="F120" s="2" t="str">
        <x:v>core</x:v>
      </x:c>
      <x:c r="G120" s="2" t="str">
        <x:v>校园及周边</x:v>
      </x:c>
      <x:c r="H120" s="2" t="str">
        <x:v>持械</x:v>
      </x:c>
      <x:c r="I120" s="9" t="n">
        <x:v>0</x:v>
      </x:c>
      <x:c r="J120" s="9" t="n">
        <x:v>3</x:v>
      </x:c>
      <x:c r="K120" s="2"/>
      <x:c r="L120" s="9"/>
      <x:c r="M120" s="9"/>
      <x:c r="N120" s="10" t="n">
        <x:v>45574</x:v>
      </x:c>
      <x:c r="O120" s="7"/>
      <x:c r="P120" s="7" t="str">
        <x:v>警方完整通报证实在华强路持刀伤害路人；财新核实伤者含两名小学生。根据校门附近群体受袭的行为证据归入核心，官方没有直接使用随机或无差别的定性。</x:v>
      </x:c>
      <x:c r="Q120" s="2" t="str">
        <x:v>天河区</x:v>
      </x:c>
      <x:c r="R120" s="2" t="str">
        <x:v>城市</x:v>
      </x:c>
      <x:c r="S120" s="2" t="str">
        <x:v>day</x:v>
      </x:c>
      <x:c r="T120" s="2"/>
      <x:c r="U120" s="2"/>
      <x:c r="V120" s="9"/>
      <x:c r="W120" s="9"/>
      <x:c r="X120" s="9"/>
      <x:c r="Y120" s="2" t="str">
        <x:v>是</x:v>
      </x:c>
      <x:c r="Z120" s="2" t="str">
        <x:v>路人，含两名小学生</x:v>
      </x:c>
      <x:c r="AA120" s="9" t="n">
        <x:v>60</x:v>
      </x:c>
      <x:c r="AB120" s="2" t="str">
        <x:v>男</x:v>
      </x:c>
      <x:c r="AC120" s="2"/>
      <x:c r="AD120" s="7"/>
      <x:c r="AE120" s="2" t="str"/>
      <x:c r="AF120" s="2" t="str">
        <x:v>未知</x:v>
      </x:c>
      <x:c r="AG120" s="2"/>
      <x:c r="AH120" s="2" t="str">
        <x:v>财新查阅司法材料：2017年持刀攻击前女友，2018年因故意杀人未遂获刑6年6个月</x:v>
      </x:c>
      <x:c r="AI120" s="2"/>
      <x:c r="AJ120" s="2" t="str">
        <x:v>工人、酒店保安协助制服</x:v>
      </x:c>
      <x:c r="AK120" s="2"/>
      <x:c r="AL120" s="10"/>
      <x:c r="AM120" s="10"/>
      <x:c r="AN120" s="10" t="n">
        <x:v>45574</x:v>
      </x:c>
      <x:c r="AO120" s="2" t="str">
        <x:v>官方转载</x:v>
      </x:c>
      <x:c r="AP120" s="7" t="str">
        <x:v>CS023；RCS002</x:v>
      </x:c>
      <x:c r="AQ120" s="7" t="str">
        <x:v>{"date":["CS023"],"location":["CS023"],"casualties":["CS023"],"classification":["CS023","RCS002"],"motive":[],"outcome":[],"demographics":["CS023"]}</x:v>
      </x:c>
      <x:c r="AR120" s="2"/>
      <x:c r="AS120" s="9"/>
      <x:c r="AT120" s="9"/>
      <x:c r="AU120" s="9"/>
      <x:c r="AV120" s="2"/>
      <x:c r="AW120" s="2"/>
      <x:c r="AX120" s="9"/>
      <x:c r="AY120" s="10"/>
      <x:c r="AZ120" s="7"/>
      <x:c r="BA120" s="7"/>
      <x:c r="BB120" s="7"/>
      <x:c r="BC120" s="7" t="str">
        <x:v>本案动机未知，不能将旧情感纠纷当作本次动机。 人口特征复核：财新转述天河警方为60岁男子；刑释及初中文化不等于职业信息，仍未知。</x:v>
      </x:c>
      <x:c r="BD120" s="2" t="str">
        <x:v>是</x:v>
      </x:c>
      <x:c r="BE120" s="2" t="str">
        <x:v>否</x:v>
      </x:c>
      <x:c r="BF120" s="2" t="str">
        <x:v>警方完整通报证实伤害路人；两名学生和成人身份来自财新核实，面向校外人群的分类含媒体与研究判断。</x:v>
      </x:c>
      <x:c r="BG120" s="2" t="str"/>
      <x:c r="BH120" s="9" t="n">
        <x:v>2024</x:v>
      </x:c>
      <x:c r="BI120" s="9" t="n">
        <x:v>0</x:v>
      </x:c>
      <x:c r="BJ120" s="9" t="n">
        <x:v>3</x:v>
      </x:c>
      <x:c r="BK120" s="9" t="n">
        <x:v>0</x:v>
      </x:c>
      <x:c r="BL120" s="9" t="n">
        <x:v>0</x:v>
      </x:c>
      <x:c r="BM120" s="9" t="n">
        <x:v>0</x:v>
      </x:c>
      <x:c r="BN120" s="9" t="n">
        <x:v>0</x:v>
      </x:c>
      <x:c r="BO120" s="9" t="n">
        <x:v>0</x:v>
      </x:c>
    </x:row>
    <x:row r="121" ht="38" customHeight="1">
      <x:c r="A121" s="2" t="str">
        <x:v>C033</x:v>
      </x:c>
      <x:c r="B121" s="2" t="str">
        <x:v>2024-10-23</x:v>
      </x:c>
      <x:c r="C121" s="7" t="str">
        <x:v>青岛悦荟广场附近搅拌车碰撞多车事件</x:v>
      </x:c>
      <x:c r="D121" s="2" t="str">
        <x:v>山东</x:v>
      </x:c>
      <x:c r="E121" s="2" t="str">
        <x:v>青岛</x:v>
      </x:c>
      <x:c r="F121" s="2" t="str">
        <x:v>pending</x:v>
      </x:c>
      <x:c r="G121" s="2" t="str">
        <x:v>街道交通</x:v>
      </x:c>
      <x:c r="H121" s="2" t="str">
        <x:v>驾车</x:v>
      </x:c>
      <x:c r="I121" s="9"/>
      <x:c r="J121" s="9"/>
      <x:c r="K121" s="2" t="str">
        <x:v>3人留院治疗</x:v>
      </x:c>
      <x:c r="L121" s="9" t="n">
        <x:v>3</x:v>
      </x:c>
      <x:c r="M121" s="9"/>
      <x:c r="N121" s="10" t="n">
        <x:v>45589</x:v>
      </x:c>
      <x:c r="O121" s="7"/>
      <x:c r="P121" s="7" t="str">
        <x:v>官方初查涉嫌醉驾；网络影片所称主动报复意图未经身份与真实性核验，保留冲突待核。</x:v>
      </x:c>
      <x:c r="Q121" s="2" t="str">
        <x:v>市北区</x:v>
      </x:c>
      <x:c r="R121" s="2" t="str">
        <x:v>城市</x:v>
      </x:c>
      <x:c r="S121" s="2" t="str">
        <x:v>day</x:v>
      </x:c>
      <x:c r="T121" s="2"/>
      <x:c r="U121" s="2"/>
      <x:c r="V121" s="9"/>
      <x:c r="W121" s="9"/>
      <x:c r="X121" s="9"/>
      <x:c r="Y121" s="2"/>
      <x:c r="Z121" s="2"/>
      <x:c r="AA121" s="9" t="n">
        <x:v>48</x:v>
      </x:c>
      <x:c r="AB121" s="2" t="str">
        <x:v>男</x:v>
      </x:c>
      <x:c r="AC121" s="2"/>
      <x:c r="AD121" s="7"/>
      <x:c r="AE121" s="2" t="str"/>
      <x:c r="AF121" s="2" t="str">
        <x:v>未知</x:v>
      </x:c>
      <x:c r="AG121" s="2"/>
      <x:c r="AH121" s="2"/>
      <x:c r="AI121" s="2"/>
      <x:c r="AJ121" s="2"/>
      <x:c r="AK121" s="2" t="str">
        <x:v>孙某某被控制。</x:v>
      </x:c>
      <x:c r="AL121" s="10"/>
      <x:c r="AM121" s="10"/>
      <x:c r="AN121" s="10" t="n">
        <x:v>45589</x:v>
      </x:c>
      <x:c r="AO121" s="2" t="str">
        <x:v>官方转载</x:v>
      </x:c>
      <x:c r="AP121" s="7" t="str">
        <x:v>CS044</x:v>
      </x:c>
      <x:c r="AQ121" s="7" t="str">
        <x:v>{"date":["CS044"],"location":["CS044"],"casualties":["CS044"],"classification":["CS044"],"motive":[],"outcome":["CS044"]}</x:v>
      </x:c>
      <x:c r="AR121" s="2"/>
      <x:c r="AS121" s="9"/>
      <x:c r="AT121" s="9"/>
      <x:c r="AU121" s="9"/>
      <x:c r="AV121" s="2"/>
      <x:c r="AW121" s="2"/>
      <x:c r="AX121" s="9"/>
      <x:c r="AY121" s="10"/>
      <x:c r="AZ121" s="7"/>
      <x:c r="BA121" s="7"/>
      <x:c r="BB121" s="7"/>
      <x:c r="BC121" s="7"/>
      <x:c r="BD121" s="2" t="str">
        <x:v>是</x:v>
      </x:c>
      <x:c r="BE121" s="2" t="str">
        <x:v>否</x:v>
      </x:c>
      <x:c r="BF121" s="2" t="str">
        <x:v>媒体调查／研究推断</x:v>
      </x:c>
      <x:c r="BG121" s="2" t="str"/>
      <x:c r="BH121" s="9" t="n">
        <x:v>2024</x:v>
      </x:c>
      <x:c r="BI121" s="9" t="n">
        <x:v>0</x:v>
      </x:c>
      <x:c r="BJ121" s="9" t="n">
        <x:v>3</x:v>
      </x:c>
      <x:c r="BK121" s="9" t="n">
        <x:v>0</x:v>
      </x:c>
      <x:c r="BL121" s="9" t="n">
        <x:v>0</x:v>
      </x:c>
      <x:c r="BM121" s="9" t="n">
        <x:v>0</x:v>
      </x:c>
      <x:c r="BN121" s="9" t="n">
        <x:v>1</x:v>
      </x:c>
      <x:c r="BO121" s="9" t="n">
        <x:v>1</x:v>
      </x:c>
    </x:row>
    <x:row r="122" ht="38" customHeight="1">
      <x:c r="A122" s="2" t="str">
        <x:v>C016</x:v>
      </x:c>
      <x:c r="B122" s="2" t="str">
        <x:v>2024-10-28</x:v>
      </x:c>
      <x:c r="C122" s="7" t="str">
        <x:v>北京海淀中关村三小周边持刀袭击案</x:v>
      </x:c>
      <x:c r="D122" s="2" t="str">
        <x:v>北京</x:v>
      </x:c>
      <x:c r="E122" s="2" t="str">
        <x:v>北京</x:v>
      </x:c>
      <x:c r="F122" s="2" t="str">
        <x:v>core</x:v>
      </x:c>
      <x:c r="G122" s="2" t="str">
        <x:v>校园及周边</x:v>
      </x:c>
      <x:c r="H122" s="2" t="str">
        <x:v>持械</x:v>
      </x:c>
      <x:c r="I122" s="9" t="n">
        <x:v>0</x:v>
      </x:c>
      <x:c r="J122" s="9" t="n">
        <x:v>5</x:v>
      </x:c>
      <x:c r="K122" s="2"/>
      <x:c r="L122" s="9"/>
      <x:c r="M122" s="9"/>
      <x:c r="N122" s="10" t="n">
        <x:v>45594</x:v>
      </x:c>
      <x:c r="O122" s="7"/>
      <x:c r="P122" s="7" t="str">
        <x:v>警方通报伤及5名路人，媒体确认3名学生及2名阻止行凶者，属于主动袭击校外儿童人群。</x:v>
      </x:c>
      <x:c r="Q122" s="2" t="str">
        <x:v>海淀区</x:v>
      </x:c>
      <x:c r="R122" s="2" t="str">
        <x:v>城市</x:v>
      </x:c>
      <x:c r="S122" s="2" t="str">
        <x:v>day</x:v>
      </x:c>
      <x:c r="T122" s="2"/>
      <x:c r="U122" s="2"/>
      <x:c r="V122" s="9"/>
      <x:c r="W122" s="9"/>
      <x:c r="X122" s="9"/>
      <x:c r="Y122" s="2" t="str">
        <x:v>是</x:v>
      </x:c>
      <x:c r="Z122" s="2" t="str">
        <x:v>3名学生及阻止行凶的家长、教练</x:v>
      </x:c>
      <x:c r="AA122" s="9" t="n">
        <x:v>50</x:v>
      </x:c>
      <x:c r="AB122" s="2" t="str">
        <x:v>男</x:v>
      </x:c>
      <x:c r="AC122" s="2"/>
      <x:c r="AD122" s="7"/>
      <x:c r="AE122" s="2" t="str"/>
      <x:c r="AF122" s="2" t="str">
        <x:v>未知</x:v>
      </x:c>
      <x:c r="AG122" s="2"/>
      <x:c r="AH122" s="2"/>
      <x:c r="AI122" s="2"/>
      <x:c r="AJ122" s="2" t="str">
        <x:v>现场群众制止，嫌疑人当场控制</x:v>
      </x:c>
      <x:c r="AK122" s="2"/>
      <x:c r="AL122" s="10"/>
      <x:c r="AM122" s="10"/>
      <x:c r="AN122" s="10" t="n">
        <x:v>45594</x:v>
      </x:c>
      <x:c r="AO122" s="2" t="str">
        <x:v>官方转载</x:v>
      </x:c>
      <x:c r="AP122" s="7" t="str">
        <x:v>CS024；CS025</x:v>
      </x:c>
      <x:c r="AQ122" s="7" t="str">
        <x:v>{"date":["CS024","CS025"],"location":["CS024","CS025"],"casualties":["CS024","CS025"],"classification":["CS024","CS025"],"motive":[],"outcome":[],"demographics":["CS024"]}</x:v>
      </x:c>
      <x:c r="AR122" s="2"/>
      <x:c r="AS122" s="9"/>
      <x:c r="AT122" s="9"/>
      <x:c r="AU122" s="9"/>
      <x:c r="AV122" s="2"/>
      <x:c r="AW122" s="2"/>
      <x:c r="AX122" s="9"/>
      <x:c r="AY122" s="10"/>
      <x:c r="AZ122" s="7"/>
      <x:c r="BA122" s="7"/>
      <x:c r="BB122" s="7"/>
      <x:c r="BC122" s="7" t="str">
        <x:v>不采用网传被辞退保安等身份与动机。 人口特征复核：海淀警方通报明确男50岁；未采网传被辞退保安身份。</x:v>
      </x:c>
      <x:c r="BD122" s="2" t="str">
        <x:v>是</x:v>
      </x:c>
      <x:c r="BE122" s="2" t="str">
        <x:v>否</x:v>
      </x:c>
      <x:c r="BF122" s="2" t="str">
        <x:v>警方证实5路人受伤、含3未成年人；3学生及2名制止者来自财新采访，核心分类使用该行为结构。</x:v>
      </x:c>
      <x:c r="BG122" s="2" t="str"/>
      <x:c r="BH122" s="9" t="n">
        <x:v>2024</x:v>
      </x:c>
      <x:c r="BI122" s="9" t="n">
        <x:v>0</x:v>
      </x:c>
      <x:c r="BJ122" s="9" t="n">
        <x:v>5</x:v>
      </x:c>
      <x:c r="BK122" s="9" t="n">
        <x:v>0</x:v>
      </x:c>
      <x:c r="BL122" s="9" t="n">
        <x:v>0</x:v>
      </x:c>
      <x:c r="BM122" s="9" t="n">
        <x:v>0</x:v>
      </x:c>
      <x:c r="BN122" s="9" t="n">
        <x:v>0</x:v>
      </x:c>
      <x:c r="BO122" s="9" t="n">
        <x:v>0</x:v>
      </x:c>
    </x:row>
    <x:row r="123" ht="38" customHeight="1">
      <x:c r="A123" s="2" t="str">
        <x:v>C001</x:v>
      </x:c>
      <x:c r="B123" s="2" t="str">
        <x:v>2024-11-11</x:v>
      </x:c>
      <x:c r="C123" s="7" t="str">
        <x:v>珠海体育中心驾车冲撞人群案</x:v>
      </x:c>
      <x:c r="D123" s="2" t="str">
        <x:v>广东</x:v>
      </x:c>
      <x:c r="E123" s="2" t="str">
        <x:v>珠海</x:v>
      </x:c>
      <x:c r="F123" s="2" t="str">
        <x:v>core</x:v>
      </x:c>
      <x:c r="G123" s="2" t="str">
        <x:v>公园广场</x:v>
      </x:c>
      <x:c r="H123" s="2" t="str">
        <x:v>驾车</x:v>
      </x:c>
      <x:c r="I123" s="9" t="n">
        <x:v>35</x:v>
      </x:c>
      <x:c r="J123" s="9" t="n">
        <x:v>43</x:v>
      </x:c>
      <x:c r="K123" s="2"/>
      <x:c r="L123" s="9"/>
      <x:c r="M123" s="9"/>
      <x:c r="N123" s="10" t="n">
        <x:v>45608</x:v>
      </x:c>
      <x:c r="O123" s="7" t="str">
        <x:v>采用警方公开人数；判决和执行公告未另列最终伤亡人数。</x:v>
      </x:c>
      <x:c r="P123" s="7" t="str">
        <x:v>法院确认主动冲撞锻炼人群发泄私愤，受害人非原婚姻财产纠纷对象。</x:v>
      </x:c>
      <x:c r="Q123" s="2" t="str">
        <x:v>香洲区</x:v>
      </x:c>
      <x:c r="R123" s="2" t="str">
        <x:v>城市</x:v>
      </x:c>
      <x:c r="S123" s="2" t="str">
        <x:v>day</x:v>
      </x:c>
      <x:c r="T123" s="2"/>
      <x:c r="U123" s="2"/>
      <x:c r="V123" s="9"/>
      <x:c r="W123" s="9"/>
      <x:c r="X123" s="9"/>
      <x:c r="Y123" s="2"/>
      <x:c r="Z123" s="2" t="str">
        <x:v>体育中心锻炼群众</x:v>
      </x:c>
      <x:c r="AA123" s="9" t="n">
        <x:v>62</x:v>
      </x:c>
      <x:c r="AB123" s="2" t="str">
        <x:v>男</x:v>
      </x:c>
      <x:c r="AC123" s="2"/>
      <x:c r="AD123" s="7" t="str">
        <x:v>法院认定婚姻破裂、生活失意且不满离婚财产分割，决意撞人泄愤。</x:v>
      </x:c>
      <x:c r="AE123" s="2" t="str">
        <x:v>婚姻家庭；财产纠纷；泄愤</x:v>
      </x:c>
      <x:c r="AF123" s="2" t="str">
        <x:v>法院认定</x:v>
      </x:c>
      <x:c r="AG123" s="2"/>
      <x:c r="AH123" s="2"/>
      <x:c r="AI123" s="2"/>
      <x:c r="AJ123" s="2"/>
      <x:c r="AK123" s="2" t="str">
        <x:v>一审死刑，经最高法核准执行</x:v>
      </x:c>
      <x:c r="AL123" s="10" t="n">
        <x:v>45653</x:v>
      </x:c>
      <x:c r="AM123" s="10" t="n">
        <x:v>45677</x:v>
      </x:c>
      <x:c r="AN123" s="10" t="n">
        <x:v>45677</x:v>
      </x:c>
      <x:c r="AO123" s="2" t="str">
        <x:v>官方转载</x:v>
      </x:c>
      <x:c r="AP123" s="7" t="str">
        <x:v>CS001；CS002；CS003；RSD001</x:v>
      </x:c>
      <x:c r="AQ123" s="7" t="str">
        <x:v>{"date":["CS001","CS003"],"location":["CS001","CS003"],"casualties":["CS003"],"classification":["CS001"],"motive":["CS001"],"outcome":["CS001","CS002"],"demographics":["RSD001"]}</x:v>
      </x:c>
      <x:c r="AR123" s="2"/>
      <x:c r="AS123" s="9"/>
      <x:c r="AT123" s="9"/>
      <x:c r="AU123" s="9"/>
      <x:c r="AV123" s="2"/>
      <x:c r="AW123" s="2"/>
      <x:c r="AX123" s="9"/>
      <x:c r="AY123" s="10"/>
      <x:c r="AZ123" s="7"/>
      <x:c r="BA123" s="7"/>
      <x:c r="BB123" s="7"/>
      <x:c r="BC123" s="7" t="str">
        <x:v>人口特征复核：年龄性别据11月12日警方通报完整文字；驾驶车辆为行为描述，职业仍未知。</x:v>
      </x:c>
      <x:c r="BD123" s="2" t="str">
        <x:v>是</x:v>
      </x:c>
      <x:c r="BE123" s="2" t="str">
        <x:v>是</x:v>
      </x:c>
      <x:c r="BF123" s="2" t="str">
        <x:v>法院公开事实明确：为泄私愤故意冲撞正在锻炼的人群。</x:v>
      </x:c>
      <x:c r="BG123" s="2" t="str">
        <x:v>婚姻／家庭／感情问题；泄愤／转移报复；经济／工作／财产纠纷</x:v>
      </x:c>
      <x:c r="BH123" s="9" t="n">
        <x:v>2024</x:v>
      </x:c>
      <x:c r="BI123" s="9" t="n">
        <x:v>35</x:v>
      </x:c>
      <x:c r="BJ123" s="9" t="n">
        <x:v>43</x:v>
      </x:c>
      <x:c r="BK123" s="9" t="n">
        <x:v>1</x:v>
      </x:c>
      <x:c r="BL123" s="9" t="n">
        <x:v>1</x:v>
      </x:c>
      <x:c r="BM123" s="9" t="n">
        <x:v>0</x:v>
      </x:c>
      <x:c r="BN123" s="9" t="n">
        <x:v>0</x:v>
      </x:c>
      <x:c r="BO123" s="9" t="n">
        <x:v>0</x:v>
      </x:c>
    </x:row>
    <x:row r="124" ht="38" customHeight="1">
      <x:c r="A124" s="2" t="str">
        <x:v>C002</x:v>
      </x:c>
      <x:c r="B124" s="2" t="str">
        <x:v>2024-11-16</x:v>
      </x:c>
      <x:c r="C124" s="7" t="str">
        <x:v>宜兴无锡工艺职业技术学院持刀袭击案</x:v>
      </x:c>
      <x:c r="D124" s="2" t="str">
        <x:v>江苏</x:v>
      </x:c>
      <x:c r="E124" s="2" t="str">
        <x:v>无锡</x:v>
      </x:c>
      <x:c r="F124" s="2" t="str">
        <x:v>core</x:v>
      </x:c>
      <x:c r="G124" s="2" t="str">
        <x:v>校园及周边</x:v>
      </x:c>
      <x:c r="H124" s="2" t="str">
        <x:v>持械</x:v>
      </x:c>
      <x:c r="I124" s="9" t="n">
        <x:v>8</x:v>
      </x:c>
      <x:c r="J124" s="9" t="n">
        <x:v>17</x:v>
      </x:c>
      <x:c r="K124" s="2"/>
      <x:c r="L124" s="9"/>
      <x:c r="M124" s="9"/>
      <x:c r="N124" s="10" t="n">
        <x:v>45677</x:v>
      </x:c>
      <x:c r="O124" s="7"/>
      <x:c r="P124" s="7" t="str">
        <x:v>警方通报因毕业证及实习报酬不满返校发泄；依据校园群体受袭的行为背景归入核心。此为基于官方事实的研究分类，不能写成法院已明确认定受害者均与原纠纷无关。</x:v>
      </x:c>
      <x:c r="Q124" s="2" t="str">
        <x:v>宜兴市</x:v>
      </x:c>
      <x:c r="R124" s="2"/>
      <x:c r="S124" s="2" t="str">
        <x:v>day</x:v>
      </x:c>
      <x:c r="T124" s="2"/>
      <x:c r="U124" s="2"/>
      <x:c r="V124" s="9"/>
      <x:c r="W124" s="9"/>
      <x:c r="X124" s="9"/>
      <x:c r="Y124" s="2"/>
      <x:c r="Z124" s="2" t="str">
        <x:v>校园遇袭人员；已打开的官方公开摘要未逐一披露受害者与施害者关系。</x:v>
      </x:c>
      <x:c r="AA124" s="9" t="n">
        <x:v>21</x:v>
      </x:c>
      <x:c r="AB124" s="2" t="str">
        <x:v>男</x:v>
      </x:c>
      <x:c r="AC124" s="2" t="str">
        <x:v>该校2024届毕业生（警方披露身份；就业状态未明）</x:v>
      </x:c>
      <x:c r="AD124" s="7" t="str">
        <x:v>警方初查称考试不合格未获毕业证及不满实习报酬，返校行凶。</x:v>
      </x:c>
      <x:c r="AE124" s="2" t="str">
        <x:v>学业受挫；劳动报酬；泄愤</x:v>
      </x:c>
      <x:c r="AF124" s="2" t="str">
        <x:v>警方初步通报</x:v>
      </x:c>
      <x:c r="AG124" s="2"/>
      <x:c r="AH124" s="2"/>
      <x:c r="AI124" s="2"/>
      <x:c r="AJ124" s="2" t="str">
        <x:v>当场抓获</x:v>
      </x:c>
      <x:c r="AK124" s="2" t="str">
        <x:v>故意杀人罪死刑，已执行</x:v>
      </x:c>
      <x:c r="AL124" s="10" t="n">
        <x:v>45643</x:v>
      </x:c>
      <x:c r="AM124" s="10" t="n">
        <x:v>45677</x:v>
      </x:c>
      <x:c r="AN124" s="10" t="n">
        <x:v>45677</x:v>
      </x:c>
      <x:c r="AO124" s="2" t="str">
        <x:v>官方转载</x:v>
      </x:c>
      <x:c r="AP124" s="7" t="str">
        <x:v>CS004；CS005</x:v>
      </x:c>
      <x:c r="AQ124" s="7" t="str">
        <x:v>{"date":["CS004","CS005"],"location":["CS004","CS005"],"casualties":["CS004","CS005"],"classification":["CS004","CS005"],"motive":["CS005"],"outcome":["CS004","CS005"],"demographics":["CS005"]}</x:v>
      </x:c>
      <x:c r="AR124" s="2"/>
      <x:c r="AS124" s="9"/>
      <x:c r="AT124" s="9"/>
      <x:c r="AU124" s="9"/>
      <x:c r="AV124" s="2"/>
      <x:c r="AW124" s="2"/>
      <x:c r="AX124" s="9"/>
      <x:c r="AY124" s="10"/>
      <x:c r="AZ124" s="7"/>
      <x:c r="BA124" s="7"/>
      <x:c r="BB124" s="7"/>
      <x:c r="BC124" s="7" t="str">
        <x:v>不采用网传遗书及欠薪细节作为确定事实。 人口特征复核：警方披露年龄性别及该校2024届毕业生身份；未拿到毕业证与实习报酬不满不等于已证实无业。</x:v>
      </x:c>
      <x:c r="BD124" s="2" t="str">
        <x:v>是</x:v>
      </x:c>
      <x:c r="BE124" s="2" t="str">
        <x:v>否</x:v>
      </x:c>
      <x:c r="BF124" s="2" t="str">
        <x:v>官方确认行凶、毕业证及实习报酬不满后返校发泄；核心分类含研究推断。执行公告未披露逐名被害关系，不等于法院明确认定随机。</x:v>
      </x:c>
      <x:c r="BG124" s="2" t="str">
        <x:v>学业问题；泄愤／转移报复；经济／工作／财产纠纷</x:v>
      </x:c>
      <x:c r="BH124" s="9" t="n">
        <x:v>2024</x:v>
      </x:c>
      <x:c r="BI124" s="9" t="n">
        <x:v>8</x:v>
      </x:c>
      <x:c r="BJ124" s="9" t="n">
        <x:v>17</x:v>
      </x:c>
      <x:c r="BK124" s="9" t="n">
        <x:v>0</x:v>
      </x:c>
      <x:c r="BL124" s="9" t="n">
        <x:v>1</x:v>
      </x:c>
      <x:c r="BM124" s="9" t="n">
        <x:v>0</x:v>
      </x:c>
      <x:c r="BN124" s="9" t="n">
        <x:v>0</x:v>
      </x:c>
      <x:c r="BO124" s="9" t="n">
        <x:v>0</x:v>
      </x:c>
    </x:row>
    <x:row r="125" ht="38" customHeight="1">
      <x:c r="A125" s="2" t="str">
        <x:v>C003</x:v>
      </x:c>
      <x:c r="B125" s="2" t="str">
        <x:v>2024-11-19</x:v>
      </x:c>
      <x:c r="C125" s="7" t="str">
        <x:v>常德永安小学周边驾车及持械袭击案</x:v>
      </x:c>
      <x:c r="D125" s="2" t="str">
        <x:v>湖南</x:v>
      </x:c>
      <x:c r="E125" s="2" t="str">
        <x:v>常德</x:v>
      </x:c>
      <x:c r="F125" s="2" t="str">
        <x:v>core</x:v>
      </x:c>
      <x:c r="G125" s="2" t="str">
        <x:v>校园及周边</x:v>
      </x:c>
      <x:c r="H125" s="2" t="str">
        <x:v>复合</x:v>
      </x:c>
      <x:c r="I125" s="9" t="n">
        <x:v>0</x:v>
      </x:c>
      <x:c r="J125" s="9" t="n">
        <x:v>30</x:v>
      </x:c>
      <x:c r="K125" s="2"/>
      <x:c r="L125" s="9"/>
      <x:c r="M125" s="9"/>
      <x:c r="N125" s="10" t="n">
        <x:v>45649</x:v>
      </x:c>
      <x:c r="O125" s="7" t="str">
        <x:v>7人轻伤、16人轻微伤、7人轻微伤以下；包括18名小学生。</x:v>
      </x:c>
      <x:c r="P125" s="7" t="str">
        <x:v>法院明确认定选择不特定多数无辜小学生为主要作案对象。</x:v>
      </x:c>
      <x:c r="Q125" s="2" t="str">
        <x:v>鼎城区</x:v>
      </x:c>
      <x:c r="R125" s="2" t="str">
        <x:v>城市</x:v>
      </x:c>
      <x:c r="S125" s="2" t="str">
        <x:v>day</x:v>
      </x:c>
      <x:c r="T125" s="2"/>
      <x:c r="U125" s="2"/>
      <x:c r="V125" s="9" t="n">
        <x:v>0</x:v>
      </x:c>
      <x:c r="W125" s="9"/>
      <x:c r="X125" s="9"/>
      <x:c r="Y125" s="2" t="str">
        <x:v>是</x:v>
      </x:c>
      <x:c r="Z125" s="2" t="str">
        <x:v>不特定小学生和群众</x:v>
      </x:c>
      <x:c r="AA125" s="9" t="n">
        <x:v>39</x:v>
      </x:c>
      <x:c r="AB125" s="2" t="str">
        <x:v>男</x:v>
      </x:c>
      <x:c r="AC125" s="2"/>
      <x:c r="AD125" s="7" t="str">
        <x:v>法院认定投资亏损及家庭矛盾，借袭击发泄个人情绪。</x:v>
      </x:c>
      <x:c r="AE125" s="2" t="str">
        <x:v>投资亏损；婚姻家庭；泄愤</x:v>
      </x:c>
      <x:c r="AF125" s="2" t="str">
        <x:v>法院认定</x:v>
      </x:c>
      <x:c r="AG125" s="2"/>
      <x:c r="AH125" s="2"/>
      <x:c r="AI125" s="2"/>
      <x:c r="AJ125" s="2" t="str">
        <x:v>当场抓获</x:v>
      </x:c>
      <x:c r="AK125" s="2" t="str">
        <x:v>以危险方法危害公共安全罪判死刑缓期二年执行</x:v>
      </x:c>
      <x:c r="AL125" s="10" t="n">
        <x:v>45649</x:v>
      </x:c>
      <x:c r="AM125" s="10"/>
      <x:c r="AN125" s="10" t="n">
        <x:v>45649</x:v>
      </x:c>
      <x:c r="AO125" s="2" t="str">
        <x:v>官方转载</x:v>
      </x:c>
      <x:c r="AP125" s="7" t="str">
        <x:v>CS006；RSD002</x:v>
      </x:c>
      <x:c r="AQ125" s="7" t="str">
        <x:v>{"date":["CS006"],"location":["CS006"],"casualties":["CS006"],"classification":["CS006"],"motive":["CS006"],"outcome":["CS006"],"demographics":["RSD002"]}</x:v>
      </x:c>
      <x:c r="AR125" s="2"/>
      <x:c r="AS125" s="9"/>
      <x:c r="AT125" s="9"/>
      <x:c r="AU125" s="9"/>
      <x:c r="AV125" s="2"/>
      <x:c r="AW125" s="2"/>
      <x:c r="AX125" s="9"/>
      <x:c r="AY125" s="10"/>
      <x:c r="AZ125" s="7"/>
      <x:c r="BA125" s="7"/>
      <x:c r="BB125" s="7"/>
      <x:c r="BC125" s="7" t="str">
        <x:v>人口特征复核：财新转述案发当日鼎城警方通报，男39岁；所用法院正文未列年龄，增补警方通报转述；职业未知。</x:v>
      </x:c>
      <x:c r="BD125" s="2" t="str">
        <x:v>是</x:v>
      </x:c>
      <x:c r="BE125" s="2" t="str">
        <x:v>是</x:v>
      </x:c>
      <x:c r="BF125" s="2" t="str">
        <x:v>法院公开事实明确选择不特定多数无辜小学生，并连续冲撞后持械攻击群众。</x:v>
      </x:c>
      <x:c r="BG125" s="2" t="str">
        <x:v>婚姻／家庭／感情问题；泄愤／转移报复；经济／工作／财产纠纷</x:v>
      </x:c>
      <x:c r="BH125" s="9" t="n">
        <x:v>2024</x:v>
      </x:c>
      <x:c r="BI125" s="9" t="n">
        <x:v>0</x:v>
      </x:c>
      <x:c r="BJ125" s="9" t="n">
        <x:v>30</x:v>
      </x:c>
      <x:c r="BK125" s="9" t="n">
        <x:v>1</x:v>
      </x:c>
      <x:c r="BL125" s="9" t="n">
        <x:v>1</x:v>
      </x:c>
      <x:c r="BM125" s="9" t="n">
        <x:v>0</x:v>
      </x:c>
      <x:c r="BN125" s="9" t="n">
        <x:v>0</x:v>
      </x:c>
      <x:c r="BO125" s="9" t="n">
        <x:v>0</x:v>
      </x:c>
    </x:row>
    <x:row r="126" ht="38" customHeight="1">
      <x:c r="A126" s="2" t="str">
        <x:v>C043</x:v>
      </x:c>
      <x:c r="B126" s="2" t="str">
        <x:v>2024-11-25</x:v>
      </x:c>
      <x:c r="C126" s="7" t="str">
        <x:v>成都新津四处纵火焚毁财物案</x:v>
      </x:c>
      <x:c r="D126" s="2" t="str">
        <x:v>四川</x:v>
      </x:c>
      <x:c r="E126" s="2" t="str">
        <x:v>成都</x:v>
      </x:c>
      <x:c r="F126" s="2" t="str">
        <x:v>excluded</x:v>
      </x:c>
      <x:c r="G126" s="2" t="str">
        <x:v>社区住宅</x:v>
      </x:c>
      <x:c r="H126" s="2" t="str">
        <x:v>纵火</x:v>
      </x:c>
      <x:c r="I126" s="9"/>
      <x:c r="J126" s="9"/>
      <x:c r="K126" s="2"/>
      <x:c r="L126" s="9"/>
      <x:c r="M126" s="9"/>
      <x:c r="N126" s="10"/>
      <x:c r="O126" s="7" t="str">
        <x:v>未报道人员伤亡，不将未报道写为0。</x:v>
      </x:c>
      <x:c r="P126" s="7" t="str">
        <x:v>有报复社会及放火罪判决，但本报道只确认烧毁财物，无直接袭击人员或人员伤害，未满足本研究随机伤人条件。</x:v>
      </x:c>
      <x:c r="Q126" s="2" t="str">
        <x:v>新津区</x:v>
      </x:c>
      <x:c r="R126" s="2" t="str">
        <x:v>城市</x:v>
      </x:c>
      <x:c r="S126" s="2" t="str">
        <x:v>day</x:v>
      </x:c>
      <x:c r="T126" s="2"/>
      <x:c r="U126" s="2"/>
      <x:c r="V126" s="9"/>
      <x:c r="W126" s="9"/>
      <x:c r="X126" s="9"/>
      <x:c r="Y126" s="2"/>
      <x:c r="Z126" s="2"/>
      <x:c r="AA126" s="9"/>
      <x:c r="AB126" s="2" t="str">
        <x:v>男</x:v>
      </x:c>
      <x:c r="AC126" s="2"/>
      <x:c r="AD126" s="7" t="str">
        <x:v>因盗窃被行政拘留后，认为生活不公，放火泄愤。</x:v>
      </x:c>
      <x:c r="AE126" s="2" t="str">
        <x:v>不满处罚；泄愤</x:v>
      </x:c>
      <x:c r="AF126" s="2" t="str">
        <x:v>法院认定</x:v>
      </x:c>
      <x:c r="AG126" s="2" t="str">
        <x:v>司法鉴定酒精有害使用及待分类精神障碍，完全刑事责任能力。</x:v>
      </x:c>
      <x:c r="AH126" s="2"/>
      <x:c r="AI126" s="2"/>
      <x:c r="AJ126" s="2"/>
      <x:c r="AK126" s="2" t="str">
        <x:v>新津法院判放火罪有期徒刑3年，具体宣判日未披露。</x:v>
      </x:c>
      <x:c r="AL126" s="10"/>
      <x:c r="AM126" s="10"/>
      <x:c r="AN126" s="10" t="n">
        <x:v>45791</x:v>
      </x:c>
      <x:c r="AO126" s="2" t="str">
        <x:v>官方转载</x:v>
      </x:c>
      <x:c r="AP126" s="7" t="str">
        <x:v>CS054</x:v>
      </x:c>
      <x:c r="AQ126" s="7" t="str">
        <x:v>{"date":["CS054"],"location":["CS054"],"casualties":["CS054"],"classification":["CS054"],"motive":["CS054"],"outcome":["CS054"]}</x:v>
      </x:c>
      <x:c r="AR126" s="2"/>
      <x:c r="AS126" s="9"/>
      <x:c r="AT126" s="9"/>
      <x:c r="AU126" s="9"/>
      <x:c r="AV126" s="2"/>
      <x:c r="AW126" s="2"/>
      <x:c r="AX126" s="9"/>
      <x:c r="AY126" s="10"/>
      <x:c r="AZ126" s="7"/>
      <x:c r="BA126" s="7"/>
      <x:c r="BB126" s="7"/>
      <x:c r="BC126" s="7"/>
      <x:c r="BD126" s="2" t="str">
        <x:v>是</x:v>
      </x:c>
      <x:c r="BE126" s="2" t="str">
        <x:v>否</x:v>
      </x:c>
      <x:c r="BF126" s="2" t="str">
        <x:v>媒体调查／研究推断</x:v>
      </x:c>
      <x:c r="BG126" s="2" t="str">
        <x:v>其他已披露背景；泄愤／转移报复</x:v>
      </x:c>
      <x:c r="BH126" s="9" t="n">
        <x:v>2024</x:v>
      </x:c>
      <x:c r="BI126" s="9" t="n">
        <x:v>0</x:v>
      </x:c>
      <x:c r="BJ126" s="9" t="n">
        <x:v>0</x:v>
      </x:c>
      <x:c r="BK126" s="9" t="n">
        <x:v>0</x:v>
      </x:c>
      <x:c r="BL126" s="9" t="n">
        <x:v>1</x:v>
      </x:c>
      <x:c r="BM126" s="9" t="n">
        <x:v>0</x:v>
      </x:c>
      <x:c r="BN126" s="9" t="n">
        <x:v>1</x:v>
      </x:c>
      <x:c r="BO126" s="9" t="n">
        <x:v>1</x:v>
      </x:c>
    </x:row>
    <x:row r="127" ht="38" customHeight="1">
      <x:c r="A127" s="2" t="str">
        <x:v>C017</x:v>
      </x:c>
      <x:c r="B127" s="2" t="str">
        <x:v>2024-12-10</x:v>
      </x:c>
      <x:c r="C127" s="7" t="str">
        <x:v>成都三河场地铁站外持剪刀伤人案</x:v>
      </x:c>
      <x:c r="D127" s="2" t="str">
        <x:v>四川</x:v>
      </x:c>
      <x:c r="E127" s="2" t="str">
        <x:v>成都</x:v>
      </x:c>
      <x:c r="F127" s="2" t="str">
        <x:v>core</x:v>
      </x:c>
      <x:c r="G127" s="2" t="str">
        <x:v>街道交通</x:v>
      </x:c>
      <x:c r="H127" s="2" t="str">
        <x:v>持械</x:v>
      </x:c>
      <x:c r="I127" s="9" t="n">
        <x:v>0</x:v>
      </x:c>
      <x:c r="J127" s="9" t="n">
        <x:v>3</x:v>
      </x:c>
      <x:c r="K127" s="2"/>
      <x:c r="L127" s="9"/>
      <x:c r="M127" s="9"/>
      <x:c r="N127" s="10" t="n">
        <x:v>45637</x:v>
      </x:c>
      <x:c r="O127" s="7"/>
      <x:c r="P127" s="7" t="str">
        <x:v>警方持剪刀乱挥通报与受害者不认识袭击者、目击者描述对过路人攻击的资料相符。</x:v>
      </x:c>
      <x:c r="Q127" s="2" t="str">
        <x:v>新都区</x:v>
      </x:c>
      <x:c r="R127" s="2" t="str">
        <x:v>城市</x:v>
      </x:c>
      <x:c r="S127" s="2" t="str">
        <x:v>day</x:v>
      </x:c>
      <x:c r="T127" s="2"/>
      <x:c r="U127" s="2"/>
      <x:c r="V127" s="9" t="n">
        <x:v>0</x:v>
      </x:c>
      <x:c r="W127" s="9"/>
      <x:c r="X127" s="9"/>
      <x:c r="Y127" s="2"/>
      <x:c r="Z127" s="2" t="str">
        <x:v>路人；受伤女子称不认识嫌犯</x:v>
      </x:c>
      <x:c r="AA127" s="9" t="n">
        <x:v>29</x:v>
      </x:c>
      <x:c r="AB127" s="2" t="str">
        <x:v>男</x:v>
      </x:c>
      <x:c r="AC127" s="2"/>
      <x:c r="AD127" s="7"/>
      <x:c r="AE127" s="2" t="str"/>
      <x:c r="AF127" s="2" t="str">
        <x:v>未知</x:v>
      </x:c>
      <x:c r="AG127" s="2"/>
      <x:c r="AH127" s="2"/>
      <x:c r="AI127" s="2"/>
      <x:c r="AJ127" s="2" t="str">
        <x:v>目击者报警急救；警方当场控制并刑拘</x:v>
      </x:c>
      <x:c r="AK127" s="2"/>
      <x:c r="AL127" s="10"/>
      <x:c r="AM127" s="10"/>
      <x:c r="AN127" s="10" t="n">
        <x:v>45637</x:v>
      </x:c>
      <x:c r="AO127" s="2" t="str">
        <x:v>官方转载</x:v>
      </x:c>
      <x:c r="AP127" s="7" t="str">
        <x:v>CS026</x:v>
      </x:c>
      <x:c r="AQ127" s="7" t="str">
        <x:v>{"date":["CS026"],"location":["CS026"],"casualties":["CS026"],"classification":["CS026"],"motive":[],"outcome":[],"demographics":["CS026"]}</x:v>
      </x:c>
      <x:c r="AR127" s="2"/>
      <x:c r="AS127" s="9"/>
      <x:c r="AT127" s="9"/>
      <x:c r="AU127" s="9"/>
      <x:c r="AV127" s="2"/>
      <x:c r="AW127" s="2"/>
      <x:c r="AX127" s="9"/>
      <x:c r="AY127" s="10"/>
      <x:c r="AZ127" s="7"/>
      <x:c r="BA127" s="7"/>
      <x:c r="BB127" s="7"/>
      <x:c r="BC127" s="7" t="str">
        <x:v>街道袭击，虽邻地铁站仍归街道交通场景。 人口特征复核：南国早报完整引用新都警方通报男29岁；职业未披露。</x:v>
      </x:c>
      <x:c r="BD127" s="2" t="str">
        <x:v>是</x:v>
      </x:c>
      <x:c r="BE127" s="2" t="str">
        <x:v>否</x:v>
      </x:c>
      <x:c r="BF127" s="2" t="str">
        <x:v>警方称持剪刀乱挥；媒体引述伤者不认识施害者及目击者对过路女子遇袭的描述，补足随机性依据。</x:v>
      </x:c>
      <x:c r="BG127" s="2" t="str"/>
      <x:c r="BH127" s="9" t="n">
        <x:v>2024</x:v>
      </x:c>
      <x:c r="BI127" s="9" t="n">
        <x:v>0</x:v>
      </x:c>
      <x:c r="BJ127" s="9" t="n">
        <x:v>3</x:v>
      </x:c>
      <x:c r="BK127" s="9" t="n">
        <x:v>0</x:v>
      </x:c>
      <x:c r="BL127" s="9" t="n">
        <x:v>0</x:v>
      </x:c>
      <x:c r="BM127" s="9" t="n">
        <x:v>0</x:v>
      </x:c>
      <x:c r="BN127" s="9" t="n">
        <x:v>0</x:v>
      </x:c>
      <x:c r="BO127" s="9" t="n">
        <x:v>0</x:v>
      </x:c>
    </x:row>
    <x:row r="128" ht="38" customHeight="1">
      <x:c r="A128" s="2" t="str">
        <x:v>C045</x:v>
      </x:c>
      <x:c r="B128" s="2" t="str">
        <x:v>2025-01-26</x:v>
      </x:c>
      <x:c r="C128" s="7" t="str">
        <x:v>沈阳大东副食品商场外不明爆炸事件</x:v>
      </x:c>
      <x:c r="D128" s="2" t="str">
        <x:v>辽宁</x:v>
      </x:c>
      <x:c r="E128" s="2" t="str">
        <x:v>沈阳</x:v>
      </x:c>
      <x:c r="F128" s="2" t="str">
        <x:v>pending</x:v>
      </x:c>
      <x:c r="G128" s="2" t="str">
        <x:v>商业场所</x:v>
      </x:c>
      <x:c r="H128" s="2" t="str">
        <x:v>爆炸</x:v>
      </x:c>
      <x:c r="I128" s="9"/>
      <x:c r="J128" s="9"/>
      <x:c r="K128" s="2"/>
      <x:c r="L128" s="9"/>
      <x:c r="M128" s="9"/>
      <x:c r="N128" s="10"/>
      <x:c r="O128" s="7"/>
      <x:c r="P128" s="7" t="str">
        <x:v>公开影像及报道显示爆炸，但原因、人为故意性与袭击目标均不明；不采信政治动机猜测。</x:v>
      </x:c>
      <x:c r="Q128" s="2" t="str">
        <x:v>沈河区</x:v>
      </x:c>
      <x:c r="R128" s="2" t="str">
        <x:v>城市</x:v>
      </x:c>
      <x:c r="S128" s="2" t="str">
        <x:v>day</x:v>
      </x:c>
      <x:c r="T128" s="2"/>
      <x:c r="U128" s="2"/>
      <x:c r="V128" s="9"/>
      <x:c r="W128" s="9"/>
      <x:c r="X128" s="9"/>
      <x:c r="Y128" s="2"/>
      <x:c r="Z128" s="2"/>
      <x:c r="AA128" s="9"/>
      <x:c r="AB128" s="2"/>
      <x:c r="AC128" s="2"/>
      <x:c r="AD128" s="7"/>
      <x:c r="AE128" s="2" t="str"/>
      <x:c r="AF128" s="2" t="str">
        <x:v>未知</x:v>
      </x:c>
      <x:c r="AG128" s="2"/>
      <x:c r="AH128" s="2"/>
      <x:c r="AI128" s="2"/>
      <x:c r="AJ128" s="2"/>
      <x:c r="AK128" s="2"/>
      <x:c r="AL128" s="10"/>
      <x:c r="AM128" s="10"/>
      <x:c r="AN128" s="10" t="n">
        <x:v>45684</x:v>
      </x:c>
      <x:c r="AO128" s="2" t="str">
        <x:v>单一媒体</x:v>
      </x:c>
      <x:c r="AP128" s="7" t="str">
        <x:v>CS056</x:v>
      </x:c>
      <x:c r="AQ128" s="7" t="str">
        <x:v>{"date":["CS056"],"location":["CS056"],"casualties":[],"classification":["CS056"],"motive":[],"outcome":[]}</x:v>
      </x:c>
      <x:c r="AR128" s="2"/>
      <x:c r="AS128" s="9"/>
      <x:c r="AT128" s="9"/>
      <x:c r="AU128" s="9"/>
      <x:c r="AV128" s="2"/>
      <x:c r="AW128" s="2"/>
      <x:c r="AX128" s="9"/>
      <x:c r="AY128" s="10"/>
      <x:c r="AZ128" s="7"/>
      <x:c r="BA128" s="7"/>
      <x:c r="BB128" s="7"/>
      <x:c r="BC128" s="7"/>
      <x:c r="BD128" s="2" t="str">
        <x:v>否</x:v>
      </x:c>
      <x:c r="BE128" s="2" t="str">
        <x:v>否</x:v>
      </x:c>
      <x:c r="BF128" s="2" t="str">
        <x:v>媒体调查／研究推断</x:v>
      </x:c>
      <x:c r="BG128" s="2" t="str"/>
      <x:c r="BH128" s="9" t="n">
        <x:v>2025</x:v>
      </x:c>
      <x:c r="BI128" s="9" t="n">
        <x:v>0</x:v>
      </x:c>
      <x:c r="BJ128" s="9" t="n">
        <x:v>0</x:v>
      </x:c>
      <x:c r="BK128" s="9" t="n">
        <x:v>0</x:v>
      </x:c>
      <x:c r="BL128" s="9" t="n">
        <x:v>0</x:v>
      </x:c>
      <x:c r="BM128" s="9" t="n">
        <x:v>1</x:v>
      </x:c>
      <x:c r="BN128" s="9" t="n">
        <x:v>1</x:v>
      </x:c>
      <x:c r="BO128" s="9" t="n">
        <x:v>1</x:v>
      </x:c>
    </x:row>
    <x:row r="129" ht="38" customHeight="1">
      <x:c r="A129" s="2" t="str">
        <x:v>C036</x:v>
      </x:c>
      <x:c r="B129" s="2" t="str">
        <x:v>2025-04-22</x:v>
      </x:c>
      <x:c r="C129" s="7" t="str">
        <x:v>网传金华苏孟小学门口车辆冲撞事件</x:v>
      </x:c>
      <x:c r="D129" s="2" t="str">
        <x:v>浙江</x:v>
      </x:c>
      <x:c r="E129" s="2" t="str">
        <x:v>金华</x:v>
      </x:c>
      <x:c r="F129" s="2" t="str">
        <x:v>pending</x:v>
      </x:c>
      <x:c r="G129" s="2" t="str">
        <x:v>校园及周边</x:v>
      </x:c>
      <x:c r="H129" s="2" t="str">
        <x:v>驾车</x:v>
      </x:c>
      <x:c r="I129" s="9"/>
      <x:c r="J129" s="9"/>
      <x:c r="K129" s="2"/>
      <x:c r="L129" s="9"/>
      <x:c r="M129" s="9"/>
      <x:c r="N129" s="10"/>
      <x:c r="O129" s="7" t="str">
        <x:v>死亡6、7至14等说法冲突，不采纳；不认定司机性别和动机。</x:v>
      </x:c>
      <x:c r="P129" s="7" t="str">
        <x:v>社交视频线索被多媒体转述，但未取得官方通报及独立采集的充分核实；不按转载数提升可靠度。</x:v>
      </x:c>
      <x:c r="Q129" s="2" t="str">
        <x:v>婺城区</x:v>
      </x:c>
      <x:c r="R129" s="2" t="str">
        <x:v>乡镇</x:v>
      </x:c>
      <x:c r="S129" s="2" t="str">
        <x:v>day</x:v>
      </x:c>
      <x:c r="T129" s="2"/>
      <x:c r="U129" s="2"/>
      <x:c r="V129" s="9"/>
      <x:c r="W129" s="9"/>
      <x:c r="X129" s="9"/>
      <x:c r="Y129" s="2"/>
      <x:c r="Z129" s="2"/>
      <x:c r="AA129" s="9"/>
      <x:c r="AB129" s="2"/>
      <x:c r="AC129" s="2"/>
      <x:c r="AD129" s="7"/>
      <x:c r="AE129" s="2" t="str"/>
      <x:c r="AF129" s="2" t="str">
        <x:v>未知</x:v>
      </x:c>
      <x:c r="AG129" s="2"/>
      <x:c r="AH129" s="2"/>
      <x:c r="AI129" s="2"/>
      <x:c r="AJ129" s="2"/>
      <x:c r="AK129" s="2"/>
      <x:c r="AL129" s="10"/>
      <x:c r="AM129" s="10"/>
      <x:c r="AN129" s="10" t="n">
        <x:v>45770</x:v>
      </x:c>
      <x:c r="AO129" s="2" t="str">
        <x:v>网传待核</x:v>
      </x:c>
      <x:c r="AP129" s="7" t="str">
        <x:v>CS047</x:v>
      </x:c>
      <x:c r="AQ129" s="7" t="str">
        <x:v>{"date":["CS047"],"location":["CS047"],"casualties":["CS047"],"classification":["CS047"],"motive":[],"outcome":[]}</x:v>
      </x:c>
      <x:c r="AR129" s="2"/>
      <x:c r="AS129" s="9"/>
      <x:c r="AT129" s="9"/>
      <x:c r="AU129" s="9"/>
      <x:c r="AV129" s="2"/>
      <x:c r="AW129" s="2"/>
      <x:c r="AX129" s="9"/>
      <x:c r="AY129" s="10"/>
      <x:c r="AZ129" s="7"/>
      <x:c r="BA129" s="7"/>
      <x:c r="BB129" s="7"/>
      <x:c r="BC129" s="7"/>
      <x:c r="BD129" s="2" t="str">
        <x:v>否</x:v>
      </x:c>
      <x:c r="BE129" s="2" t="str">
        <x:v>否</x:v>
      </x:c>
      <x:c r="BF129" s="2" t="str">
        <x:v>媒体调查／研究推断</x:v>
      </x:c>
      <x:c r="BG129" s="2" t="str"/>
      <x:c r="BH129" s="9" t="n">
        <x:v>2025</x:v>
      </x:c>
      <x:c r="BI129" s="9" t="n">
        <x:v>0</x:v>
      </x:c>
      <x:c r="BJ129" s="9" t="n">
        <x:v>0</x:v>
      </x:c>
      <x:c r="BK129" s="9" t="n">
        <x:v>0</x:v>
      </x:c>
      <x:c r="BL129" s="9" t="n">
        <x:v>0</x:v>
      </x:c>
      <x:c r="BM129" s="9" t="n">
        <x:v>1</x:v>
      </x:c>
      <x:c r="BN129" s="9" t="n">
        <x:v>1</x:v>
      </x:c>
      <x:c r="BO129" s="9" t="n">
        <x:v>1</x:v>
      </x:c>
    </x:row>
    <x:row r="130" ht="38" customHeight="1">
      <x:c r="A130" s="2" t="str">
        <x:v>C021</x:v>
      </x:c>
      <x:c r="B130" s="2" t="str">
        <x:v>2025-04-28</x:v>
      </x:c>
      <x:c r="C130" s="7" t="str">
        <x:v>网传天津医院医护人员遇袭案</x:v>
      </x:c>
      <x:c r="D130" s="2" t="str">
        <x:v>天津</x:v>
      </x:c>
      <x:c r="E130" s="2" t="str">
        <x:v>天津</x:v>
      </x:c>
      <x:c r="F130" s="2" t="str">
        <x:v>pending</x:v>
      </x:c>
      <x:c r="G130" s="2" t="str">
        <x:v>医疗机构</x:v>
      </x:c>
      <x:c r="H130" s="2" t="str">
        <x:v>持械</x:v>
      </x:c>
      <x:c r="I130" s="9"/>
      <x:c r="J130" s="9"/>
      <x:c r="K130" s="2"/>
      <x:c r="L130" s="9"/>
      <x:c r="M130" s="9"/>
      <x:c r="N130" s="10" t="n">
        <x:v>45778</x:v>
      </x:c>
      <x:c r="O130" s="7" t="str">
        <x:v>东网报道2死、6名医护遇袭及1重伤；未将未经交叉核实数字计入精确伤亡。</x:v>
      </x:c>
      <x:c r="P130" s="7" t="str">
        <x:v>可访问单一媒体报道援引所谓警方通报但未给原件，缺少第二独立可靠采集源及受害关系核实。</x:v>
      </x:c>
      <x:c r="Q130" s="2" t="str">
        <x:v>河西区</x:v>
      </x:c>
      <x:c r="R130" s="2" t="str">
        <x:v>城市</x:v>
      </x:c>
      <x:c r="S130" s="2" t="str">
        <x:v>day</x:v>
      </x:c>
      <x:c r="T130" s="2"/>
      <x:c r="U130" s="2"/>
      <x:c r="V130" s="9"/>
      <x:c r="W130" s="9"/>
      <x:c r="X130" s="9"/>
      <x:c r="Y130" s="2"/>
      <x:c r="Z130" s="2"/>
      <x:c r="AA130" s="9"/>
      <x:c r="AB130" s="2"/>
      <x:c r="AC130" s="2"/>
      <x:c r="AD130" s="7"/>
      <x:c r="AE130" s="2" t="str"/>
      <x:c r="AF130" s="2" t="str">
        <x:v>未知</x:v>
      </x:c>
      <x:c r="AG130" s="2"/>
      <x:c r="AH130" s="2"/>
      <x:c r="AI130" s="2"/>
      <x:c r="AJ130" s="2"/>
      <x:c r="AK130" s="2"/>
      <x:c r="AL130" s="10"/>
      <x:c r="AM130" s="10"/>
      <x:c r="AN130" s="10" t="n">
        <x:v>45778</x:v>
      </x:c>
      <x:c r="AO130" s="2" t="str">
        <x:v>单一媒体</x:v>
      </x:c>
      <x:c r="AP130" s="7" t="str">
        <x:v>CS030</x:v>
      </x:c>
      <x:c r="AQ130" s="7" t="str">
        <x:v>{"date":["CS030"],"location":["CS030"],"casualties":["CS030"],"classification":["CS030"],"motive":[],"outcome":[]}</x:v>
      </x:c>
      <x:c r="AR130" s="2"/>
      <x:c r="AS130" s="9"/>
      <x:c r="AT130" s="9"/>
      <x:c r="AU130" s="9"/>
      <x:c r="AV130" s="2"/>
      <x:c r="AW130" s="2"/>
      <x:c r="AX130" s="9"/>
      <x:c r="AY130" s="10"/>
      <x:c r="AZ130" s="7"/>
      <x:c r="BA130" s="7"/>
      <x:c r="BB130" s="7"/>
      <x:c r="BC130" s="7" t="str">
        <x:v>医保报销、47岁简某等资料亦待原始证据核实，动机与个人字段不据此定值。</x:v>
      </x:c>
      <x:c r="BD130" s="2" t="str">
        <x:v>否</x:v>
      </x:c>
      <x:c r="BE130" s="2" t="str">
        <x:v>否</x:v>
      </x:c>
      <x:c r="BF130" s="2" t="str">
        <x:v>媒体调查／研究推断</x:v>
      </x:c>
      <x:c r="BG130" s="2" t="str"/>
      <x:c r="BH130" s="9" t="n">
        <x:v>2025</x:v>
      </x:c>
      <x:c r="BI130" s="9" t="n">
        <x:v>0</x:v>
      </x:c>
      <x:c r="BJ130" s="9" t="n">
        <x:v>0</x:v>
      </x:c>
      <x:c r="BK130" s="9" t="n">
        <x:v>0</x:v>
      </x:c>
      <x:c r="BL130" s="9" t="n">
        <x:v>0</x:v>
      </x:c>
      <x:c r="BM130" s="9" t="n">
        <x:v>1</x:v>
      </x:c>
      <x:c r="BN130" s="9" t="n">
        <x:v>1</x:v>
      </x:c>
      <x:c r="BO130" s="9" t="n">
        <x:v>1</x:v>
      </x:c>
    </x:row>
    <x:row r="131" ht="38" customHeight="1">
      <x:c r="A131" s="2" t="str">
        <x:v>C026</x:v>
      </x:c>
      <x:c r="B131" s="2" t="str">
        <x:v>2025-05-15</x:v>
      </x:c>
      <x:c r="C131" s="7" t="str">
        <x:v>广州南站安检区外持刀伤人案</x:v>
      </x:c>
      <x:c r="D131" s="2" t="str">
        <x:v>广东</x:v>
      </x:c>
      <x:c r="E131" s="2" t="str">
        <x:v>广州</x:v>
      </x:c>
      <x:c r="F131" s="2" t="str">
        <x:v>pending</x:v>
      </x:c>
      <x:c r="G131" s="2" t="str">
        <x:v>公共交通</x:v>
      </x:c>
      <x:c r="H131" s="2" t="str">
        <x:v>持械</x:v>
      </x:c>
      <x:c r="I131" s="9" t="n">
        <x:v>0</x:v>
      </x:c>
      <x:c r="J131" s="9" t="n">
        <x:v>1</x:v>
      </x:c>
      <x:c r="K131" s="2"/>
      <x:c r="L131" s="9"/>
      <x:c r="M131" s="9"/>
      <x:c r="N131" s="10" t="n">
        <x:v>45792</x:v>
      </x:c>
      <x:c r="O131" s="7"/>
      <x:c r="P131" s="7" t="str">
        <x:v>有官方案情与伤亡，但无被害关系或随机性证据。</x:v>
      </x:c>
      <x:c r="Q131" s="2" t="str">
        <x:v>番禺区</x:v>
      </x:c>
      <x:c r="R131" s="2" t="str">
        <x:v>城市</x:v>
      </x:c>
      <x:c r="S131" s="2" t="str">
        <x:v>day</x:v>
      </x:c>
      <x:c r="T131" s="2"/>
      <x:c r="U131" s="2"/>
      <x:c r="V131" s="9"/>
      <x:c r="W131" s="9"/>
      <x:c r="X131" s="9"/>
      <x:c r="Y131" s="2"/>
      <x:c r="Z131" s="2"/>
      <x:c r="AA131" s="9" t="n">
        <x:v>35</x:v>
      </x:c>
      <x:c r="AB131" s="2" t="str">
        <x:v>男</x:v>
      </x:c>
      <x:c r="AC131" s="2"/>
      <x:c r="AD131" s="7"/>
      <x:c r="AE131" s="2" t="str"/>
      <x:c r="AF131" s="2" t="str">
        <x:v>未知</x:v>
      </x:c>
      <x:c r="AG131" s="2"/>
      <x:c r="AH131" s="2"/>
      <x:c r="AI131" s="2"/>
      <x:c r="AJ131" s="2"/>
      <x:c r="AK131" s="2" t="str">
        <x:v>李某某当场被控制。</x:v>
      </x:c>
      <x:c r="AL131" s="10"/>
      <x:c r="AM131" s="10"/>
      <x:c r="AN131" s="10" t="n">
        <x:v>45792</x:v>
      </x:c>
      <x:c r="AO131" s="2" t="str">
        <x:v>官方转载</x:v>
      </x:c>
      <x:c r="AP131" s="7" t="str">
        <x:v>CS036</x:v>
      </x:c>
      <x:c r="AQ131" s="7" t="str">
        <x:v>{"date":["CS036"],"location":["CS036"],"casualties":["CS036"],"classification":["CS036"],"motive":[],"outcome":["CS036"]}</x:v>
      </x:c>
      <x:c r="AR131" s="2"/>
      <x:c r="AS131" s="9"/>
      <x:c r="AT131" s="9"/>
      <x:c r="AU131" s="9"/>
      <x:c r="AV131" s="2"/>
      <x:c r="AW131" s="2"/>
      <x:c r="AX131" s="9"/>
      <x:c r="AY131" s="10"/>
      <x:c r="AZ131" s="7"/>
      <x:c r="BA131" s="7"/>
      <x:c r="BB131" s="7"/>
      <x:c r="BC131" s="7"/>
      <x:c r="BD131" s="2" t="str">
        <x:v>是</x:v>
      </x:c>
      <x:c r="BE131" s="2" t="str">
        <x:v>否</x:v>
      </x:c>
      <x:c r="BF131" s="2" t="str">
        <x:v>媒体调查／研究推断</x:v>
      </x:c>
      <x:c r="BG131" s="2" t="str"/>
      <x:c r="BH131" s="9" t="n">
        <x:v>2025</x:v>
      </x:c>
      <x:c r="BI131" s="9" t="n">
        <x:v>0</x:v>
      </x:c>
      <x:c r="BJ131" s="9" t="n">
        <x:v>1</x:v>
      </x:c>
      <x:c r="BK131" s="9" t="n">
        <x:v>0</x:v>
      </x:c>
      <x:c r="BL131" s="9" t="n">
        <x:v>0</x:v>
      </x:c>
      <x:c r="BM131" s="9" t="n">
        <x:v>1</x:v>
      </x:c>
      <x:c r="BN131" s="9" t="n">
        <x:v>0</x:v>
      </x:c>
      <x:c r="BO131" s="9" t="n">
        <x:v>0</x:v>
      </x:c>
    </x:row>
    <x:row r="132" ht="38" customHeight="1">
      <x:c r="A132" s="2" t="str">
        <x:v>C032</x:v>
      </x:c>
      <x:c r="B132" s="2" t="str">
        <x:v>2025-05-15</x:v>
      </x:c>
      <x:c r="C132" s="7" t="str">
        <x:v>北京海淀健安西路车辆刮碰行人事件</x:v>
      </x:c>
      <x:c r="D132" s="2" t="str">
        <x:v>北京</x:v>
      </x:c>
      <x:c r="E132" s="2" t="str">
        <x:v>北京</x:v>
      </x:c>
      <x:c r="F132" s="2" t="str">
        <x:v>pending</x:v>
      </x:c>
      <x:c r="G132" s="2" t="str">
        <x:v>街道交通</x:v>
      </x:c>
      <x:c r="H132" s="2" t="str">
        <x:v>驾车</x:v>
      </x:c>
      <x:c r="I132" s="9"/>
      <x:c r="J132" s="9" t="n">
        <x:v>4</x:v>
      </x:c>
      <x:c r="K132" s="2"/>
      <x:c r="L132" s="9"/>
      <x:c r="M132" s="9"/>
      <x:c r="N132" s="10" t="n">
        <x:v>45792</x:v>
      </x:c>
      <x:c r="O132" s="7"/>
      <x:c r="P132" s="7" t="str">
        <x:v>官方仅称刮碰行人事故且仍调查，未确认主动攻击；网传故意亦无独立证据。</x:v>
      </x:c>
      <x:c r="Q132" s="2" t="str">
        <x:v>海淀区</x:v>
      </x:c>
      <x:c r="R132" s="2" t="str">
        <x:v>城市</x:v>
      </x:c>
      <x:c r="S132" s="2" t="str">
        <x:v>day</x:v>
      </x:c>
      <x:c r="T132" s="2"/>
      <x:c r="U132" s="2"/>
      <x:c r="V132" s="9"/>
      <x:c r="W132" s="9"/>
      <x:c r="X132" s="9"/>
      <x:c r="Y132" s="2"/>
      <x:c r="Z132" s="2"/>
      <x:c r="AA132" s="9"/>
      <x:c r="AB132" s="2"/>
      <x:c r="AC132" s="2"/>
      <x:c r="AD132" s="7"/>
      <x:c r="AE132" s="2" t="str"/>
      <x:c r="AF132" s="2" t="str">
        <x:v>未知</x:v>
      </x:c>
      <x:c r="AG132" s="2"/>
      <x:c r="AH132" s="2"/>
      <x:c r="AI132" s="2"/>
      <x:c r="AJ132" s="2"/>
      <x:c r="AK132" s="2" t="str">
        <x:v>肇事司机被查获。</x:v>
      </x:c>
      <x:c r="AL132" s="10"/>
      <x:c r="AM132" s="10"/>
      <x:c r="AN132" s="10" t="n">
        <x:v>45792</x:v>
      </x:c>
      <x:c r="AO132" s="2" t="str">
        <x:v>官方转载</x:v>
      </x:c>
      <x:c r="AP132" s="7" t="str">
        <x:v>CS043</x:v>
      </x:c>
      <x:c r="AQ132" s="7" t="str">
        <x:v>{"date":["CS043"],"location":["CS043"],"casualties":["CS043"],"classification":["CS043"],"motive":[],"outcome":["CS043"]}</x:v>
      </x:c>
      <x:c r="AR132" s="2"/>
      <x:c r="AS132" s="9"/>
      <x:c r="AT132" s="9"/>
      <x:c r="AU132" s="9"/>
      <x:c r="AV132" s="2"/>
      <x:c r="AW132" s="2"/>
      <x:c r="AX132" s="9"/>
      <x:c r="AY132" s="10"/>
      <x:c r="AZ132" s="7"/>
      <x:c r="BA132" s="7"/>
      <x:c r="BB132" s="7"/>
      <x:c r="BC132" s="7"/>
      <x:c r="BD132" s="2" t="str">
        <x:v>是</x:v>
      </x:c>
      <x:c r="BE132" s="2" t="str">
        <x:v>否</x:v>
      </x:c>
      <x:c r="BF132" s="2" t="str">
        <x:v>媒体调查／研究推断</x:v>
      </x:c>
      <x:c r="BG132" s="2" t="str"/>
      <x:c r="BH132" s="9" t="n">
        <x:v>2025</x:v>
      </x:c>
      <x:c r="BI132" s="9" t="n">
        <x:v>0</x:v>
      </x:c>
      <x:c r="BJ132" s="9" t="n">
        <x:v>4</x:v>
      </x:c>
      <x:c r="BK132" s="9" t="n">
        <x:v>0</x:v>
      </x:c>
      <x:c r="BL132" s="9" t="n">
        <x:v>0</x:v>
      </x:c>
      <x:c r="BM132" s="9" t="n">
        <x:v>1</x:v>
      </x:c>
      <x:c r="BN132" s="9" t="n">
        <x:v>1</x:v>
      </x:c>
      <x:c r="BO132" s="9" t="n">
        <x:v>0</x:v>
      </x:c>
    </x:row>
    <x:row r="133" ht="38" customHeight="1">
      <x:c r="A133" s="2" t="str">
        <x:v>C023</x:v>
      </x:c>
      <x:c r="B133" s="2" t="str">
        <x:v>2025-05-30</x:v>
      </x:c>
      <x:c r="C133" s="7" t="str">
        <x:v>成都中纱帽街感情纠纷扩大伤人案</x:v>
      </x:c>
      <x:c r="D133" s="2" t="str">
        <x:v>四川</x:v>
      </x:c>
      <x:c r="E133" s="2" t="str">
        <x:v>成都</x:v>
      </x:c>
      <x:c r="F133" s="2" t="str">
        <x:v>expanded</x:v>
      </x:c>
      <x:c r="G133" s="2" t="str">
        <x:v>商业场所</x:v>
      </x:c>
      <x:c r="H133" s="2" t="str">
        <x:v>持械</x:v>
      </x:c>
      <x:c r="I133" s="9" t="n">
        <x:v>0</x:v>
      </x:c>
      <x:c r="J133" s="9" t="n">
        <x:v>2</x:v>
      </x:c>
      <x:c r="K133" s="2"/>
      <x:c r="L133" s="9"/>
      <x:c r="M133" s="9"/>
      <x:c r="N133" s="10" t="n">
        <x:v>45807</x:v>
      </x:c>
      <x:c r="O133" s="7"/>
      <x:c r="P133" s="7" t="str">
        <x:v>原目标为前女友，另刺伤上前劝阻的男同事；属纠纷扩大至原感情纠纷之外人员。</x:v>
      </x:c>
      <x:c r="Q133" s="2" t="str">
        <x:v>锦江区</x:v>
      </x:c>
      <x:c r="R133" s="2" t="str">
        <x:v>城市</x:v>
      </x:c>
      <x:c r="S133" s="2" t="str">
        <x:v>day</x:v>
      </x:c>
      <x:c r="T133" s="2"/>
      <x:c r="U133" s="2"/>
      <x:c r="V133" s="9"/>
      <x:c r="W133" s="9"/>
      <x:c r="X133" s="9" t="n">
        <x:v>1</x:v>
      </x:c>
      <x:c r="Y133" s="2"/>
      <x:c r="Z133" s="2" t="str">
        <x:v>前女友及上前劝阻的男同事。</x:v>
      </x:c>
      <x:c r="AA133" s="9" t="n">
        <x:v>26</x:v>
      </x:c>
      <x:c r="AB133" s="2" t="str">
        <x:v>男</x:v>
      </x:c>
      <x:c r="AC133" s="2"/>
      <x:c r="AD133" s="7" t="str">
        <x:v>与前女友感情纠纷、到其工作单位发生口角。</x:v>
      </x:c>
      <x:c r="AE133" s="2" t="str">
        <x:v>感情纠纷</x:v>
      </x:c>
      <x:c r="AF133" s="2" t="str">
        <x:v>警方初步通报</x:v>
      </x:c>
      <x:c r="AG133" s="2"/>
      <x:c r="AH133" s="2"/>
      <x:c r="AI133" s="2"/>
      <x:c r="AJ133" s="2"/>
      <x:c r="AK133" s="2" t="str">
        <x:v>当场控制；本人及两名受害者送医均无生命危险。</x:v>
      </x:c>
      <x:c r="AL133" s="10"/>
      <x:c r="AM133" s="10"/>
      <x:c r="AN133" s="10" t="n">
        <x:v>45807</x:v>
      </x:c>
      <x:c r="AO133" s="2" t="str">
        <x:v>官方转载</x:v>
      </x:c>
      <x:c r="AP133" s="7" t="str">
        <x:v>CS033</x:v>
      </x:c>
      <x:c r="AQ133" s="7" t="str">
        <x:v>{"date":["CS033"],"location":["CS033"],"casualties":["CS033"],"classification":["CS033"],"motive":["CS033"],"outcome":["CS033"],"demographics":["CS033"]}</x:v>
      </x:c>
      <x:c r="AR133" s="2"/>
      <x:c r="AS133" s="9"/>
      <x:c r="AT133" s="9"/>
      <x:c r="AU133" s="9"/>
      <x:c r="AV133" s="2"/>
      <x:c r="AW133" s="2"/>
      <x:c r="AX133" s="9"/>
      <x:c r="AY133" s="10"/>
      <x:c r="AZ133" s="7"/>
      <x:c r="BA133" s="7"/>
      <x:c r="BB133" s="7"/>
      <x:c r="BC133" s="7" t="str">
        <x:v>人口特征复核：锦江警方明确男26岁；工作单位和同事指向受害者，不能套用为嫌疑人职业。</x:v>
      </x:c>
      <x:c r="BD133" s="2" t="str">
        <x:v>是</x:v>
      </x:c>
      <x:c r="BE133" s="2" t="str">
        <x:v>是</x:v>
      </x:c>
      <x:c r="BF133" s="2" t="str">
        <x:v>完整警方通报明确原目标为前女友，男同事因上前劝阻另被划伤。</x:v>
      </x:c>
      <x:c r="BG133" s="2" t="str">
        <x:v>婚姻／家庭／感情问题</x:v>
      </x:c>
      <x:c r="BH133" s="9" t="n">
        <x:v>2025</x:v>
      </x:c>
      <x:c r="BI133" s="9" t="n">
        <x:v>0</x:v>
      </x:c>
      <x:c r="BJ133" s="9" t="n">
        <x:v>2</x:v>
      </x:c>
      <x:c r="BK133" s="9" t="n">
        <x:v>1</x:v>
      </x:c>
      <x:c r="BL133" s="9" t="n">
        <x:v>1</x:v>
      </x:c>
      <x:c r="BM133" s="9" t="n">
        <x:v>1</x:v>
      </x:c>
      <x:c r="BN133" s="9" t="n">
        <x:v>0</x:v>
      </x:c>
      <x:c r="BO133" s="9" t="n">
        <x:v>0</x:v>
      </x:c>
    </x:row>
    <x:row r="134" ht="38" customHeight="1">
      <x:c r="A134" s="2" t="str">
        <x:v>C019</x:v>
      </x:c>
      <x:c r="B134" s="2" t="str">
        <x:v>2025-06-04</x:v>
      </x:c>
      <x:c r="C134" s="7" t="str">
        <x:v>武汉大学食堂持刀伤人案</x:v>
      </x:c>
      <x:c r="D134" s="2" t="str">
        <x:v>湖北</x:v>
      </x:c>
      <x:c r="E134" s="2" t="str">
        <x:v>武汉</x:v>
      </x:c>
      <x:c r="F134" s="2" t="str">
        <x:v>pending</x:v>
      </x:c>
      <x:c r="G134" s="2" t="str">
        <x:v>校园及周边</x:v>
      </x:c>
      <x:c r="H134" s="2" t="str">
        <x:v>持械</x:v>
      </x:c>
      <x:c r="I134" s="9" t="n">
        <x:v>0</x:v>
      </x:c>
      <x:c r="J134" s="9" t="n">
        <x:v>3</x:v>
      </x:c>
      <x:c r="K134" s="2"/>
      <x:c r="L134" s="9"/>
      <x:c r="M134" s="9"/>
      <x:c r="N134" s="10" t="n">
        <x:v>45814</x:v>
      </x:c>
      <x:c r="O134" s="7"/>
      <x:c r="P134" s="7" t="str">
        <x:v>警方确认因学业不顺在食堂行凶，但未公布受害者关系；社交平台袭击预告未获独立验证，暂不认定随机。</x:v>
      </x:c>
      <x:c r="Q134" s="2" t="str">
        <x:v>洪山区</x:v>
      </x:c>
      <x:c r="R134" s="2" t="str">
        <x:v>城市</x:v>
      </x:c>
      <x:c r="S134" s="2" t="str">
        <x:v>day</x:v>
      </x:c>
      <x:c r="T134" s="2"/>
      <x:c r="U134" s="2"/>
      <x:c r="V134" s="9"/>
      <x:c r="W134" s="9"/>
      <x:c r="X134" s="9"/>
      <x:c r="Y134" s="2"/>
      <x:c r="Z134" s="2"/>
      <x:c r="AA134" s="9" t="n">
        <x:v>23</x:v>
      </x:c>
      <x:c r="AB134" s="2" t="str">
        <x:v>男</x:v>
      </x:c>
      <x:c r="AC134" s="2" t="str">
        <x:v>武汉大学学生</x:v>
      </x:c>
      <x:c r="AD134" s="7" t="str">
        <x:v>警方称因学业不顺行凶。</x:v>
      </x:c>
      <x:c r="AE134" s="2" t="str">
        <x:v>学业受挫</x:v>
      </x:c>
      <x:c r="AF134" s="2" t="str">
        <x:v>警方初步通报</x:v>
      </x:c>
      <x:c r="AG134" s="2"/>
      <x:c r="AH134" s="2"/>
      <x:c r="AI134" s="2"/>
      <x:c r="AJ134" s="2"/>
      <x:c r="AK134" s="2" t="str">
        <x:v>当场控制并采取刑事强制措施。</x:v>
      </x:c>
      <x:c r="AL134" s="10"/>
      <x:c r="AM134" s="10"/>
      <x:c r="AN134" s="10" t="n">
        <x:v>45814</x:v>
      </x:c>
      <x:c r="AO134" s="2" t="str">
        <x:v>官方转载</x:v>
      </x:c>
      <x:c r="AP134" s="7" t="str">
        <x:v>CS028</x:v>
      </x:c>
      <x:c r="AQ134" s="7" t="str">
        <x:v>{"date":["CS028"],"location":["CS028"],"casualties":["CS028"],"classification":["CS028"],"motive":["CS028"],"outcome":["CS028"]}</x:v>
      </x:c>
      <x:c r="AR134" s="2"/>
      <x:c r="AS134" s="9"/>
      <x:c r="AT134" s="9"/>
      <x:c r="AU134" s="9"/>
      <x:c r="AV134" s="2"/>
      <x:c r="AW134" s="2"/>
      <x:c r="AX134" s="9"/>
      <x:c r="AY134" s="10"/>
      <x:c r="AZ134" s="7"/>
      <x:c r="BA134" s="7"/>
      <x:c r="BB134" s="7"/>
      <x:c r="BC134" s="7"/>
      <x:c r="BD134" s="2" t="str">
        <x:v>是</x:v>
      </x:c>
      <x:c r="BE134" s="2" t="str">
        <x:v>否</x:v>
      </x:c>
      <x:c r="BF134" s="2" t="str">
        <x:v>媒体调查／研究推断</x:v>
      </x:c>
      <x:c r="BG134" s="2" t="str">
        <x:v>学业问题</x:v>
      </x:c>
      <x:c r="BH134" s="9" t="n">
        <x:v>2025</x:v>
      </x:c>
      <x:c r="BI134" s="9" t="n">
        <x:v>0</x:v>
      </x:c>
      <x:c r="BJ134" s="9" t="n">
        <x:v>3</x:v>
      </x:c>
      <x:c r="BK134" s="9" t="n">
        <x:v>0</x:v>
      </x:c>
      <x:c r="BL134" s="9" t="n">
        <x:v>1</x:v>
      </x:c>
      <x:c r="BM134" s="9" t="n">
        <x:v>1</x:v>
      </x:c>
      <x:c r="BN134" s="9" t="n">
        <x:v>0</x:v>
      </x:c>
      <x:c r="BO134" s="9" t="n">
        <x:v>0</x:v>
      </x:c>
    </x:row>
    <x:row r="135" ht="38" customHeight="1">
      <x:c r="A135" s="2" t="str">
        <x:v>C025</x:v>
      </x:c>
      <x:c r="B135" s="2" t="str">
        <x:v>2025-06-14</x:v>
      </x:c>
      <x:c r="C135" s="7" t="str">
        <x:v>重庆李家沱争执后驾车伤人案</x:v>
      </x:c>
      <x:c r="D135" s="2" t="str">
        <x:v>重庆</x:v>
      </x:c>
      <x:c r="E135" s="2" t="str">
        <x:v>重庆</x:v>
      </x:c>
      <x:c r="F135" s="2" t="str">
        <x:v>excluded</x:v>
      </x:c>
      <x:c r="G135" s="2" t="str">
        <x:v>街道交通</x:v>
      </x:c>
      <x:c r="H135" s="2" t="str">
        <x:v>驾车</x:v>
      </x:c>
      <x:c r="I135" s="9" t="n">
        <x:v>1</x:v>
      </x:c>
      <x:c r="J135" s="9" t="n">
        <x:v>4</x:v>
      </x:c>
      <x:c r="K135" s="2"/>
      <x:c r="L135" s="9"/>
      <x:c r="M135" s="9"/>
      <x:c r="N135" s="10" t="n">
        <x:v>45823</x:v>
      </x:c>
      <x:c r="O135" s="7"/>
      <x:c r="P135" s="7" t="str">
        <x:v>官方通报将伤者限定为当场围车争执、阻拦驾驶人离开的群众，未确认攻击其他不特定或无关人；按现场特定纠纷排除。</x:v>
      </x:c>
      <x:c r="Q135" s="2" t="str">
        <x:v>巴南区</x:v>
      </x:c>
      <x:c r="R135" s="2" t="str">
        <x:v>城市</x:v>
      </x:c>
      <x:c r="S135" s="2" t="str">
        <x:v>day</x:v>
      </x:c>
      <x:c r="T135" s="2"/>
      <x:c r="U135" s="2"/>
      <x:c r="V135" s="9"/>
      <x:c r="W135" s="9"/>
      <x:c r="X135" s="9"/>
      <x:c r="Y135" s="2"/>
      <x:c r="Z135" s="2" t="str">
        <x:v>双方鸣笛争执后围车阻拦者。</x:v>
      </x:c>
      <x:c r="AA135" s="9" t="n">
        <x:v>38</x:v>
      </x:c>
      <x:c r="AB135" s="2" t="str">
        <x:v>男</x:v>
      </x:c>
      <x:c r="AC135" s="2"/>
      <x:c r="AD135" s="7" t="str">
        <x:v>前车卸货挡道持续鸣笛，与围车群众争执后强行驶离。</x:v>
      </x:c>
      <x:c r="AE135" s="2" t="str">
        <x:v>现场纠纷</x:v>
      </x:c>
      <x:c r="AF135" s="2" t="str">
        <x:v>警方初步通报</x:v>
      </x:c>
      <x:c r="AG135" s="2"/>
      <x:c r="AH135" s="2"/>
      <x:c r="AI135" s="2"/>
      <x:c r="AJ135" s="2"/>
      <x:c r="AK135" s="2" t="str">
        <x:v>熊某被刑事拘留。</x:v>
      </x:c>
      <x:c r="AL135" s="10"/>
      <x:c r="AM135" s="10"/>
      <x:c r="AN135" s="10" t="n">
        <x:v>45823</x:v>
      </x:c>
      <x:c r="AO135" s="2" t="str">
        <x:v>官方转载</x:v>
      </x:c>
      <x:c r="AP135" s="7" t="str">
        <x:v>CS035</x:v>
      </x:c>
      <x:c r="AQ135" s="7" t="str">
        <x:v>{"date":["CS035"],"location":["CS035"],"casualties":["CS035"],"classification":["CS035"],"motive":["CS035"],"outcome":["CS035"]}</x:v>
      </x:c>
      <x:c r="AR135" s="2"/>
      <x:c r="AS135" s="9"/>
      <x:c r="AT135" s="9"/>
      <x:c r="AU135" s="9"/>
      <x:c r="AV135" s="2"/>
      <x:c r="AW135" s="2"/>
      <x:c r="AX135" s="9"/>
      <x:c r="AY135" s="10"/>
      <x:c r="AZ135" s="7"/>
      <x:c r="BA135" s="7"/>
      <x:c r="BB135" s="7"/>
      <x:c r="BC135" s="7"/>
      <x:c r="BD135" s="2" t="str">
        <x:v>是</x:v>
      </x:c>
      <x:c r="BE135" s="2" t="str">
        <x:v>否</x:v>
      </x:c>
      <x:c r="BF135" s="2" t="str">
        <x:v>媒体调查／研究推断</x:v>
      </x:c>
      <x:c r="BG135" s="2" t="str">
        <x:v>其他已披露背景</x:v>
      </x:c>
      <x:c r="BH135" s="9" t="n">
        <x:v>2025</x:v>
      </x:c>
      <x:c r="BI135" s="9" t="n">
        <x:v>1</x:v>
      </x:c>
      <x:c r="BJ135" s="9" t="n">
        <x:v>4</x:v>
      </x:c>
      <x:c r="BK135" s="9" t="n">
        <x:v>0</x:v>
      </x:c>
      <x:c r="BL135" s="9" t="n">
        <x:v>1</x:v>
      </x:c>
      <x:c r="BM135" s="9" t="n">
        <x:v>1</x:v>
      </x:c>
      <x:c r="BN135" s="9" t="n">
        <x:v>0</x:v>
      </x:c>
      <x:c r="BO135" s="9" t="n">
        <x:v>0</x:v>
      </x:c>
    </x:row>
    <x:row r="136" ht="38" customHeight="1">
      <x:c r="A136" s="2" t="str">
        <x:v>C031</x:v>
      </x:c>
      <x:c r="B136" s="2" t="str">
        <x:v>2025-06-26</x:v>
      </x:c>
      <x:c r="C136" s="7" t="str">
        <x:v>北京密云育才路车辆碰撞行人事故</x:v>
      </x:c>
      <x:c r="D136" s="2" t="str">
        <x:v>北京</x:v>
      </x:c>
      <x:c r="E136" s="2" t="str">
        <x:v>北京</x:v>
      </x:c>
      <x:c r="F136" s="2" t="str">
        <x:v>excluded</x:v>
      </x:c>
      <x:c r="G136" s="2" t="str">
        <x:v>校园及周边</x:v>
      </x:c>
      <x:c r="H136" s="2" t="str">
        <x:v>驾车</x:v>
      </x:c>
      <x:c r="I136" s="9"/>
      <x:c r="J136" s="9"/>
      <x:c r="K136" s="2" t="str">
        <x:v>有人受伤，人数未公布</x:v>
      </x:c>
      <x:c r="L136" s="9"/>
      <x:c r="M136" s="9"/>
      <x:c r="N136" s="10" t="n">
        <x:v>45834</x:v>
      </x:c>
      <x:c r="O136" s="7"/>
      <x:c r="P136" s="7" t="str">
        <x:v>警方初查明确操作不当，未获反证确认故意冲撞；网络汇编所称夫妻争吵不采信。</x:v>
      </x:c>
      <x:c r="Q136" s="2" t="str">
        <x:v>密云区</x:v>
      </x:c>
      <x:c r="R136" s="2" t="str">
        <x:v>城市</x:v>
      </x:c>
      <x:c r="S136" s="2" t="str">
        <x:v>day</x:v>
      </x:c>
      <x:c r="T136" s="2"/>
      <x:c r="U136" s="2"/>
      <x:c r="V136" s="9"/>
      <x:c r="W136" s="9"/>
      <x:c r="X136" s="9"/>
      <x:c r="Y136" s="2"/>
      <x:c r="Z136" s="2"/>
      <x:c r="AA136" s="9" t="n">
        <x:v>35</x:v>
      </x:c>
      <x:c r="AB136" s="2" t="str">
        <x:v>男</x:v>
      </x:c>
      <x:c r="AC136" s="2"/>
      <x:c r="AD136" s="7"/>
      <x:c r="AE136" s="2" t="str"/>
      <x:c r="AF136" s="2" t="str">
        <x:v>未知</x:v>
      </x:c>
      <x:c r="AG136" s="2"/>
      <x:c r="AH136" s="2"/>
      <x:c r="AI136" s="2"/>
      <x:c r="AJ136" s="2"/>
      <x:c r="AK136" s="2" t="str">
        <x:v>事故调查处理中。</x:v>
      </x:c>
      <x:c r="AL136" s="10"/>
      <x:c r="AM136" s="10"/>
      <x:c r="AN136" s="10" t="n">
        <x:v>45834</x:v>
      </x:c>
      <x:c r="AO136" s="2" t="str">
        <x:v>官方转载</x:v>
      </x:c>
      <x:c r="AP136" s="7" t="str">
        <x:v>CS042</x:v>
      </x:c>
      <x:c r="AQ136" s="7" t="str">
        <x:v>{"date":["CS042"],"location":["CS042"],"casualties":["CS042"],"classification":["CS042"],"motive":[],"outcome":["CS042"]}</x:v>
      </x:c>
      <x:c r="AR136" s="2"/>
      <x:c r="AS136" s="9"/>
      <x:c r="AT136" s="9"/>
      <x:c r="AU136" s="9"/>
      <x:c r="AV136" s="2"/>
      <x:c r="AW136" s="2"/>
      <x:c r="AX136" s="9"/>
      <x:c r="AY136" s="10"/>
      <x:c r="AZ136" s="7"/>
      <x:c r="BA136" s="7"/>
      <x:c r="BB136" s="7"/>
      <x:c r="BC136" s="7"/>
      <x:c r="BD136" s="2" t="str">
        <x:v>是</x:v>
      </x:c>
      <x:c r="BE136" s="2" t="str">
        <x:v>否</x:v>
      </x:c>
      <x:c r="BF136" s="2" t="str">
        <x:v>媒体调查／研究推断</x:v>
      </x:c>
      <x:c r="BG136" s="2" t="str"/>
      <x:c r="BH136" s="9" t="n">
        <x:v>2025</x:v>
      </x:c>
      <x:c r="BI136" s="9" t="n">
        <x:v>0</x:v>
      </x:c>
      <x:c r="BJ136" s="9" t="n">
        <x:v>0</x:v>
      </x:c>
      <x:c r="BK136" s="9" t="n">
        <x:v>0</x:v>
      </x:c>
      <x:c r="BL136" s="9" t="n">
        <x:v>0</x:v>
      </x:c>
      <x:c r="BM136" s="9" t="n">
        <x:v>1</x:v>
      </x:c>
      <x:c r="BN136" s="9" t="n">
        <x:v>1</x:v>
      </x:c>
      <x:c r="BO136" s="9" t="n">
        <x:v>1</x:v>
      </x:c>
    </x:row>
    <x:row r="137" ht="38" customHeight="1">
      <x:c r="A137" s="2" t="str">
        <x:v>C047</x:v>
      </x:c>
      <x:c r="B137" s="2" t="str">
        <x:v>2025-07-20</x:v>
      </x:c>
      <x:c r="C137" s="7" t="str">
        <x:v>昆明金碧路交通肇事逃逸案</x:v>
      </x:c>
      <x:c r="D137" s="2" t="str">
        <x:v>云南</x:v>
      </x:c>
      <x:c r="E137" s="2" t="str">
        <x:v>昆明</x:v>
      </x:c>
      <x:c r="F137" s="2" t="str">
        <x:v>excluded</x:v>
      </x:c>
      <x:c r="G137" s="2" t="str">
        <x:v>街道交通</x:v>
      </x:c>
      <x:c r="H137" s="2" t="str">
        <x:v>驾车</x:v>
      </x:c>
      <x:c r="I137" s="9" t="n">
        <x:v>2</x:v>
      </x:c>
      <x:c r="J137" s="9" t="n">
        <x:v>9</x:v>
      </x:c>
      <x:c r="K137" s="2"/>
      <x:c r="L137" s="9"/>
      <x:c r="M137" s="9"/>
      <x:c r="N137" s="10" t="n">
        <x:v>45859</x:v>
      </x:c>
      <x:c r="O137" s="7"/>
      <x:c r="P137" s="7" t="str">
        <x:v>官方初查为交通肇事逃逸，未确认故意攻击随机人群；传播时常误将通报日7月21日作案发日。</x:v>
      </x:c>
      <x:c r="Q137" s="2" t="str">
        <x:v>西山区</x:v>
      </x:c>
      <x:c r="R137" s="2" t="str">
        <x:v>城市</x:v>
      </x:c>
      <x:c r="S137" s="2" t="str">
        <x:v>day</x:v>
      </x:c>
      <x:c r="T137" s="2"/>
      <x:c r="U137" s="2"/>
      <x:c r="V137" s="9" t="n">
        <x:v>0</x:v>
      </x:c>
      <x:c r="W137" s="9"/>
      <x:c r="X137" s="9"/>
      <x:c r="Y137" s="2"/>
      <x:c r="Z137" s="2"/>
      <x:c r="AA137" s="9" t="n">
        <x:v>49</x:v>
      </x:c>
      <x:c r="AB137" s="2" t="str">
        <x:v>男</x:v>
      </x:c>
      <x:c r="AC137" s="2"/>
      <x:c r="AD137" s="7"/>
      <x:c r="AE137" s="2" t="str"/>
      <x:c r="AF137" s="2" t="str">
        <x:v>未知</x:v>
      </x:c>
      <x:c r="AG137" s="2"/>
      <x:c r="AH137" s="2"/>
      <x:c r="AI137" s="2"/>
      <x:c r="AJ137" s="2"/>
      <x:c r="AK137" s="2" t="str">
        <x:v>李某某被抓获，排除酒驾毒驾，事故调查中。</x:v>
      </x:c>
      <x:c r="AL137" s="10"/>
      <x:c r="AM137" s="10"/>
      <x:c r="AN137" s="10" t="n">
        <x:v>45859</x:v>
      </x:c>
      <x:c r="AO137" s="2" t="str">
        <x:v>官方转载</x:v>
      </x:c>
      <x:c r="AP137" s="7" t="str">
        <x:v>CS058</x:v>
      </x:c>
      <x:c r="AQ137" s="7" t="str">
        <x:v>{"date":["CS058"],"location":["CS058"],"casualties":["CS058"],"classification":["CS058"],"motive":[],"outcome":["CS058"]}</x:v>
      </x:c>
      <x:c r="AR137" s="2"/>
      <x:c r="AS137" s="9"/>
      <x:c r="AT137" s="9"/>
      <x:c r="AU137" s="9"/>
      <x:c r="AV137" s="2"/>
      <x:c r="AW137" s="2"/>
      <x:c r="AX137" s="9"/>
      <x:c r="AY137" s="10"/>
      <x:c r="AZ137" s="7"/>
      <x:c r="BA137" s="7"/>
      <x:c r="BB137" s="7"/>
      <x:c r="BC137" s="7"/>
      <x:c r="BD137" s="2" t="str">
        <x:v>是</x:v>
      </x:c>
      <x:c r="BE137" s="2" t="str">
        <x:v>否</x:v>
      </x:c>
      <x:c r="BF137" s="2" t="str">
        <x:v>媒体调查／研究推断</x:v>
      </x:c>
      <x:c r="BG137" s="2" t="str"/>
      <x:c r="BH137" s="9" t="n">
        <x:v>2025</x:v>
      </x:c>
      <x:c r="BI137" s="9" t="n">
        <x:v>2</x:v>
      </x:c>
      <x:c r="BJ137" s="9" t="n">
        <x:v>9</x:v>
      </x:c>
      <x:c r="BK137" s="9" t="n">
        <x:v>0</x:v>
      </x:c>
      <x:c r="BL137" s="9" t="n">
        <x:v>0</x:v>
      </x:c>
      <x:c r="BM137" s="9" t="n">
        <x:v>1</x:v>
      </x:c>
      <x:c r="BN137" s="9" t="n">
        <x:v>0</x:v>
      </x:c>
      <x:c r="BO137" s="9" t="n">
        <x:v>0</x:v>
      </x:c>
    </x:row>
    <x:row r="138" ht="38" customHeight="1">
      <x:c r="A138" s="2" t="str">
        <x:v>C020</x:v>
      </x:c>
      <x:c r="B138" s="2" t="str">
        <x:v>2025-08-03</x:v>
      </x:c>
      <x:c r="C138" s="7" t="str">
        <x:v>耒阳蔡子池街道持刀伤人案</x:v>
      </x:c>
      <x:c r="D138" s="2" t="str">
        <x:v>湖南</x:v>
      </x:c>
      <x:c r="E138" s="2" t="str">
        <x:v>衡阳</x:v>
      </x:c>
      <x:c r="F138" s="2" t="str">
        <x:v>pending</x:v>
      </x:c>
      <x:c r="G138" s="2" t="str">
        <x:v>街道交通</x:v>
      </x:c>
      <x:c r="H138" s="2" t="str">
        <x:v>持械</x:v>
      </x:c>
      <x:c r="I138" s="9" t="n">
        <x:v>2</x:v>
      </x:c>
      <x:c r="J138" s="9" t="n">
        <x:v>3</x:v>
      </x:c>
      <x:c r="K138" s="2"/>
      <x:c r="L138" s="9"/>
      <x:c r="M138" s="9"/>
      <x:c r="N138" s="10" t="n">
        <x:v>45872</x:v>
      </x:c>
      <x:c r="O138" s="7"/>
      <x:c r="P138" s="7" t="str">
        <x:v>故意伤害及伤亡有官方通报；目击者称在路口与麻将馆连续伤人，但被害关系未明确，尚不能确认随机。</x:v>
      </x:c>
      <x:c r="Q138" s="2" t="str">
        <x:v>耒阳市</x:v>
      </x:c>
      <x:c r="R138" s="2" t="str">
        <x:v>城市</x:v>
      </x:c>
      <x:c r="S138" s="2" t="str">
        <x:v>day</x:v>
      </x:c>
      <x:c r="T138" s="2"/>
      <x:c r="U138" s="2"/>
      <x:c r="V138" s="9"/>
      <x:c r="W138" s="9"/>
      <x:c r="X138" s="9"/>
      <x:c r="Y138" s="2"/>
      <x:c r="Z138" s="2"/>
      <x:c r="AA138" s="9" t="n">
        <x:v>31</x:v>
      </x:c>
      <x:c r="AB138" s="2" t="str">
        <x:v>男</x:v>
      </x:c>
      <x:c r="AC138" s="2"/>
      <x:c r="AD138" s="7"/>
      <x:c r="AE138" s="2" t="str"/>
      <x:c r="AF138" s="2" t="str">
        <x:v>未知</x:v>
      </x:c>
      <x:c r="AG138" s="2"/>
      <x:c r="AH138" s="2"/>
      <x:c r="AI138" s="2"/>
      <x:c r="AJ138" s="2"/>
      <x:c r="AK138" s="2" t="str">
        <x:v>段某超被抓获。</x:v>
      </x:c>
      <x:c r="AL138" s="10"/>
      <x:c r="AM138" s="10"/>
      <x:c r="AN138" s="10" t="n">
        <x:v>45872</x:v>
      </x:c>
      <x:c r="AO138" s="2" t="str">
        <x:v>官方转载</x:v>
      </x:c>
      <x:c r="AP138" s="7" t="str">
        <x:v>CS029</x:v>
      </x:c>
      <x:c r="AQ138" s="7" t="str">
        <x:v>{"date":["CS029"],"location":["CS029"],"casualties":["CS029"],"classification":["CS029"],"motive":[],"outcome":["CS029"]}</x:v>
      </x:c>
      <x:c r="AR138" s="2"/>
      <x:c r="AS138" s="9"/>
      <x:c r="AT138" s="9"/>
      <x:c r="AU138" s="9"/>
      <x:c r="AV138" s="2"/>
      <x:c r="AW138" s="2"/>
      <x:c r="AX138" s="9"/>
      <x:c r="AY138" s="10"/>
      <x:c r="AZ138" s="7"/>
      <x:c r="BA138" s="7"/>
      <x:c r="BB138" s="7"/>
      <x:c r="BC138" s="7" t="str">
        <x:v>学校附近不等于针对在校儿童；不采用网传受害者身份。</x:v>
      </x:c>
      <x:c r="BD138" s="2" t="str">
        <x:v>是</x:v>
      </x:c>
      <x:c r="BE138" s="2" t="str">
        <x:v>否</x:v>
      </x:c>
      <x:c r="BF138" s="2" t="str">
        <x:v>媒体调查／研究推断</x:v>
      </x:c>
      <x:c r="BG138" s="2" t="str"/>
      <x:c r="BH138" s="9" t="n">
        <x:v>2025</x:v>
      </x:c>
      <x:c r="BI138" s="9" t="n">
        <x:v>2</x:v>
      </x:c>
      <x:c r="BJ138" s="9" t="n">
        <x:v>3</x:v>
      </x:c>
      <x:c r="BK138" s="9" t="n">
        <x:v>0</x:v>
      </x:c>
      <x:c r="BL138" s="9" t="n">
        <x:v>0</x:v>
      </x:c>
      <x:c r="BM138" s="9" t="n">
        <x:v>1</x:v>
      </x:c>
      <x:c r="BN138" s="9" t="n">
        <x:v>0</x:v>
      </x:c>
      <x:c r="BO138" s="9" t="n">
        <x:v>0</x:v>
      </x:c>
    </x:row>
    <x:row r="139" ht="38" customHeight="1">
      <x:c r="A139" s="2" t="str">
        <x:v>C035</x:v>
      </x:c>
      <x:c r="B139" s="2" t="str">
        <x:v>2025-10-06</x:v>
      </x:c>
      <x:c r="C139" s="7" t="str">
        <x:v>网传泉港永嘉天地持刀伤人事件</x:v>
      </x:c>
      <x:c r="D139" s="2" t="str">
        <x:v>福建</x:v>
      </x:c>
      <x:c r="E139" s="2" t="str">
        <x:v>泉州</x:v>
      </x:c>
      <x:c r="F139" s="2" t="str">
        <x:v>pending</x:v>
      </x:c>
      <x:c r="G139" s="2" t="str">
        <x:v>商业场所</x:v>
      </x:c>
      <x:c r="H139" s="2" t="str">
        <x:v>持械</x:v>
      </x:c>
      <x:c r="I139" s="9"/>
      <x:c r="J139" s="9"/>
      <x:c r="K139" s="2"/>
      <x:c r="L139" s="9"/>
      <x:c r="M139" s="9"/>
      <x:c r="N139" s="10"/>
      <x:c r="O139" s="7" t="str">
        <x:v>7至8人等网传人数未核，不取值。</x:v>
      </x:c>
      <x:c r="P139" s="7" t="str">
        <x:v>仅找到网传影像汇编，未取得可靠现场独立报道或官方通报。</x:v>
      </x:c>
      <x:c r="Q139" s="2" t="str">
        <x:v>泉港区</x:v>
      </x:c>
      <x:c r="R139" s="2"/>
      <x:c r="S139" s="2" t="str">
        <x:v>day</x:v>
      </x:c>
      <x:c r="T139" s="2"/>
      <x:c r="U139" s="2"/>
      <x:c r="V139" s="9"/>
      <x:c r="W139" s="9"/>
      <x:c r="X139" s="9"/>
      <x:c r="Y139" s="2"/>
      <x:c r="Z139" s="2"/>
      <x:c r="AA139" s="9"/>
      <x:c r="AB139" s="2"/>
      <x:c r="AC139" s="2"/>
      <x:c r="AD139" s="7"/>
      <x:c r="AE139" s="2" t="str"/>
      <x:c r="AF139" s="2" t="str">
        <x:v>未知</x:v>
      </x:c>
      <x:c r="AG139" s="2"/>
      <x:c r="AH139" s="2"/>
      <x:c r="AI139" s="2"/>
      <x:c r="AJ139" s="2"/>
      <x:c r="AK139" s="2"/>
      <x:c r="AL139" s="10"/>
      <x:c r="AM139" s="10"/>
      <x:c r="AN139" s="10" t="n">
        <x:v>45937</x:v>
      </x:c>
      <x:c r="AO139" s="2" t="str">
        <x:v>网传待核</x:v>
      </x:c>
      <x:c r="AP139" s="7" t="str">
        <x:v>CS046</x:v>
      </x:c>
      <x:c r="AQ139" s="7" t="str">
        <x:v>{"date":["CS046"],"location":["CS046"],"casualties":["CS046"],"classification":["CS046"],"motive":[],"outcome":[]}</x:v>
      </x:c>
      <x:c r="AR139" s="2"/>
      <x:c r="AS139" s="9"/>
      <x:c r="AT139" s="9"/>
      <x:c r="AU139" s="9"/>
      <x:c r="AV139" s="2"/>
      <x:c r="AW139" s="2"/>
      <x:c r="AX139" s="9"/>
      <x:c r="AY139" s="10"/>
      <x:c r="AZ139" s="7"/>
      <x:c r="BA139" s="7"/>
      <x:c r="BB139" s="7"/>
      <x:c r="BC139" s="7"/>
      <x:c r="BD139" s="2" t="str">
        <x:v>否</x:v>
      </x:c>
      <x:c r="BE139" s="2" t="str">
        <x:v>否</x:v>
      </x:c>
      <x:c r="BF139" s="2" t="str">
        <x:v>媒体调查／研究推断</x:v>
      </x:c>
      <x:c r="BG139" s="2" t="str"/>
      <x:c r="BH139" s="9" t="n">
        <x:v>2025</x:v>
      </x:c>
      <x:c r="BI139" s="9" t="n">
        <x:v>0</x:v>
      </x:c>
      <x:c r="BJ139" s="9" t="n">
        <x:v>0</x:v>
      </x:c>
      <x:c r="BK139" s="9" t="n">
        <x:v>0</x:v>
      </x:c>
      <x:c r="BL139" s="9" t="n">
        <x:v>0</x:v>
      </x:c>
      <x:c r="BM139" s="9" t="n">
        <x:v>0</x:v>
      </x:c>
      <x:c r="BN139" s="9" t="n">
        <x:v>1</x:v>
      </x:c>
      <x:c r="BO139" s="9" t="n">
        <x:v>1</x:v>
      </x:c>
    </x:row>
    <x:row r="140" ht="38" customHeight="1">
      <x:c r="A140" s="2" t="str">
        <x:v>C022</x:v>
      </x:c>
      <x:c r="B140" s="2" t="str">
        <x:v>2025-10-22</x:v>
      </x:c>
      <x:c r="C140" s="7" t="str">
        <x:v>十堰重庆路小学附近车辆冲撞人群案</x:v>
      </x:c>
      <x:c r="D140" s="2" t="str">
        <x:v>湖北</x:v>
      </x:c>
      <x:c r="E140" s="2" t="str">
        <x:v>十堰</x:v>
      </x:c>
      <x:c r="F140" s="2" t="str">
        <x:v>core</x:v>
      </x:c>
      <x:c r="G140" s="2" t="str">
        <x:v>校园及周边</x:v>
      </x:c>
      <x:c r="H140" s="2" t="str">
        <x:v>驾车</x:v>
      </x:c>
      <x:c r="I140" s="9" t="n">
        <x:v>1</x:v>
      </x:c>
      <x:c r="J140" s="9"/>
      <x:c r="K140" s="2" t="str">
        <x:v>4人伤情较重、另有多人轻微受伤</x:v>
      </x:c>
      <x:c r="L140" s="9" t="n">
        <x:v>4</x:v>
      </x:c>
      <x:c r="M140" s="9"/>
      <x:c r="N140" s="10" t="n">
        <x:v>45954</x:v>
      </x:c>
      <x:c r="O140" s="7" t="str">
        <x:v>通报的伤情较重并非法医重伤鉴定；伤者总数未公开。</x:v>
      </x:c>
      <x:c r="P140" s="7" t="str">
        <x:v>警方认定危险方法危害公共安全，财新现场视频核查描述车辆径直冲向等红灯的人群，可支持不特定公众目标，非仅凭伤亡人数。</x:v>
      </x:c>
      <x:c r="Q140" s="2" t="str">
        <x:v>茅箭区</x:v>
      </x:c>
      <x:c r="R140" s="2" t="str">
        <x:v>城市</x:v>
      </x:c>
      <x:c r="S140" s="2" t="str">
        <x:v>day</x:v>
      </x:c>
      <x:c r="T140" s="2"/>
      <x:c r="U140" s="2"/>
      <x:c r="V140" s="9"/>
      <x:c r="W140" s="9"/>
      <x:c r="X140" s="9"/>
      <x:c r="Y140" s="2" t="str">
        <x:v>是</x:v>
      </x:c>
      <x:c r="Z140" s="2"/>
      <x:c r="AA140" s="9" t="n">
        <x:v>48</x:v>
      </x:c>
      <x:c r="AB140" s="2" t="str">
        <x:v>男</x:v>
      </x:c>
      <x:c r="AC140" s="2"/>
      <x:c r="AD140" s="7"/>
      <x:c r="AE140" s="2" t="str"/>
      <x:c r="AF140" s="2" t="str">
        <x:v>未知</x:v>
      </x:c>
      <x:c r="AG140" s="2"/>
      <x:c r="AH140" s="2"/>
      <x:c r="AI140" s="2"/>
      <x:c r="AJ140" s="2"/>
      <x:c r="AK140" s="2" t="str">
        <x:v>陈某被刑事拘留。</x:v>
      </x:c>
      <x:c r="AL140" s="10"/>
      <x:c r="AM140" s="10"/>
      <x:c r="AN140" s="10" t="n">
        <x:v>45955</x:v>
      </x:c>
      <x:c r="AO140" s="2" t="str">
        <x:v>官方转载</x:v>
      </x:c>
      <x:c r="AP140" s="7" t="str">
        <x:v>CS031；CS032</x:v>
      </x:c>
      <x:c r="AQ140" s="7" t="str">
        <x:v>{"date":["CS031","CS032"],"location":["CS031","CS032"],"casualties":["CS031","CS032"],"classification":["CS031","CS032"],"motive":[],"outcome":["CS031","CS032"],"demographics":["CS032"]}</x:v>
      </x:c>
      <x:c r="AR140" s="2"/>
      <x:c r="AS140" s="9"/>
      <x:c r="AT140" s="9"/>
      <x:c r="AU140" s="9"/>
      <x:c r="AV140" s="2"/>
      <x:c r="AW140" s="2"/>
      <x:c r="AX140" s="9"/>
      <x:c r="AY140" s="10"/>
      <x:c r="AZ140" s="7"/>
      <x:c r="BA140" s="7"/>
      <x:c r="BB140" s="7"/>
      <x:c r="BC140" s="7" t="str">
        <x:v>人口特征复核：平安茅箭完整通报明确男48岁；车辆驾驶员是案中角色，职业未披露。</x:v>
      </x:c>
      <x:c r="BD140" s="2" t="str">
        <x:v>是</x:v>
      </x:c>
      <x:c r="BE140" s="2" t="str">
        <x:v>否</x:v>
      </x:c>
      <x:c r="BF140" s="2" t="str">
        <x:v>警方认定以危险方法危害公共安全；不特定公众目标依据财新对行车记录仪及现场影像的核查。罪名本身不等于随机性。</x:v>
      </x:c>
      <x:c r="BG140" s="2" t="str"/>
      <x:c r="BH140" s="9" t="n">
        <x:v>2025</x:v>
      </x:c>
      <x:c r="BI140" s="9" t="n">
        <x:v>1</x:v>
      </x:c>
      <x:c r="BJ140" s="9" t="n">
        <x:v>4</x:v>
      </x:c>
      <x:c r="BK140" s="9" t="n">
        <x:v>0</x:v>
      </x:c>
      <x:c r="BL140" s="9" t="n">
        <x:v>0</x:v>
      </x:c>
      <x:c r="BM140" s="9" t="n">
        <x:v>0</x:v>
      </x:c>
      <x:c r="BN140" s="9" t="n">
        <x:v>0</x:v>
      </x:c>
      <x:c r="BO140" s="9" t="n">
        <x:v>1</x:v>
      </x:c>
    </x:row>
    <x:row r="141" ht="38" customHeight="1">
      <x:c r="A141" s="2" t="str">
        <x:v>LX26A17</x:v>
      </x:c>
      <x:c r="B141" s="2" t="str">
        <x:v>2026-01-07</x:v>
      </x:c>
      <x:c r="C141" s="7" t="str">
        <x:v>中山教培中心教师遭定向持刀报复案</x:v>
      </x:c>
      <x:c r="D141" s="2" t="str">
        <x:v>广东</x:v>
      </x:c>
      <x:c r="E141" s="2" t="str">
        <x:v>中山</x:v>
      </x:c>
      <x:c r="F141" s="2" t="str">
        <x:v>excluded</x:v>
      </x:c>
      <x:c r="G141" s="2" t="str">
        <x:v>校园及周边</x:v>
      </x:c>
      <x:c r="H141" s="2" t="str">
        <x:v>持械</x:v>
      </x:c>
      <x:c r="I141" s="9"/>
      <x:c r="J141" s="9"/>
      <x:c r="K141" s="2"/>
      <x:c r="L141" s="9" t="n">
        <x:v>1</x:v>
      </x:c>
      <x:c r="M141" s="9"/>
      <x:c r="N141" s="10" t="n">
        <x:v>46111</x:v>
      </x:c>
      <x:c r="O141" s="7" t="str">
        <x:v>官方事迹确认一名教师受伤；不是完整伤亡统计。</x:v>
      </x:c>
      <x:c r="P141" s="7" t="str">
        <x:v>官方称行凶者将特定教师叫出教室报复；未见攻击其他学生或无关制止者。</x:v>
      </x:c>
      <x:c r="Q141" s="2"/>
      <x:c r="R141" s="2"/>
      <x:c r="S141" s="2" t="str">
        <x:v>day</x:v>
      </x:c>
      <x:c r="T141" s="2"/>
      <x:c r="U141" s="2"/>
      <x:c r="V141" s="9"/>
      <x:c r="W141" s="9"/>
      <x:c r="X141" s="9"/>
      <x:c r="Y141" s="2"/>
      <x:c r="Z141" s="2" t="str">
        <x:v>定向报复教师</x:v>
      </x:c>
      <x:c r="AA141" s="9"/>
      <x:c r="AB141" s="2"/>
      <x:c r="AC141" s="2"/>
      <x:c r="AD141" s="7"/>
      <x:c r="AE141" s="2" t="str"/>
      <x:c r="AF141" s="2" t="str">
        <x:v>未知</x:v>
      </x:c>
      <x:c r="AG141" s="2"/>
      <x:c r="AH141" s="2"/>
      <x:c r="AI141" s="2"/>
      <x:c r="AJ141" s="2" t="str">
        <x:v>家长和其他教师合力制止。</x:v>
      </x:c>
      <x:c r="AK141" s="2" t="str">
        <x:v>嫌疑人被抓获。</x:v>
      </x:c>
      <x:c r="AL141" s="10"/>
      <x:c r="AM141" s="10"/>
      <x:c r="AN141" s="10" t="n">
        <x:v>46111</x:v>
      </x:c>
      <x:c r="AO141" s="2" t="str">
        <x:v>官方原文</x:v>
      </x:c>
      <x:c r="AP141" s="7" t="str">
        <x:v>LXS26A22</x:v>
      </x:c>
      <x:c r="AQ141" s="7" t="str">
        <x:v>{"date":["LXS26A22"],"location":["LXS26A22"],"casualties":["LXS26A22"],"classification":["LXS26A22"],"motive":[],"outcome":["LXS26A22"],"intervention":["LXS26A22"]}</x:v>
      </x:c>
      <x:c r="AR141" s="2"/>
      <x:c r="AS141" s="9"/>
      <x:c r="AT141" s="9"/>
      <x:c r="AU141" s="9"/>
      <x:c r="AV141" s="2"/>
      <x:c r="AW141" s="2" t="str">
        <x:v>2026-X补查</x:v>
      </x:c>
      <x:c r="AX141" s="9" t="n">
        <x:v>2026</x:v>
      </x:c>
      <x:c r="AY141" s="10"/>
      <x:c r="AZ141" s="7"/>
      <x:c r="BA141" s="7"/>
      <x:c r="BB141" s="7" t="str"/>
      <x:c r="BC141" s="7"/>
      <x:c r="BD141" s="2" t="str">
        <x:v>是</x:v>
      </x:c>
      <x:c r="BE141" s="2" t="str">
        <x:v>是</x:v>
      </x:c>
      <x:c r="BF141" s="2" t="str">
        <x:v>官方明确特定报复对象</x:v>
      </x:c>
      <x:c r="BG141" s="2" t="str"/>
      <x:c r="BH141" s="9" t="n">
        <x:v>2026</x:v>
      </x:c>
      <x:c r="BI141" s="9" t="n">
        <x:v>0</x:v>
      </x:c>
      <x:c r="BJ141" s="9" t="n">
        <x:v>1</x:v>
      </x:c>
      <x:c r="BK141" s="9" t="n">
        <x:v>1</x:v>
      </x:c>
      <x:c r="BL141" s="9" t="n">
        <x:v>0</x:v>
      </x:c>
      <x:c r="BM141" s="9" t="n">
        <x:v>1</x:v>
      </x:c>
      <x:c r="BN141" s="9" t="n">
        <x:v>1</x:v>
      </x:c>
      <x:c r="BO141" s="9" t="n">
        <x:v>1</x:v>
      </x:c>
    </x:row>
    <x:row r="142" ht="38" customHeight="1">
      <x:c r="A142" s="2" t="str">
        <x:v>LX26A15</x:v>
      </x:c>
      <x:c r="B142" s="2" t="str">
        <x:v>2026-01-10</x:v>
      </x:c>
      <x:c r="C142" s="7" t="str">
        <x:v>南昌万象城女子遭刀划伤及制止过程</x:v>
      </x:c>
      <x:c r="D142" s="2" t="str">
        <x:v>江西</x:v>
      </x:c>
      <x:c r="E142" s="2" t="str">
        <x:v>南昌</x:v>
      </x:c>
      <x:c r="F142" s="2" t="str">
        <x:v>pending</x:v>
      </x:c>
      <x:c r="G142" s="2" t="str">
        <x:v>商业场所</x:v>
      </x:c>
      <x:c r="H142" s="2" t="str">
        <x:v>持械</x:v>
      </x:c>
      <x:c r="I142" s="9"/>
      <x:c r="J142" s="9" t="n">
        <x:v>1</x:v>
      </x:c>
      <x:c r="K142" s="2"/>
      <x:c r="L142" s="9"/>
      <x:c r="M142" s="9"/>
      <x:c r="N142" s="10" t="n">
        <x:v>46033</x:v>
      </x:c>
      <x:c r="O142" s="7" t="str">
        <x:v>警方仅确认女子表皮伤；不推定保安受伤。</x:v>
      </x:c>
      <x:c r="P142" s="7" t="str">
        <x:v>警方确认一名女子受伤，官方事迹确认店员遇袭及群众制止。媒体标题称安保遭推搡险坠扶梯，但正文没有独立调查该过程，初始双方关系也未明；事件发生已核实，公众目标或扩大攻击仍待核。</x:v>
      </x:c>
      <x:c r="Q142" s="2" t="str">
        <x:v>红谷滩区</x:v>
      </x:c>
      <x:c r="R142" s="2"/>
      <x:c r="S142" s="2" t="str">
        <x:v>day</x:v>
      </x:c>
      <x:c r="T142" s="2"/>
      <x:c r="U142" s="2"/>
      <x:c r="V142" s="9"/>
      <x:c r="W142" s="9"/>
      <x:c r="X142" s="9"/>
      <x:c r="Y142" s="2"/>
      <x:c r="Z142" s="2" t="str">
        <x:v>初始受伤者为店员；安保参与制止，遭进一步攻击的说法待核</x:v>
      </x:c>
      <x:c r="AA142" s="9" t="n">
        <x:v>32</x:v>
      </x:c>
      <x:c r="AB142" s="2" t="str">
        <x:v>男</x:v>
      </x:c>
      <x:c r="AC142" s="2"/>
      <x:c r="AD142" s="7"/>
      <x:c r="AE142" s="2" t="str"/>
      <x:c r="AF142" s="2" t="str">
        <x:v>未知</x:v>
      </x:c>
      <x:c r="AG142" s="2"/>
      <x:c r="AH142" s="2"/>
      <x:c r="AI142" s="2"/>
      <x:c r="AJ142" s="2" t="str">
        <x:v>学生、群众与保安制止。</x:v>
      </x:c>
      <x:c r="AK142" s="2" t="str">
        <x:v>嫌疑人当场控制。</x:v>
      </x:c>
      <x:c r="AL142" s="10"/>
      <x:c r="AM142" s="10"/>
      <x:c r="AN142" s="10" t="n">
        <x:v>46111</x:v>
      </x:c>
      <x:c r="AO142" s="2" t="str">
        <x:v>官方原文</x:v>
      </x:c>
      <x:c r="AP142" s="7" t="str">
        <x:v>LXS26A22；LXS26A23；LXS26A24</x:v>
      </x:c>
      <x:c r="AQ142" s="7" t="str">
        <x:v>{"date":["LXS26A23"],"location":["LXS26A23"],"casualties":["LXS26A23"],"classification":["LXS26A22","LXS26A24"],"motive":[],"outcome":["LXS26A23"],"demographics":["LXS26A23"]}</x:v>
      </x:c>
      <x:c r="AR142" s="2"/>
      <x:c r="AS142" s="9"/>
      <x:c r="AT142" s="9"/>
      <x:c r="AU142" s="9"/>
      <x:c r="AV142" s="2"/>
      <x:c r="AW142" s="2" t="str">
        <x:v>2026-X补查</x:v>
      </x:c>
      <x:c r="AX142" s="9" t="n">
        <x:v>2026</x:v>
      </x:c>
      <x:c r="AY142" s="10"/>
      <x:c r="AZ142" s="7"/>
      <x:c r="BA142" s="7" t="str">
        <x:v>警方确认一名女子受伤，官方事迹确认店员遇袭及群众制止。媒体标题称安保遭推搡险坠扶梯，但正文没有独立调查该过程，初始双方关系也未明；事件发生已核实，公众目标或扩大攻击仍待核。</x:v>
      </x:c>
      <x:c r="BB142" s="7" t="str"/>
      <x:c r="BC142" s="7"/>
      <x:c r="BD142" s="2" t="str">
        <x:v>是</x:v>
      </x:c>
      <x:c r="BE142" s="2" t="str">
        <x:v>否</x:v>
      </x:c>
      <x:c r="BF142" s="2" t="str">
        <x:v>官方确认店员受伤及群众制止；扩大事实仅来自澎湃综合网络素材标题对保安遭推搡的记载，未核得独立现场采访或完整视频。</x:v>
      </x:c>
      <x:c r="BG142" s="2" t="str"/>
      <x:c r="BH142" s="9" t="n">
        <x:v>2026</x:v>
      </x:c>
      <x:c r="BI142" s="9" t="n">
        <x:v>0</x:v>
      </x:c>
      <x:c r="BJ142" s="9" t="n">
        <x:v>1</x:v>
      </x:c>
      <x:c r="BK142" s="9" t="n">
        <x:v>0</x:v>
      </x:c>
      <x:c r="BL142" s="9" t="n">
        <x:v>0</x:v>
      </x:c>
      <x:c r="BM142" s="9" t="n">
        <x:v>1</x:v>
      </x:c>
      <x:c r="BN142" s="9" t="n">
        <x:v>1</x:v>
      </x:c>
      <x:c r="BO142" s="9" t="n">
        <x:v>0</x:v>
      </x:c>
    </x:row>
    <x:row r="143" ht="38" customHeight="1">
      <x:c r="A143" s="2" t="str">
        <x:v>LX26A16</x:v>
      </x:c>
      <x:c r="B143" s="2" t="str">
        <x:v>2026-01-11</x:v>
      </x:c>
      <x:c r="C143" s="7" t="str">
        <x:v>沈阳南顺城路女孩与救助者遭持刀袭击</x:v>
      </x:c>
      <x:c r="D143" s="2" t="str">
        <x:v>辽宁</x:v>
      </x:c>
      <x:c r="E143" s="2" t="str">
        <x:v>沈阳</x:v>
      </x:c>
      <x:c r="F143" s="2" t="str">
        <x:v>expanded</x:v>
      </x:c>
      <x:c r="G143" s="2" t="str">
        <x:v>街道交通</x:v>
      </x:c>
      <x:c r="H143" s="2" t="str">
        <x:v>持械</x:v>
      </x:c>
      <x:c r="I143" s="9"/>
      <x:c r="J143" s="9"/>
      <x:c r="K143" s="2"/>
      <x:c r="L143" s="9" t="n">
        <x:v>2</x:v>
      </x:c>
      <x:c r="M143" s="9"/>
      <x:c r="N143" s="10" t="n">
        <x:v>46111</x:v>
      </x:c>
      <x:c r="O143" s="7"/>
      <x:c r="P143" s="7" t="str">
        <x:v>官方明确先伤女孩，再向上前制止的路人挥刀致伤；原被害关系未知，无关救助者受袭已确认。</x:v>
      </x:c>
      <x:c r="Q143" s="2" t="str">
        <x:v>沈河区</x:v>
      </x:c>
      <x:c r="R143" s="2"/>
      <x:c r="S143" s="2" t="str">
        <x:v>day</x:v>
      </x:c>
      <x:c r="T143" s="2"/>
      <x:c r="U143" s="2"/>
      <x:c r="V143" s="9"/>
      <x:c r="W143" s="9"/>
      <x:c r="X143" s="9"/>
      <x:c r="Y143" s="2"/>
      <x:c r="Z143" s="2" t="str">
        <x:v>女孩及上前救助的路人</x:v>
      </x:c>
      <x:c r="AA143" s="9"/>
      <x:c r="AB143" s="2"/>
      <x:c r="AC143" s="2"/>
      <x:c r="AD143" s="7"/>
      <x:c r="AE143" s="2" t="str"/>
      <x:c r="AF143" s="2" t="str">
        <x:v>未知</x:v>
      </x:c>
      <x:c r="AG143" s="2"/>
      <x:c r="AH143" s="2"/>
      <x:c r="AI143" s="2"/>
      <x:c r="AJ143" s="2" t="str">
        <x:v>群众持续制止并协助警察抓获。</x:v>
      </x:c>
      <x:c r="AK143" s="2" t="str">
        <x:v>嫌疑人被抓获。</x:v>
      </x:c>
      <x:c r="AL143" s="10"/>
      <x:c r="AM143" s="10"/>
      <x:c r="AN143" s="10" t="n">
        <x:v>46111</x:v>
      </x:c>
      <x:c r="AO143" s="2" t="str">
        <x:v>官方原文</x:v>
      </x:c>
      <x:c r="AP143" s="7" t="str">
        <x:v>LXS26A22</x:v>
      </x:c>
      <x:c r="AQ143" s="7" t="str">
        <x:v>{"date":["LXS26A22"],"location":["LXS26A22"],"casualties":["LXS26A22"],"classification":["LXS26A22"],"motive":[],"outcome":["LXS26A22"],"intervention":["LXS26A22"]}</x:v>
      </x:c>
      <x:c r="AR143" s="2"/>
      <x:c r="AS143" s="9"/>
      <x:c r="AT143" s="9"/>
      <x:c r="AU143" s="9"/>
      <x:c r="AV143" s="2"/>
      <x:c r="AW143" s="2" t="str">
        <x:v>2026-X补查</x:v>
      </x:c>
      <x:c r="AX143" s="9" t="n">
        <x:v>2026</x:v>
      </x:c>
      <x:c r="AY143" s="10"/>
      <x:c r="AZ143" s="7"/>
      <x:c r="BA143" s="7"/>
      <x:c r="BB143" s="7" t="str"/>
      <x:c r="BC143" s="7"/>
      <x:c r="BD143" s="2" t="str">
        <x:v>是</x:v>
      </x:c>
      <x:c r="BE143" s="2" t="str">
        <x:v>是</x:v>
      </x:c>
      <x:c r="BF143" s="2" t="str">
        <x:v>官方材料直接记载行凶者转而挥刀砍伤无关救助者，支持扩大分类。</x:v>
      </x:c>
      <x:c r="BG143" s="2" t="str"/>
      <x:c r="BH143" s="9" t="n">
        <x:v>2026</x:v>
      </x:c>
      <x:c r="BI143" s="9" t="n">
        <x:v>0</x:v>
      </x:c>
      <x:c r="BJ143" s="9" t="n">
        <x:v>2</x:v>
      </x:c>
      <x:c r="BK143" s="9" t="n">
        <x:v>1</x:v>
      </x:c>
      <x:c r="BL143" s="9" t="n">
        <x:v>0</x:v>
      </x:c>
      <x:c r="BM143" s="9" t="n">
        <x:v>1</x:v>
      </x:c>
      <x:c r="BN143" s="9" t="n">
        <x:v>1</x:v>
      </x:c>
      <x:c r="BO143" s="9" t="n">
        <x:v>1</x:v>
      </x:c>
    </x:row>
    <x:row r="144" ht="38" customHeight="1">
      <x:c r="A144" s="2" t="str">
        <x:v>LX26A12</x:v>
      </x:c>
      <x:c r="B144" s="2" t="str">
        <x:v>2026-01-15</x:v>
      </x:c>
      <x:c r="C144" s="7" t="str">
        <x:v>昆明五华区路人遭持刀袭击并索财案</x:v>
      </x:c>
      <x:c r="D144" s="2" t="str">
        <x:v>云南</x:v>
      </x:c>
      <x:c r="E144" s="2" t="str">
        <x:v>昆明</x:v>
      </x:c>
      <x:c r="F144" s="2" t="str">
        <x:v>core</x:v>
      </x:c>
      <x:c r="G144" s="2" t="str">
        <x:v>社区住宅</x:v>
      </x:c>
      <x:c r="H144" s="2" t="str">
        <x:v>持械</x:v>
      </x:c>
      <x:c r="I144" s="9"/>
      <x:c r="J144" s="9"/>
      <x:c r="K144" s="2"/>
      <x:c r="L144" s="9" t="n">
        <x:v>1</x:v>
      </x:c>
      <x:c r="M144" s="9"/>
      <x:c r="N144" s="10" t="n">
        <x:v>46212</x:v>
      </x:c>
      <x:c r="O144" s="7" t="str">
        <x:v>事迹确认至少1名伤者，未披露全案伤亡总数。</x:v>
      </x:c>
      <x:c r="P144" s="7" t="str">
        <x:v>官方明确无故持刀伤害路人，倒地后继续勒颈索财，支持针对无关公众的主动袭击。</x:v>
      </x:c>
      <x:c r="Q144" s="2" t="str">
        <x:v>五华区</x:v>
      </x:c>
      <x:c r="R144" s="2"/>
      <x:c r="S144" s="2" t="str">
        <x:v>day</x:v>
      </x:c>
      <x:c r="T144" s="2"/>
      <x:c r="U144" s="2"/>
      <x:c r="V144" s="9"/>
      <x:c r="W144" s="9"/>
      <x:c r="X144" s="9"/>
      <x:c r="Y144" s="2"/>
      <x:c r="Z144" s="2" t="str">
        <x:v>路过人员</x:v>
      </x:c>
      <x:c r="AA144" s="9"/>
      <x:c r="AB144" s="2" t="str">
        <x:v>男</x:v>
      </x:c>
      <x:c r="AC144" s="2"/>
      <x:c r="AD144" s="7"/>
      <x:c r="AE144" s="2" t="str"/>
      <x:c r="AF144" s="2" t="str">
        <x:v>未知</x:v>
      </x:c>
      <x:c r="AG144" s="2"/>
      <x:c r="AH144" s="2"/>
      <x:c r="AI144" s="2"/>
      <x:c r="AJ144" s="2" t="str">
        <x:v>路人报警、劝阻并夺刀，警方抓获。</x:v>
      </x:c>
      <x:c r="AK144" s="2" t="str">
        <x:v>嫌疑人被抓获。</x:v>
      </x:c>
      <x:c r="AL144" s="10"/>
      <x:c r="AM144" s="10"/>
      <x:c r="AN144" s="10" t="n">
        <x:v>46212</x:v>
      </x:c>
      <x:c r="AO144" s="2" t="str">
        <x:v>官方原文</x:v>
      </x:c>
      <x:c r="AP144" s="7" t="str">
        <x:v>LXS26A18</x:v>
      </x:c>
      <x:c r="AQ144" s="7" t="str">
        <x:v>{"date":["LXS26A18"],"location":["LXS26A18"],"casualties":["LXS26A18"],"classification":["LXS26A18"],"motive":[],"outcome":["LXS26A18"],"intervention":["LXS26A18"],"demographics":["LXS26A18"]}</x:v>
      </x:c>
      <x:c r="AR144" s="2"/>
      <x:c r="AS144" s="9"/>
      <x:c r="AT144" s="9"/>
      <x:c r="AU144" s="9"/>
      <x:c r="AV144" s="2"/>
      <x:c r="AW144" s="2" t="str">
        <x:v>2026-X补查</x:v>
      </x:c>
      <x:c r="AX144" s="9" t="n">
        <x:v>2026</x:v>
      </x:c>
      <x:c r="AY144" s="10"/>
      <x:c r="AZ144" s="7"/>
      <x:c r="BA144" s="7"/>
      <x:c r="BB144" s="7" t="str"/>
      <x:c r="BC144" s="7"/>
      <x:c r="BD144" s="2" t="str">
        <x:v>是</x:v>
      </x:c>
      <x:c r="BE144" s="2" t="str">
        <x:v>是</x:v>
      </x:c>
      <x:c r="BF144" s="2" t="str">
        <x:v>官方明确无故伤害路人</x:v>
      </x:c>
      <x:c r="BG144" s="2" t="str"/>
      <x:c r="BH144" s="9" t="n">
        <x:v>2026</x:v>
      </x:c>
      <x:c r="BI144" s="9" t="n">
        <x:v>0</x:v>
      </x:c>
      <x:c r="BJ144" s="9" t="n">
        <x:v>1</x:v>
      </x:c>
      <x:c r="BK144" s="9" t="n">
        <x:v>1</x:v>
      </x:c>
      <x:c r="BL144" s="9" t="n">
        <x:v>0</x:v>
      </x:c>
      <x:c r="BM144" s="9" t="n">
        <x:v>1</x:v>
      </x:c>
      <x:c r="BN144" s="9" t="n">
        <x:v>1</x:v>
      </x:c>
      <x:c r="BO144" s="9" t="n">
        <x:v>1</x:v>
      </x:c>
    </x:row>
    <x:row r="145" ht="38" customHeight="1">
      <x:c r="A145" s="2" t="str">
        <x:v>LX26A01</x:v>
      </x:c>
      <x:c r="B145" s="2" t="str">
        <x:v>2026-01-19</x:v>
      </x:c>
      <x:c r="C145" s="7" t="str">
        <x:v>中山港口镇货车连续碰撞事件</x:v>
      </x:c>
      <x:c r="D145" s="2" t="str">
        <x:v>广东</x:v>
      </x:c>
      <x:c r="E145" s="2" t="str">
        <x:v>中山</x:v>
      </x:c>
      <x:c r="F145" s="2" t="str">
        <x:v>pending</x:v>
      </x:c>
      <x:c r="G145" s="2" t="str">
        <x:v>街道交通</x:v>
      </x:c>
      <x:c r="H145" s="2" t="str">
        <x:v>驾车</x:v>
      </x:c>
      <x:c r="I145" s="9"/>
      <x:c r="J145" s="9" t="n">
        <x:v>2</x:v>
      </x:c>
      <x:c r="K145" s="2"/>
      <x:c r="L145" s="9"/>
      <x:c r="M145" s="9"/>
      <x:c r="N145" s="10" t="n">
        <x:v>46041</x:v>
      </x:c>
      <x:c r="O145" s="7"/>
      <x:c r="P145" s="7" t="str">
        <x:v>警方确认碰撞及2伤；重复碾压的社媒描述支持故意性疑点，但未取得可核验行车过程或独立事故调查。</x:v>
      </x:c>
      <x:c r="Q145" s="2" t="str">
        <x:v>港口镇</x:v>
      </x:c>
      <x:c r="R145" s="2"/>
      <x:c r="S145" s="2" t="str">
        <x:v>day</x:v>
      </x:c>
      <x:c r="T145" s="2"/>
      <x:c r="U145" s="2"/>
      <x:c r="V145" s="9"/>
      <x:c r="W145" s="9"/>
      <x:c r="X145" s="9"/>
      <x:c r="Y145" s="2"/>
      <x:c r="Z145" s="2"/>
      <x:c r="AA145" s="9" t="n">
        <x:v>27</x:v>
      </x:c>
      <x:c r="AB145" s="2" t="str">
        <x:v>男</x:v>
      </x:c>
      <x:c r="AC145" s="2"/>
      <x:c r="AD145" s="7"/>
      <x:c r="AE145" s="2" t="str"/>
      <x:c r="AF145" s="2" t="str">
        <x:v>未知</x:v>
      </x:c>
      <x:c r="AG145" s="2" t="str">
        <x:v>警方仅描述语言混乱、行为异常；不作精神病诊断</x:v>
      </x:c>
      <x:c r="AH145" s="2"/>
      <x:c r="AI145" s="2"/>
      <x:c r="AJ145" s="2"/>
      <x:c r="AK145" s="2" t="str">
        <x:v>司机被当场控制。</x:v>
      </x:c>
      <x:c r="AL145" s="10"/>
      <x:c r="AM145" s="10"/>
      <x:c r="AN145" s="10" t="n">
        <x:v>46041</x:v>
      </x:c>
      <x:c r="AO145" s="2" t="str">
        <x:v>官方转载</x:v>
      </x:c>
      <x:c r="AP145" s="7" t="str">
        <x:v>LXS26A02；LXS26A03；LXS26A01</x:v>
      </x:c>
      <x:c r="AQ145" s="7" t="str">
        <x:v>{"date":["LXS26A03"],"location":["LXS26A03"],"casualties":["LXS26A03"],"classification":["LXS26A02","LXS26A03"],"motive":[],"outcome":["LXS26A03"],"demographics":["LXS26A03"]}</x:v>
      </x:c>
      <x:c r="AR145" s="2"/>
      <x:c r="AS145" s="9"/>
      <x:c r="AT145" s="9"/>
      <x:c r="AU145" s="9"/>
      <x:c r="AV145" s="2"/>
      <x:c r="AW145" s="2" t="str">
        <x:v>2026-X补查</x:v>
      </x:c>
      <x:c r="AX145" s="9" t="n">
        <x:v>2026</x:v>
      </x:c>
      <x:c r="AY145" s="10"/>
      <x:c r="AZ145" s="7"/>
      <x:c r="BA145" s="7" t="str">
        <x:v>警方确认碰撞及2伤；重复碾压的社媒描述支持故意性疑点，但未取得可核验行车过程或独立事故调查。</x:v>
      </x:c>
      <x:c r="BB145" s="7" t="str">
        <x:v>https://x.com/whyyoutouzhele/status/2013240567606464850；https://x.com/whyyoutouzhele/status/2039625155404509246</x:v>
      </x:c>
      <x:c r="BC145" s="7"/>
      <x:c r="BD145" s="2" t="str">
        <x:v>是</x:v>
      </x:c>
      <x:c r="BE145" s="2" t="str">
        <x:v>否</x:v>
      </x:c>
      <x:c r="BF145" s="2" t="str">
        <x:v>发生已确认，故意性待核</x:v>
      </x:c>
      <x:c r="BG145" s="2" t="str"/>
      <x:c r="BH145" s="9" t="n">
        <x:v>2026</x:v>
      </x:c>
      <x:c r="BI145" s="9" t="n">
        <x:v>0</x:v>
      </x:c>
      <x:c r="BJ145" s="9" t="n">
        <x:v>2</x:v>
      </x:c>
      <x:c r="BK145" s="9" t="n">
        <x:v>0</x:v>
      </x:c>
      <x:c r="BL145" s="9" t="n">
        <x:v>0</x:v>
      </x:c>
      <x:c r="BM145" s="9" t="n">
        <x:v>1</x:v>
      </x:c>
      <x:c r="BN145" s="9" t="n">
        <x:v>1</x:v>
      </x:c>
      <x:c r="BO145" s="9" t="n">
        <x:v>0</x:v>
      </x:c>
    </x:row>
    <x:row r="146" ht="38" customHeight="1">
      <x:c r="A146" s="2" t="str">
        <x:v>LX26A02</x:v>
      </x:c>
      <x:c r="B146" s="2" t="str">
        <x:v>2026-01-26</x:v>
      </x:c>
      <x:c r="C146" s="7" t="str">
        <x:v>网传广州太和镇街头夫妻遭持刀袭击</x:v>
      </x:c>
      <x:c r="D146" s="2" t="str">
        <x:v>广东</x:v>
      </x:c>
      <x:c r="E146" s="2" t="str">
        <x:v>广州</x:v>
      </x:c>
      <x:c r="F146" s="2" t="str">
        <x:v>pending</x:v>
      </x:c>
      <x:c r="G146" s="2" t="str">
        <x:v>街道交通</x:v>
      </x:c>
      <x:c r="H146" s="2" t="str">
        <x:v>持械</x:v>
      </x:c>
      <x:c r="I146" s="9"/>
      <x:c r="J146" s="9"/>
      <x:c r="K146" s="2"/>
      <x:c r="L146" s="9"/>
      <x:c r="M146" s="9"/>
      <x:c r="N146" s="10"/>
      <x:c r="O146" s="7" t="str">
        <x:v>网传夫妻受伤未获可靠完整确认，精确人数留空。</x:v>
      </x:c>
      <x:c r="P146" s="7" t="str">
        <x:v>原帖及媒体转述均指向突然袭击过路夫妻，但来源同为未核监控及匿名投稿；缺独立现场核实。</x:v>
      </x:c>
      <x:c r="Q146" s="2" t="str">
        <x:v>白云区</x:v>
      </x:c>
      <x:c r="R146" s="2" t="str">
        <x:v>乡镇</x:v>
      </x:c>
      <x:c r="S146" s="2" t="str">
        <x:v>day</x:v>
      </x:c>
      <x:c r="T146" s="2"/>
      <x:c r="U146" s="2"/>
      <x:c r="V146" s="9"/>
      <x:c r="W146" s="9"/>
      <x:c r="X146" s="9"/>
      <x:c r="Y146" s="2"/>
      <x:c r="Z146" s="2"/>
      <x:c r="AA146" s="9"/>
      <x:c r="AB146" s="2"/>
      <x:c r="AC146" s="2"/>
      <x:c r="AD146" s="7"/>
      <x:c r="AE146" s="2" t="str"/>
      <x:c r="AF146" s="2" t="str">
        <x:v>未知</x:v>
      </x:c>
      <x:c r="AG146" s="2"/>
      <x:c r="AH146" s="2"/>
      <x:c r="AI146" s="2"/>
      <x:c r="AJ146" s="2"/>
      <x:c r="AK146" s="2"/>
      <x:c r="AL146" s="10"/>
      <x:c r="AM146" s="10"/>
      <x:c r="AN146" s="10" t="n">
        <x:v>46049</x:v>
      </x:c>
      <x:c r="AO146" s="2" t="str">
        <x:v>网传待核</x:v>
      </x:c>
      <x:c r="AP146" s="7" t="str">
        <x:v>LXS26A04；LXS26A05；LXS26A01</x:v>
      </x:c>
      <x:c r="AQ146" s="7" t="str">
        <x:v>{"date":["LXS26A04","LXS26A05"],"location":["LXS26A04","LXS26A05"],"casualties":[],"classification":["LXS26A04","LXS26A05"],"motive":[],"outcome":[]}</x:v>
      </x:c>
      <x:c r="AR146" s="2"/>
      <x:c r="AS146" s="9"/>
      <x:c r="AT146" s="9"/>
      <x:c r="AU146" s="9"/>
      <x:c r="AV146" s="2"/>
      <x:c r="AW146" s="2" t="str">
        <x:v>2026-X补查</x:v>
      </x:c>
      <x:c r="AX146" s="9" t="n">
        <x:v>2026</x:v>
      </x:c>
      <x:c r="AY146" s="10"/>
      <x:c r="AZ146" s="7" t="str">
        <x:v>按同期原帖1月26日；4月汇总误写1月27日。</x:v>
      </x:c>
      <x:c r="BA146" s="7" t="str">
        <x:v>原帖及媒体转述均指向突然袭击过路夫妻，但来源同为未核监控及匿名投稿；缺独立现场核实。</x:v>
      </x:c>
      <x:c r="BB146" s="7" t="str">
        <x:v>https://x.com/whyyoutouzhele/status/2016096346025939186；https://x.com/whyyoutouzhele/status/2039625155404509246</x:v>
      </x:c>
      <x:c r="BC146" s="7" t="str">
        <x:v>癌症及身体状况、动机不录为事实。</x:v>
      </x:c>
      <x:c r="BD146" s="2" t="str">
        <x:v>否</x:v>
      </x:c>
      <x:c r="BE146" s="2" t="str">
        <x:v>否</x:v>
      </x:c>
      <x:c r="BF146" s="2" t="str">
        <x:v>网传线索，未独立核实</x:v>
      </x:c>
      <x:c r="BG146" s="2" t="str"/>
      <x:c r="BH146" s="9" t="n">
        <x:v>2026</x:v>
      </x:c>
      <x:c r="BI146" s="9" t="n">
        <x:v>0</x:v>
      </x:c>
      <x:c r="BJ146" s="9" t="n">
        <x:v>0</x:v>
      </x:c>
      <x:c r="BK146" s="9" t="n">
        <x:v>0</x:v>
      </x:c>
      <x:c r="BL146" s="9" t="n">
        <x:v>0</x:v>
      </x:c>
      <x:c r="BM146" s="9" t="n">
        <x:v>1</x:v>
      </x:c>
      <x:c r="BN146" s="9" t="n">
        <x:v>1</x:v>
      </x:c>
      <x:c r="BO146" s="9" t="n">
        <x:v>1</x:v>
      </x:c>
    </x:row>
    <x:row r="147" ht="38" customHeight="1">
      <x:c r="A147" s="2" t="str">
        <x:v>LX26A18</x:v>
      </x:c>
      <x:c r="B147" s="2" t="str">
        <x:v>2026-01-27</x:v>
      </x:c>
      <x:c r="C147" s="7" t="str">
        <x:v>重庆凤鸣山陌生女子及救助者遇袭案</x:v>
      </x:c>
      <x:c r="D147" s="2" t="str">
        <x:v>重庆</x:v>
      </x:c>
      <x:c r="E147" s="2" t="str">
        <x:v>重庆</x:v>
      </x:c>
      <x:c r="F147" s="2" t="str">
        <x:v>core</x:v>
      </x:c>
      <x:c r="G147" s="2" t="str">
        <x:v>街道交通</x:v>
      </x:c>
      <x:c r="H147" s="2" t="str">
        <x:v>持械</x:v>
      </x:c>
      <x:c r="I147" s="9" t="n">
        <x:v>0</x:v>
      </x:c>
      <x:c r="J147" s="9" t="n">
        <x:v>2</x:v>
      </x:c>
      <x:c r="K147" s="2"/>
      <x:c r="L147" s="9"/>
      <x:c r="M147" s="9"/>
      <x:c r="N147" s="10" t="n">
        <x:v>46111</x:v>
      </x:c>
      <x:c r="O147" s="7"/>
      <x:c r="P147" s="7" t="str">
        <x:v>文明办原文明确女孩遭陌生男子尾随勒颈；其脱身求救后男子继续追踪并持刀伤女孩和无关救助者。</x:v>
      </x:c>
      <x:c r="Q147" s="2" t="str">
        <x:v>沙坪坝区</x:v>
      </x:c>
      <x:c r="R147" s="2"/>
      <x:c r="S147" s="2" t="str">
        <x:v>day</x:v>
      </x:c>
      <x:c r="T147" s="2"/>
      <x:c r="U147" s="2"/>
      <x:c r="V147" s="9"/>
      <x:c r="W147" s="9"/>
      <x:c r="X147" s="9"/>
      <x:c r="Y147" s="2"/>
      <x:c r="Z147" s="2" t="str">
        <x:v>陌生路过女子及救助代驾员</x:v>
      </x:c>
      <x:c r="AA147" s="9"/>
      <x:c r="AB147" s="2" t="str">
        <x:v>男</x:v>
      </x:c>
      <x:c r="AC147" s="2"/>
      <x:c r="AD147" s="7"/>
      <x:c r="AE147" s="2" t="str"/>
      <x:c r="AF147" s="2" t="str">
        <x:v>未知</x:v>
      </x:c>
      <x:c r="AG147" s="2"/>
      <x:c r="AH147" s="2"/>
      <x:c r="AI147" s="2"/>
      <x:c r="AJ147" s="2" t="str">
        <x:v>路人报警护送，随后抵挡袭击。</x:v>
      </x:c>
      <x:c r="AK147" s="2" t="str">
        <x:v>当日7时许嫌疑人被抓获。</x:v>
      </x:c>
      <x:c r="AL147" s="10"/>
      <x:c r="AM147" s="10"/>
      <x:c r="AN147" s="10" t="n">
        <x:v>46208</x:v>
      </x:c>
      <x:c r="AO147" s="2" t="str">
        <x:v>官方原文</x:v>
      </x:c>
      <x:c r="AP147" s="7" t="str">
        <x:v>LXS26A22；LXS26A27</x:v>
      </x:c>
      <x:c r="AQ147" s="7" t="str">
        <x:v>{"date":["LXS26A22","LXS26A27"],"location":["LXS26A22","LXS26A27"],"casualties":["LXS26A22"],"classification":["LXS26A27"],"motive":[],"outcome":["LXS26A22"],"intervention":["LXS26A22","LXS26A27"],"demographics":["LXS26A27"]}</x:v>
      </x:c>
      <x:c r="AR147" s="2"/>
      <x:c r="AS147" s="9"/>
      <x:c r="AT147" s="9"/>
      <x:c r="AU147" s="9"/>
      <x:c r="AV147" s="2"/>
      <x:c r="AW147" s="2" t="str">
        <x:v>2026-X补查</x:v>
      </x:c>
      <x:c r="AX147" s="9" t="n">
        <x:v>2026</x:v>
      </x:c>
      <x:c r="AY147" s="10"/>
      <x:c r="AZ147" s="7"/>
      <x:c r="BA147" s="7"/>
      <x:c r="BB147" s="7" t="str"/>
      <x:c r="BC147" s="7"/>
      <x:c r="BD147" s="2" t="str">
        <x:v>是</x:v>
      </x:c>
      <x:c r="BE147" s="2" t="str">
        <x:v>是</x:v>
      </x:c>
      <x:c r="BF147" s="2" t="str">
        <x:v>官方明确陌生关系及持续追踪攻击</x:v>
      </x:c>
      <x:c r="BG147" s="2" t="str"/>
      <x:c r="BH147" s="9" t="n">
        <x:v>2026</x:v>
      </x:c>
      <x:c r="BI147" s="9" t="n">
        <x:v>0</x:v>
      </x:c>
      <x:c r="BJ147" s="9" t="n">
        <x:v>2</x:v>
      </x:c>
      <x:c r="BK147" s="9" t="n">
        <x:v>1</x:v>
      </x:c>
      <x:c r="BL147" s="9" t="n">
        <x:v>0</x:v>
      </x:c>
      <x:c r="BM147" s="9" t="n">
        <x:v>1</x:v>
      </x:c>
      <x:c r="BN147" s="9" t="n">
        <x:v>0</x:v>
      </x:c>
      <x:c r="BO147" s="9" t="n">
        <x:v>0</x:v>
      </x:c>
    </x:row>
    <x:row r="148" ht="38" customHeight="1">
      <x:c r="A148" s="2" t="str">
        <x:v>LX26A03</x:v>
      </x:c>
      <x:c r="B148" s="2" t="str">
        <x:v>2026-01-31</x:v>
      </x:c>
      <x:c r="C148" s="7" t="str">
        <x:v>银川朝阳巷约见争执持刀杀人案</x:v>
      </x:c>
      <x:c r="D148" s="2" t="str">
        <x:v>宁夏</x:v>
      </x:c>
      <x:c r="E148" s="2" t="str">
        <x:v>银川</x:v>
      </x:c>
      <x:c r="F148" s="2" t="str">
        <x:v>excluded</x:v>
      </x:c>
      <x:c r="G148" s="2" t="str">
        <x:v>街道交通</x:v>
      </x:c>
      <x:c r="H148" s="2" t="str">
        <x:v>持械</x:v>
      </x:c>
      <x:c r="I148" s="9" t="n">
        <x:v>1</x:v>
      </x:c>
      <x:c r="J148" s="9"/>
      <x:c r="K148" s="2"/>
      <x:c r="L148" s="9"/>
      <x:c r="M148" s="9"/>
      <x:c r="N148" s="10" t="n">
        <x:v>46054</x:v>
      </x:c>
      <x:c r="O148" s="7"/>
      <x:c r="P148" s="7" t="str">
        <x:v>警方明确两名同小区居民因群内争执约见后冲突，未披露扩大伤害无关者。</x:v>
      </x:c>
      <x:c r="Q148" s="2" t="str">
        <x:v>兴庆区</x:v>
      </x:c>
      <x:c r="R148" s="2" t="str">
        <x:v>城市</x:v>
      </x:c>
      <x:c r="S148" s="2" t="str">
        <x:v>day</x:v>
      </x:c>
      <x:c r="T148" s="2"/>
      <x:c r="U148" s="2"/>
      <x:c r="V148" s="9"/>
      <x:c r="W148" s="9"/>
      <x:c r="X148" s="9"/>
      <x:c r="Y148" s="2"/>
      <x:c r="Z148" s="2" t="str">
        <x:v>同小区居民，双方先有口角并约见</x:v>
      </x:c>
      <x:c r="AA148" s="9" t="n">
        <x:v>44</x:v>
      </x:c>
      <x:c r="AB148" s="2" t="str">
        <x:v>男</x:v>
      </x:c>
      <x:c r="AC148" s="2"/>
      <x:c r="AD148" s="7" t="str">
        <x:v>小区社交群琐事争执后约见，矛盾激化。</x:v>
      </x:c>
      <x:c r="AE148" s="2" t="str">
        <x:v>邻里纠纷</x:v>
      </x:c>
      <x:c r="AF148" s="2" t="str">
        <x:v>警方初步通报</x:v>
      </x:c>
      <x:c r="AG148" s="2"/>
      <x:c r="AH148" s="2"/>
      <x:c r="AI148" s="2"/>
      <x:c r="AJ148" s="2"/>
      <x:c r="AK148" s="2" t="str">
        <x:v>嫌疑人刑事拘留。</x:v>
      </x:c>
      <x:c r="AL148" s="10"/>
      <x:c r="AM148" s="10"/>
      <x:c r="AN148" s="10" t="n">
        <x:v>46054</x:v>
      </x:c>
      <x:c r="AO148" s="2" t="str">
        <x:v>官方转载</x:v>
      </x:c>
      <x:c r="AP148" s="7" t="str">
        <x:v>LXS26A06；LXS26A07；LXS26A01</x:v>
      </x:c>
      <x:c r="AQ148" s="7" t="str">
        <x:v>{"date":["LXS26A07"],"location":["LXS26A07"],"casualties":["LXS26A07"],"classification":["LXS26A07"],"motive":["LXS26A07"],"outcome":["LXS26A07"],"demographics":["LXS26A07"]}</x:v>
      </x:c>
      <x:c r="AR148" s="2"/>
      <x:c r="AS148" s="9"/>
      <x:c r="AT148" s="9"/>
      <x:c r="AU148" s="9"/>
      <x:c r="AV148" s="2"/>
      <x:c r="AW148" s="2" t="str">
        <x:v>2026-X补查</x:v>
      </x:c>
      <x:c r="AX148" s="9" t="n">
        <x:v>2026</x:v>
      </x:c>
      <x:c r="AY148" s="10"/>
      <x:c r="AZ148" s="7"/>
      <x:c r="BA148" s="7"/>
      <x:c r="BB148" s="7" t="str">
        <x:v>https://x.com/whyyoutouzhele/status/2017756836741468453；https://x.com/whyyoutouzhele/status/2039625155404509246</x:v>
      </x:c>
      <x:c r="BC148" s="7" t="str">
        <x:v>税费动机初帖与警方说法不一致，不采信。</x:v>
      </x:c>
      <x:c r="BD148" s="2" t="str">
        <x:v>是</x:v>
      </x:c>
      <x:c r="BE148" s="2" t="str">
        <x:v>是</x:v>
      </x:c>
      <x:c r="BF148" s="2" t="str">
        <x:v>警方具体关系及作案经过</x:v>
      </x:c>
      <x:c r="BG148" s="2" t="str">
        <x:v>其他已披露背景</x:v>
      </x:c>
      <x:c r="BH148" s="9" t="n">
        <x:v>2026</x:v>
      </x:c>
      <x:c r="BI148" s="9" t="n">
        <x:v>1</x:v>
      </x:c>
      <x:c r="BJ148" s="9" t="n">
        <x:v>0</x:v>
      </x:c>
      <x:c r="BK148" s="9" t="n">
        <x:v>1</x:v>
      </x:c>
      <x:c r="BL148" s="9" t="n">
        <x:v>1</x:v>
      </x:c>
      <x:c r="BM148" s="9" t="n">
        <x:v>1</x:v>
      </x:c>
      <x:c r="BN148" s="9" t="n">
        <x:v>0</x:v>
      </x:c>
      <x:c r="BO148" s="9" t="n">
        <x:v>1</x:v>
      </x:c>
    </x:row>
    <x:row r="149" ht="38" customHeight="1">
      <x:c r="A149" s="2" t="str">
        <x:v>LX26A20</x:v>
      </x:c>
      <x:c r="B149" s="2" t="str">
        <x:v>2026-02-02</x:v>
      </x:c>
      <x:c r="C149" s="7" t="str">
        <x:v>网传江苏扬州街头喷火伤人事件</x:v>
      </x:c>
      <x:c r="D149" s="2" t="str">
        <x:v>江苏</x:v>
      </x:c>
      <x:c r="E149" s="2" t="str">
        <x:v>扬州</x:v>
      </x:c>
      <x:c r="F149" s="2" t="str">
        <x:v>pending</x:v>
      </x:c>
      <x:c r="G149" s="2" t="str">
        <x:v>街道交通</x:v>
      </x:c>
      <x:c r="H149" s="2" t="str">
        <x:v>纵火</x:v>
      </x:c>
      <x:c r="I149" s="9"/>
      <x:c r="J149" s="9"/>
      <x:c r="K149" s="2"/>
      <x:c r="L149" s="9"/>
      <x:c r="M149" s="9"/>
      <x:c r="N149" s="10"/>
      <x:c r="O149" s="7" t="str">
        <x:v>传1死或2死互异，不计入精确值。</x:v>
      </x:c>
      <x:c r="P149" s="7" t="str">
        <x:v>网络视频与转述称因私人关系定向袭击，地点、年月日和动机均待核；尚无充分证据认定事件全貌或无关者受袭。</x:v>
      </x:c>
      <x:c r="Q149" s="2"/>
      <x:c r="R149" s="2"/>
      <x:c r="S149" s="2" t="str">
        <x:v>day</x:v>
      </x:c>
      <x:c r="T149" s="2"/>
      <x:c r="U149" s="2"/>
      <x:c r="V149" s="9"/>
      <x:c r="W149" s="9"/>
      <x:c r="X149" s="9"/>
      <x:c r="Y149" s="2"/>
      <x:c r="Z149" s="2"/>
      <x:c r="AA149" s="9"/>
      <x:c r="AB149" s="2"/>
      <x:c r="AC149" s="2"/>
      <x:c r="AD149" s="7"/>
      <x:c r="AE149" s="2" t="str"/>
      <x:c r="AF149" s="2" t="str">
        <x:v>未知</x:v>
      </x:c>
      <x:c r="AG149" s="2"/>
      <x:c r="AH149" s="2"/>
      <x:c r="AI149" s="2"/>
      <x:c r="AJ149" s="2"/>
      <x:c r="AK149" s="2"/>
      <x:c r="AL149" s="10"/>
      <x:c r="AM149" s="10"/>
      <x:c r="AN149" s="10" t="n">
        <x:v>46057</x:v>
      </x:c>
      <x:c r="AO149" s="2" t="str">
        <x:v>网传待核</x:v>
      </x:c>
      <x:c r="AP149" s="7" t="str">
        <x:v>LXS26A25；LXS26A26</x:v>
      </x:c>
      <x:c r="AQ149" s="7" t="str">
        <x:v>{"date":["LXS26A25","LXS26A26"],"location":["LXS26A25","LXS26A26"],"casualties":[],"classification":["LXS26A25","LXS26A26"],"motive":[],"outcome":[]}</x:v>
      </x:c>
      <x:c r="AR149" s="2"/>
      <x:c r="AS149" s="9"/>
      <x:c r="AT149" s="9"/>
      <x:c r="AU149" s="9"/>
      <x:c r="AV149" s="2"/>
      <x:c r="AW149" s="2" t="str">
        <x:v>2026-X补查</x:v>
      </x:c>
      <x:c r="AX149" s="9" t="n">
        <x:v>2026</x:v>
      </x:c>
      <x:c r="AY149" s="10"/>
      <x:c r="AZ149" s="7" t="str">
        <x:v>2月2日由网传知情者指称，亦为视频流传日，未得到独立案发日确认。</x:v>
      </x:c>
      <x:c r="BA149" s="7" t="str">
        <x:v>网络视频与转述称因私人关系定向袭击，地点、年月日和动机均待核；尚无充分证据认定事件全貌或无关者受袭。</x:v>
      </x:c>
      <x:c r="BB149" s="7" t="str">
        <x:v>https://x.com/whyyoutouzhele/status/2018814351998918831</x:v>
      </x:c>
      <x:c r="BC149" s="7" t="str">
        <x:v>不保存影像；私人关系说法未经核实。</x:v>
      </x:c>
      <x:c r="BD149" s="2" t="str">
        <x:v>否</x:v>
      </x:c>
      <x:c r="BE149" s="2" t="str">
        <x:v>否</x:v>
      </x:c>
      <x:c r="BF149" s="2" t="str">
        <x:v>网传线索，未独立核实</x:v>
      </x:c>
      <x:c r="BG149" s="2" t="str"/>
      <x:c r="BH149" s="9" t="n">
        <x:v>2026</x:v>
      </x:c>
      <x:c r="BI149" s="9" t="n">
        <x:v>0</x:v>
      </x:c>
      <x:c r="BJ149" s="9" t="n">
        <x:v>0</x:v>
      </x:c>
      <x:c r="BK149" s="9" t="n">
        <x:v>0</x:v>
      </x:c>
      <x:c r="BL149" s="9" t="n">
        <x:v>0</x:v>
      </x:c>
      <x:c r="BM149" s="9" t="n">
        <x:v>1</x:v>
      </x:c>
      <x:c r="BN149" s="9" t="n">
        <x:v>1</x:v>
      </x:c>
      <x:c r="BO149" s="9" t="n">
        <x:v>1</x:v>
      </x:c>
    </x:row>
    <x:row r="150" ht="38" customHeight="1">
      <x:c r="A150" s="2" t="str">
        <x:v>LX26A04</x:v>
      </x:c>
      <x:c r="B150" s="2" t="str">
        <x:v>2026-02-03</x:v>
      </x:c>
      <x:c r="C150" s="7" t="str">
        <x:v>网传深圳万丰海岸城持刀伤人事件</x:v>
      </x:c>
      <x:c r="D150" s="2" t="str">
        <x:v>广东</x:v>
      </x:c>
      <x:c r="E150" s="2" t="str">
        <x:v>深圳</x:v>
      </x:c>
      <x:c r="F150" s="2" t="str">
        <x:v>pending</x:v>
      </x:c>
      <x:c r="G150" s="2" t="str">
        <x:v>商业场所</x:v>
      </x:c>
      <x:c r="H150" s="2" t="str">
        <x:v>持械</x:v>
      </x:c>
      <x:c r="I150" s="9"/>
      <x:c r="J150" s="9"/>
      <x:c r="K150" s="2"/>
      <x:c r="L150" s="9"/>
      <x:c r="M150" s="9"/>
      <x:c r="N150" s="10"/>
      <x:c r="O150" s="7" t="str">
        <x:v>女子倒地不等于死亡；数量不录入精确字段。</x:v>
      </x:c>
      <x:c r="P150" s="7" t="str">
        <x:v>仅单源投稿及同素材转发，缺警方事实确认，未说明双方关系和最初冲突。</x:v>
      </x:c>
      <x:c r="Q150" s="2" t="str">
        <x:v>宝安区</x:v>
      </x:c>
      <x:c r="R150" s="2"/>
      <x:c r="S150" s="2" t="str">
        <x:v>day</x:v>
      </x:c>
      <x:c r="T150" s="2"/>
      <x:c r="U150" s="2"/>
      <x:c r="V150" s="9"/>
      <x:c r="W150" s="9"/>
      <x:c r="X150" s="9"/>
      <x:c r="Y150" s="2"/>
      <x:c r="Z150" s="2"/>
      <x:c r="AA150" s="9"/>
      <x:c r="AB150" s="2"/>
      <x:c r="AC150" s="2"/>
      <x:c r="AD150" s="7"/>
      <x:c r="AE150" s="2" t="str"/>
      <x:c r="AF150" s="2" t="str">
        <x:v>未知</x:v>
      </x:c>
      <x:c r="AG150" s="2"/>
      <x:c r="AH150" s="2"/>
      <x:c r="AI150" s="2"/>
      <x:c r="AJ150" s="2"/>
      <x:c r="AK150" s="2"/>
      <x:c r="AL150" s="10"/>
      <x:c r="AM150" s="10"/>
      <x:c r="AN150" s="10" t="n">
        <x:v>46056</x:v>
      </x:c>
      <x:c r="AO150" s="2" t="str">
        <x:v>网传待核</x:v>
      </x:c>
      <x:c r="AP150" s="7" t="str">
        <x:v>LXS26A08；LXS26A01</x:v>
      </x:c>
      <x:c r="AQ150" s="7" t="str">
        <x:v>{"date":["LXS26A08"],"location":["LXS26A08"],"casualties":[],"classification":["LXS26A08"],"motive":[],"outcome":[]}</x:v>
      </x:c>
      <x:c r="AR150" s="2"/>
      <x:c r="AS150" s="9"/>
      <x:c r="AT150" s="9"/>
      <x:c r="AU150" s="9"/>
      <x:c r="AV150" s="2"/>
      <x:c r="AW150" s="2" t="str">
        <x:v>2026-X补查</x:v>
      </x:c>
      <x:c r="AX150" s="9" t="n">
        <x:v>2026</x:v>
      </x:c>
      <x:c r="AY150" s="10"/>
      <x:c r="AZ150" s="7"/>
      <x:c r="BA150" s="7" t="str">
        <x:v>仅单源投稿及同素材转发，缺警方事实确认，未说明双方关系和最初冲突。</x:v>
      </x:c>
      <x:c r="BB150" s="7" t="str">
        <x:v>https://x.com/whyyoutouzhele/status/2018738337733914646；https://x.com/whyyoutouzhele/status/2039625155404509246</x:v>
      </x:c>
      <x:c r="BC150" s="7"/>
      <x:c r="BD150" s="2" t="str">
        <x:v>否</x:v>
      </x:c>
      <x:c r="BE150" s="2" t="str">
        <x:v>否</x:v>
      </x:c>
      <x:c r="BF150" s="2" t="str">
        <x:v>网传线索，未独立核实</x:v>
      </x:c>
      <x:c r="BG150" s="2" t="str"/>
      <x:c r="BH150" s="9" t="n">
        <x:v>2026</x:v>
      </x:c>
      <x:c r="BI150" s="9" t="n">
        <x:v>0</x:v>
      </x:c>
      <x:c r="BJ150" s="9" t="n">
        <x:v>0</x:v>
      </x:c>
      <x:c r="BK150" s="9" t="n">
        <x:v>0</x:v>
      </x:c>
      <x:c r="BL150" s="9" t="n">
        <x:v>0</x:v>
      </x:c>
      <x:c r="BM150" s="9" t="n">
        <x:v>1</x:v>
      </x:c>
      <x:c r="BN150" s="9" t="n">
        <x:v>1</x:v>
      </x:c>
      <x:c r="BO150" s="9" t="n">
        <x:v>1</x:v>
      </x:c>
    </x:row>
    <x:row r="151" ht="38" customHeight="1">
      <x:c r="A151" s="2" t="str">
        <x:v>LX26A13</x:v>
      </x:c>
      <x:c r="B151" s="2" t="str">
        <x:v>2026-02-04</x:v>
      </x:c>
      <x:c r="C151" s="7" t="str">
        <x:v>海南白沙七坊KTV持刀袭击及救助者受伤案</x:v>
      </x:c>
      <x:c r="D151" s="2" t="str">
        <x:v>海南</x:v>
      </x:c>
      <x:c r="E151" s="2" t="str">
        <x:v>白沙黎族自治县</x:v>
      </x:c>
      <x:c r="F151" s="2" t="str">
        <x:v>expanded</x:v>
      </x:c>
      <x:c r="G151" s="2" t="str">
        <x:v>商业场所</x:v>
      </x:c>
      <x:c r="H151" s="2" t="str">
        <x:v>持械</x:v>
      </x:c>
      <x:c r="I151" s="9"/>
      <x:c r="J151" s="9"/>
      <x:c r="K151" s="2"/>
      <x:c r="L151" s="9" t="n">
        <x:v>1</x:v>
      </x:c>
      <x:c r="M151" s="9"/>
      <x:c r="N151" s="10" t="n">
        <x:v>46212</x:v>
      </x:c>
      <x:c r="O151" s="7" t="str">
        <x:v>救助者手部伤已确认；工作人员是否受伤及总数未明。</x:v>
      </x:c>
      <x:c r="P151" s="7" t="str">
        <x:v>官方确认因感情纠纷持刀追逼工作人员，转而挥刀对抗无关救助者并伤其手，扩大到原纠纷无关者。</x:v>
      </x:c>
      <x:c r="Q151" s="2" t="str">
        <x:v>七坊镇</x:v>
      </x:c>
      <x:c r="R151" s="2"/>
      <x:c r="S151" s="2" t="str">
        <x:v>day</x:v>
      </x:c>
      <x:c r="T151" s="2"/>
      <x:c r="U151" s="2"/>
      <x:c r="V151" s="9"/>
      <x:c r="W151" s="9"/>
      <x:c r="X151" s="9"/>
      <x:c r="Y151" s="2"/>
      <x:c r="Z151" s="2" t="str">
        <x:v>工作人员及路过劝阻者</x:v>
      </x:c>
      <x:c r="AA151" s="9"/>
      <x:c r="AB151" s="2"/>
      <x:c r="AC151" s="2"/>
      <x:c r="AD151" s="7" t="str">
        <x:v>官方事迹称感情纠纷后饮酒行凶。</x:v>
      </x:c>
      <x:c r="AE151" s="2" t="str">
        <x:v>情感纠纷</x:v>
      </x:c>
      <x:c r="AF151" s="2" t="str">
        <x:v>官方事迹</x:v>
      </x:c>
      <x:c r="AG151" s="2"/>
      <x:c r="AH151" s="2"/>
      <x:c r="AI151" s="2"/>
      <x:c r="AJ151" s="2" t="str">
        <x:v>路过群众夺刀制止。</x:v>
      </x:c>
      <x:c r="AK151" s="2"/>
      <x:c r="AL151" s="10"/>
      <x:c r="AM151" s="10"/>
      <x:c r="AN151" s="10" t="n">
        <x:v>46212</x:v>
      </x:c>
      <x:c r="AO151" s="2" t="str">
        <x:v>官方原文</x:v>
      </x:c>
      <x:c r="AP151" s="7" t="str">
        <x:v>LXS26A18</x:v>
      </x:c>
      <x:c r="AQ151" s="7" t="str">
        <x:v>{"date":["LXS26A18"],"location":["LXS26A18"],"casualties":["LXS26A18"],"classification":["LXS26A18"],"motive":["LXS26A18"],"outcome":[],"intervention":["LXS26A18"]}</x:v>
      </x:c>
      <x:c r="AR151" s="2"/>
      <x:c r="AS151" s="9"/>
      <x:c r="AT151" s="9"/>
      <x:c r="AU151" s="9"/>
      <x:c r="AV151" s="2" t="str">
        <x:v>中央政法委2026年第二季度见义勇为事迹公开材料；不是警方初报或法院认定。</x:v>
      </x:c>
      <x:c r="AW151" s="2" t="str">
        <x:v>2026-X补查</x:v>
      </x:c>
      <x:c r="AX151" s="9" t="n">
        <x:v>2026</x:v>
      </x:c>
      <x:c r="AY151" s="10"/>
      <x:c r="AZ151" s="7"/>
      <x:c r="BA151" s="7"/>
      <x:c r="BB151" s="7" t="str"/>
      <x:c r="BC151" s="7"/>
      <x:c r="BD151" s="2" t="str">
        <x:v>是</x:v>
      </x:c>
      <x:c r="BE151" s="2" t="str">
        <x:v>是</x:v>
      </x:c>
      <x:c r="BF151" s="2" t="str">
        <x:v>官方材料直接记载私人感情纠纷后持刀行凶，并主动伤害路过制止者，支持扩大分类。</x:v>
      </x:c>
      <x:c r="BG151" s="2" t="str">
        <x:v>婚姻／家庭／感情问题</x:v>
      </x:c>
      <x:c r="BH151" s="9" t="n">
        <x:v>2026</x:v>
      </x:c>
      <x:c r="BI151" s="9" t="n">
        <x:v>0</x:v>
      </x:c>
      <x:c r="BJ151" s="9" t="n">
        <x:v>1</x:v>
      </x:c>
      <x:c r="BK151" s="9" t="n">
        <x:v>1</x:v>
      </x:c>
      <x:c r="BL151" s="9" t="n">
        <x:v>1</x:v>
      </x:c>
      <x:c r="BM151" s="9" t="n">
        <x:v>1</x:v>
      </x:c>
      <x:c r="BN151" s="9" t="n">
        <x:v>1</x:v>
      </x:c>
      <x:c r="BO151" s="9" t="n">
        <x:v>1</x:v>
      </x:c>
    </x:row>
    <x:row r="152" ht="38" customHeight="1">
      <x:c r="A152" s="2" t="str">
        <x:v>LX26A19</x:v>
      </x:c>
      <x:c r="B152" s="2" t="str">
        <x:v>2026-02-15</x:v>
      </x:c>
      <x:c r="C152" s="7" t="str">
        <x:v>云南巧家邱家屿社区持刀追砍群众事件</x:v>
      </x:c>
      <x:c r="D152" s="2" t="str">
        <x:v>云南</x:v>
      </x:c>
      <x:c r="E152" s="2" t="str">
        <x:v>昭通</x:v>
      </x:c>
      <x:c r="F152" s="2" t="str">
        <x:v>core</x:v>
      </x:c>
      <x:c r="G152" s="2" t="str">
        <x:v>社区住宅</x:v>
      </x:c>
      <x:c r="H152" s="2" t="str">
        <x:v>持械</x:v>
      </x:c>
      <x:c r="I152" s="9"/>
      <x:c r="J152" s="9"/>
      <x:c r="K152" s="2"/>
      <x:c r="L152" s="9" t="n">
        <x:v>1</x:v>
      </x:c>
      <x:c r="M152" s="9"/>
      <x:c r="N152" s="10" t="n">
        <x:v>46111</x:v>
      </x:c>
      <x:c r="O152" s="7" t="str">
        <x:v>至少1名头部伤者，非完整伤亡统计。</x:v>
      </x:c>
      <x:c r="P152" s="7" t="str">
        <x:v>官方记录作案者先持斧破坏车辆，再出车库持刀追砍社区群众并转向制止者，支持面向在场公众持续攻击，非仅凭受伤人数归类。</x:v>
      </x:c>
      <x:c r="Q152" s="2" t="str">
        <x:v>巧家县</x:v>
      </x:c>
      <x:c r="R152" s="2"/>
      <x:c r="S152" s="2" t="str">
        <x:v>day</x:v>
      </x:c>
      <x:c r="T152" s="2"/>
      <x:c r="U152" s="2"/>
      <x:c r="V152" s="9"/>
      <x:c r="W152" s="9"/>
      <x:c r="X152" s="9"/>
      <x:c r="Y152" s="2"/>
      <x:c r="Z152" s="2"/>
      <x:c r="AA152" s="9"/>
      <x:c r="AB152" s="2"/>
      <x:c r="AC152" s="2"/>
      <x:c r="AD152" s="7"/>
      <x:c r="AE152" s="2" t="str"/>
      <x:c r="AF152" s="2" t="str">
        <x:v>未知</x:v>
      </x:c>
      <x:c r="AG152" s="2"/>
      <x:c r="AH152" s="2"/>
      <x:c r="AI152" s="2"/>
      <x:c r="AJ152" s="2" t="str">
        <x:v>居民追赶，辅警与群众合力制服。</x:v>
      </x:c>
      <x:c r="AK152" s="2" t="str">
        <x:v>嫌疑人被控制。</x:v>
      </x:c>
      <x:c r="AL152" s="10"/>
      <x:c r="AM152" s="10"/>
      <x:c r="AN152" s="10" t="n">
        <x:v>46111</x:v>
      </x:c>
      <x:c r="AO152" s="2" t="str">
        <x:v>官方原文</x:v>
      </x:c>
      <x:c r="AP152" s="7" t="str">
        <x:v>LXS26A22</x:v>
      </x:c>
      <x:c r="AQ152" s="7" t="str">
        <x:v>{"date":["LXS26A22"],"location":["LXS26A22"],"casualties":["LXS26A22"],"classification":["LXS26A22"],"motive":[],"outcome":["LXS26A22"],"intervention":["LXS26A22"]}</x:v>
      </x:c>
      <x:c r="AR152" s="2"/>
      <x:c r="AS152" s="9"/>
      <x:c r="AT152" s="9"/>
      <x:c r="AU152" s="9"/>
      <x:c r="AV152" s="2"/>
      <x:c r="AW152" s="2" t="str">
        <x:v>2026-X补查</x:v>
      </x:c>
      <x:c r="AX152" s="9" t="n">
        <x:v>2026</x:v>
      </x:c>
      <x:c r="AY152" s="10"/>
      <x:c r="AZ152" s="7"/>
      <x:c r="BA152" s="7"/>
      <x:c r="BB152" s="7" t="str"/>
      <x:c r="BC152" s="7" t="str">
        <x:v>未披露动机，不推定精神病或报复社会。</x:v>
      </x:c>
      <x:c r="BD152" s="2" t="str">
        <x:v>是</x:v>
      </x:c>
      <x:c r="BE152" s="2" t="str">
        <x:v>是</x:v>
      </x:c>
      <x:c r="BF152" s="2" t="str">
        <x:v>官方材料直接记载作案者在社区追砍群众并转向上前喝止者，支持公众目标分类。</x:v>
      </x:c>
      <x:c r="BG152" s="2" t="str"/>
      <x:c r="BH152" s="9" t="n">
        <x:v>2026</x:v>
      </x:c>
      <x:c r="BI152" s="9" t="n">
        <x:v>0</x:v>
      </x:c>
      <x:c r="BJ152" s="9" t="n">
        <x:v>1</x:v>
      </x:c>
      <x:c r="BK152" s="9" t="n">
        <x:v>1</x:v>
      </x:c>
      <x:c r="BL152" s="9" t="n">
        <x:v>0</x:v>
      </x:c>
      <x:c r="BM152" s="9" t="n">
        <x:v>1</x:v>
      </x:c>
      <x:c r="BN152" s="9" t="n">
        <x:v>1</x:v>
      </x:c>
      <x:c r="BO152" s="9" t="n">
        <x:v>1</x:v>
      </x:c>
    </x:row>
    <x:row r="153" ht="38" customHeight="1">
      <x:c r="A153" s="2" t="str">
        <x:v>LX26A21</x:v>
      </x:c>
      <x:c r="B153" s="2" t="str">
        <x:v>2026-03-11</x:v>
      </x:c>
      <x:c r="C153" s="7" t="str">
        <x:v>武汉汉阳火锅店与广场舞冲突伤人线索</x:v>
      </x:c>
      <x:c r="D153" s="2" t="str">
        <x:v>湖北</x:v>
      </x:c>
      <x:c r="E153" s="2" t="str">
        <x:v>武汉</x:v>
      </x:c>
      <x:c r="F153" s="2" t="str">
        <x:v>pending</x:v>
      </x:c>
      <x:c r="G153" s="2" t="str">
        <x:v>商业场所</x:v>
      </x:c>
      <x:c r="H153" s="2" t="str">
        <x:v>持械</x:v>
      </x:c>
      <x:c r="I153" s="9"/>
      <x:c r="J153" s="9"/>
      <x:c r="K153" s="2"/>
      <x:c r="L153" s="9"/>
      <x:c r="M153" s="9"/>
      <x:c r="N153" s="10"/>
      <x:c r="O153" s="7" t="str">
        <x:v>单一报道2伤，暂不写入精确数字。</x:v>
      </x:c>
      <x:c r="P153" s="7" t="str">
        <x:v>记者采访商户及社区称争执伤及舞者和无关劝架人，具expanded特征；尚缺正式通报或第二独立采集确认发生全貌。</x:v>
      </x:c>
      <x:c r="Q153" s="2" t="str">
        <x:v>汉阳区</x:v>
      </x:c>
      <x:c r="R153" s="2"/>
      <x:c r="S153" s="2" t="str">
        <x:v>day</x:v>
      </x:c>
      <x:c r="T153" s="2"/>
      <x:c r="U153" s="2"/>
      <x:c r="V153" s="9"/>
      <x:c r="W153" s="9"/>
      <x:c r="X153" s="9"/>
      <x:c r="Y153" s="2"/>
      <x:c r="Z153" s="2"/>
      <x:c r="AA153" s="9"/>
      <x:c r="AB153" s="2"/>
      <x:c r="AC153" s="2"/>
      <x:c r="AD153" s="7"/>
      <x:c r="AE153" s="2" t="str"/>
      <x:c r="AF153" s="2" t="str">
        <x:v>未知</x:v>
      </x:c>
      <x:c r="AG153" s="2"/>
      <x:c r="AH153" s="2"/>
      <x:c r="AI153" s="2"/>
      <x:c r="AJ153" s="2"/>
      <x:c r="AK153" s="2"/>
      <x:c r="AL153" s="10"/>
      <x:c r="AM153" s="10"/>
      <x:c r="AN153" s="10" t="n">
        <x:v>46095</x:v>
      </x:c>
      <x:c r="AO153" s="2" t="str">
        <x:v>单一媒体</x:v>
      </x:c>
      <x:c r="AP153" s="7" t="str">
        <x:v>LXS26A28</x:v>
      </x:c>
      <x:c r="AQ153" s="7" t="str">
        <x:v>{"date":["LXS26A28"],"location":["LXS26A28"],"casualties":[],"classification":["LXS26A28"],"motive":[],"outcome":[]}</x:v>
      </x:c>
      <x:c r="AR153" s="2"/>
      <x:c r="AS153" s="9"/>
      <x:c r="AT153" s="9"/>
      <x:c r="AU153" s="9"/>
      <x:c r="AV153" s="2"/>
      <x:c r="AW153" s="2" t="str">
        <x:v>2026-X补查</x:v>
      </x:c>
      <x:c r="AX153" s="9" t="n">
        <x:v>2026</x:v>
      </x:c>
      <x:c r="AY153" s="10"/>
      <x:c r="AZ153" s="7"/>
      <x:c r="BA153" s="7" t="str">
        <x:v>记者采访商户及社区称争执伤及舞者和无关劝架人，具expanded特征；尚缺正式通报或第二独立采集确认发生全貌。</x:v>
      </x:c>
      <x:c r="BB153" s="7" t="str"/>
      <x:c r="BC153" s="7" t="str">
        <x:v>不能把锦观、齐鲁、百姓关注及境外转述自动认作独立采集；需回溯原视频采访。</x:v>
      </x:c>
      <x:c r="BD153" s="2" t="str">
        <x:v>否</x:v>
      </x:c>
      <x:c r="BE153" s="2" t="str">
        <x:v>否</x:v>
      </x:c>
      <x:c r="BF153" s="2" t="str">
        <x:v>网传线索，未独立核实</x:v>
      </x:c>
      <x:c r="BG153" s="2" t="str"/>
      <x:c r="BH153" s="9" t="n">
        <x:v>2026</x:v>
      </x:c>
      <x:c r="BI153" s="9" t="n">
        <x:v>0</x:v>
      </x:c>
      <x:c r="BJ153" s="9" t="n">
        <x:v>0</x:v>
      </x:c>
      <x:c r="BK153" s="9" t="n">
        <x:v>0</x:v>
      </x:c>
      <x:c r="BL153" s="9" t="n">
        <x:v>0</x:v>
      </x:c>
      <x:c r="BM153" s="9" t="n">
        <x:v>1</x:v>
      </x:c>
      <x:c r="BN153" s="9" t="n">
        <x:v>1</x:v>
      </x:c>
      <x:c r="BO153" s="9" t="n">
        <x:v>1</x:v>
      </x:c>
    </x:row>
    <x:row r="154" ht="38" customHeight="1">
      <x:c r="A154" s="2" t="str">
        <x:v>LX26A22</x:v>
      </x:c>
      <x:c r="B154" s="2" t="str">
        <x:v>2026-03-19</x:v>
      </x:c>
      <x:c r="C154" s="7" t="str">
        <x:v>重庆朝阳中学同学冲突及持刀说法争议</x:v>
      </x:c>
      <x:c r="D154" s="2" t="str">
        <x:v>重庆</x:v>
      </x:c>
      <x:c r="E154" s="2" t="str">
        <x:v>重庆</x:v>
      </x:c>
      <x:c r="F154" s="2" t="str">
        <x:v>excluded</x:v>
      </x:c>
      <x:c r="G154" s="2" t="str">
        <x:v>校园及周边</x:v>
      </x:c>
      <x:c r="H154" s="2" t="str">
        <x:v>持械</x:v>
      </x:c>
      <x:c r="I154" s="9"/>
      <x:c r="J154" s="9"/>
      <x:c r="K154" s="2"/>
      <x:c r="L154" s="9"/>
      <x:c r="M154" s="9"/>
      <x:c r="N154" s="10"/>
      <x:c r="O154" s="7" t="str">
        <x:v>学校否认持刀伤人，家长称手部手术，不据争议报道填确定死伤。</x:v>
      </x:c>
      <x:c r="P154" s="7" t="str">
        <x:v>家长与校方对持刀、伤情存在矛盾，但各版本均为同班同学日常矛盾，未见主动袭击无关者；制止学生被称未受伤。</x:v>
      </x:c>
      <x:c r="Q154" s="2" t="str">
        <x:v>北碚区</x:v>
      </x:c>
      <x:c r="R154" s="2"/>
      <x:c r="S154" s="2" t="str">
        <x:v>day</x:v>
      </x:c>
      <x:c r="T154" s="2"/>
      <x:c r="U154" s="2"/>
      <x:c r="V154" s="9"/>
      <x:c r="W154" s="9"/>
      <x:c r="X154" s="9"/>
      <x:c r="Y154" s="2" t="str">
        <x:v>是</x:v>
      </x:c>
      <x:c r="Z154" s="2"/>
      <x:c r="AA154" s="9"/>
      <x:c r="AB154" s="2"/>
      <x:c r="AC154" s="2"/>
      <x:c r="AD154" s="7"/>
      <x:c r="AE154" s="2" t="str"/>
      <x:c r="AF154" s="2" t="str">
        <x:v>未知</x:v>
      </x:c>
      <x:c r="AG154" s="2"/>
      <x:c r="AH154" s="2"/>
      <x:c r="AI154" s="2"/>
      <x:c r="AJ154" s="2"/>
      <x:c r="AK154" s="2"/>
      <x:c r="AL154" s="10"/>
      <x:c r="AM154" s="10"/>
      <x:c r="AN154" s="10" t="n">
        <x:v>46151</x:v>
      </x:c>
      <x:c r="AO154" s="2" t="str">
        <x:v>单一媒体</x:v>
      </x:c>
      <x:c r="AP154" s="7" t="str">
        <x:v>LXS26A29</x:v>
      </x:c>
      <x:c r="AQ154" s="7" t="str">
        <x:v>{"date":["LXS26A29"],"location":["LXS26A29"],"casualties":[],"classification":["LXS26A29"],"motive":[],"outcome":[],"demographics":["LXS26A29"]}</x:v>
      </x:c>
      <x:c r="AR154" s="2"/>
      <x:c r="AS154" s="9"/>
      <x:c r="AT154" s="9"/>
      <x:c r="AU154" s="9"/>
      <x:c r="AV154" s="2"/>
      <x:c r="AW154" s="2" t="str">
        <x:v>2026-X补查</x:v>
      </x:c>
      <x:c r="AX154" s="9" t="n">
        <x:v>2026</x:v>
      </x:c>
      <x:c r="AY154" s="10"/>
      <x:c r="AZ154" s="7"/>
      <x:c r="BA154" s="7"/>
      <x:c r="BB154" s="7" t="str"/>
      <x:c r="BC154" s="7" t="str">
        <x:v>排除是依据现有对象范围；不代表已裁断家长或校方真假。</x:v>
      </x:c>
      <x:c r="BD154" s="2" t="str">
        <x:v>否</x:v>
      </x:c>
      <x:c r="BE154" s="2" t="str">
        <x:v>否</x:v>
      </x:c>
      <x:c r="BF154" s="2" t="str">
        <x:v>网传线索，未独立核实</x:v>
      </x:c>
      <x:c r="BG154" s="2" t="str"/>
      <x:c r="BH154" s="9" t="n">
        <x:v>2026</x:v>
      </x:c>
      <x:c r="BI154" s="9" t="n">
        <x:v>0</x:v>
      </x:c>
      <x:c r="BJ154" s="9" t="n">
        <x:v>0</x:v>
      </x:c>
      <x:c r="BK154" s="9" t="n">
        <x:v>0</x:v>
      </x:c>
      <x:c r="BL154" s="9" t="n">
        <x:v>0</x:v>
      </x:c>
      <x:c r="BM154" s="9" t="n">
        <x:v>1</x:v>
      </x:c>
      <x:c r="BN154" s="9" t="n">
        <x:v>1</x:v>
      </x:c>
      <x:c r="BO154" s="9" t="n">
        <x:v>1</x:v>
      </x:c>
    </x:row>
    <x:row r="155" ht="38" customHeight="1">
      <x:c r="A155" s="2" t="str">
        <x:v>LX26A07</x:v>
      </x:c>
      <x:c r="B155" s="2" t="str">
        <x:v>2026-03-20</x:v>
      </x:c>
      <x:c r="C155" s="7" t="str">
        <x:v>横琴小区抢劫致死案</x:v>
      </x:c>
      <x:c r="D155" s="2" t="str">
        <x:v>广东</x:v>
      </x:c>
      <x:c r="E155" s="2" t="str">
        <x:v>珠海</x:v>
      </x:c>
      <x:c r="F155" s="2" t="str">
        <x:v>pending</x:v>
      </x:c>
      <x:c r="G155" s="2" t="str">
        <x:v>社区住宅</x:v>
      </x:c>
      <x:c r="H155" s="2" t="str">
        <x:v>其他</x:v>
      </x:c>
      <x:c r="I155" s="9" t="n">
        <x:v>1</x:v>
      </x:c>
      <x:c r="J155" s="9"/>
      <x:c r="K155" s="2"/>
      <x:c r="L155" s="9"/>
      <x:c r="M155" s="9"/>
      <x:c r="N155" s="10" t="n">
        <x:v>46103</x:v>
      </x:c>
      <x:c r="O155" s="7"/>
      <x:c r="P155" s="7" t="str">
        <x:v>警方证实入小区抢劫两人、1死；抢劫不自动排除，但未披露选择对象过程、先前关系及攻击方式，暂不能确认为随机侵害。</x:v>
      </x:c>
      <x:c r="Q155" s="2" t="str">
        <x:v>横琴粤澳深度合作区</x:v>
      </x:c>
      <x:c r="R155" s="2"/>
      <x:c r="S155" s="2" t="str">
        <x:v>day</x:v>
      </x:c>
      <x:c r="T155" s="2"/>
      <x:c r="U155" s="2"/>
      <x:c r="V155" s="9"/>
      <x:c r="W155" s="9"/>
      <x:c r="X155" s="9"/>
      <x:c r="Y155" s="2"/>
      <x:c r="Z155" s="2"/>
      <x:c r="AA155" s="9" t="n">
        <x:v>26</x:v>
      </x:c>
      <x:c r="AB155" s="2" t="str">
        <x:v>男</x:v>
      </x:c>
      <x:c r="AC155" s="2"/>
      <x:c r="AD155" s="7" t="str">
        <x:v>警方认定实施抢劫。</x:v>
      </x:c>
      <x:c r="AE155" s="2" t="str">
        <x:v>抢劫</x:v>
      </x:c>
      <x:c r="AF155" s="2" t="str">
        <x:v>警方初步通报</x:v>
      </x:c>
      <x:c r="AG155" s="2"/>
      <x:c r="AH155" s="2"/>
      <x:c r="AI155" s="2"/>
      <x:c r="AJ155" s="2"/>
      <x:c r="AK155" s="2" t="str">
        <x:v>3月21日抓获嫌疑人。</x:v>
      </x:c>
      <x:c r="AL155" s="10"/>
      <x:c r="AM155" s="10"/>
      <x:c r="AN155" s="10" t="n">
        <x:v>46103</x:v>
      </x:c>
      <x:c r="AO155" s="2" t="str">
        <x:v>官方转载</x:v>
      </x:c>
      <x:c r="AP155" s="7" t="str">
        <x:v>LXS26A12；LXS26A13；LXS26A01</x:v>
      </x:c>
      <x:c r="AQ155" s="7" t="str">
        <x:v>{"date":["LXS26A13"],"location":["LXS26A13"],"casualties":["LXS26A13"],"classification":["LXS26A12","LXS26A13"],"motive":["LXS26A13"],"outcome":["LXS26A13"],"demographics":["LXS26A13"]}</x:v>
      </x:c>
      <x:c r="AR155" s="2"/>
      <x:c r="AS155" s="9"/>
      <x:c r="AT155" s="9"/>
      <x:c r="AU155" s="9"/>
      <x:c r="AV155" s="2"/>
      <x:c r="AW155" s="2" t="str">
        <x:v>2026-X补查</x:v>
      </x:c>
      <x:c r="AX155" s="9" t="n">
        <x:v>2026</x:v>
      </x:c>
      <x:c r="AY155" s="10"/>
      <x:c r="AZ155" s="7" t="str">
        <x:v>按警方3月20日晚；社媒初报3月22日及后续3月21日均非案发日。</x:v>
      </x:c>
      <x:c r="BA155" s="7" t="str">
        <x:v>警方证实入小区抢劫两人、1死；抢劫不自动排除，但未披露选择对象过程、先前关系及攻击方式，暂不能确认为随机侵害。</x:v>
      </x:c>
      <x:c r="BB155" s="7" t="str">
        <x:v>https://x.com/whyyoutouzhele/status/2035510951944819083；https://x.com/whyyoutouzhele/status/2039625155404509246</x:v>
      </x:c>
      <x:c r="BC155" s="7"/>
      <x:c r="BD155" s="2" t="str">
        <x:v>是</x:v>
      </x:c>
      <x:c r="BE155" s="2" t="str">
        <x:v>否</x:v>
      </x:c>
      <x:c r="BF155" s="2" t="str">
        <x:v>发生已确认，受害关系待核</x:v>
      </x:c>
      <x:c r="BG155" s="2" t="str">
        <x:v>其他已披露背景</x:v>
      </x:c>
      <x:c r="BH155" s="9" t="n">
        <x:v>2026</x:v>
      </x:c>
      <x:c r="BI155" s="9" t="n">
        <x:v>1</x:v>
      </x:c>
      <x:c r="BJ155" s="9" t="n">
        <x:v>0</x:v>
      </x:c>
      <x:c r="BK155" s="9" t="n">
        <x:v>0</x:v>
      </x:c>
      <x:c r="BL155" s="9" t="n">
        <x:v>1</x:v>
      </x:c>
      <x:c r="BM155" s="9" t="n">
        <x:v>1</x:v>
      </x:c>
      <x:c r="BN155" s="9" t="n">
        <x:v>0</x:v>
      </x:c>
      <x:c r="BO155" s="9" t="n">
        <x:v>1</x:v>
      </x:c>
    </x:row>
    <x:row r="156" ht="38" customHeight="1">
      <x:c r="A156" s="2" t="str">
        <x:v>LX26A08</x:v>
      </x:c>
      <x:c r="B156" s="2" t="str">
        <x:v>2026-03-22</x:v>
      </x:c>
      <x:c r="C156" s="7" t="str">
        <x:v>重庆观音桥司机疑发病车辆失控事故</x:v>
      </x:c>
      <x:c r="D156" s="2" t="str">
        <x:v>重庆</x:v>
      </x:c>
      <x:c r="E156" s="2" t="str">
        <x:v>重庆</x:v>
      </x:c>
      <x:c r="F156" s="2" t="str">
        <x:v>excluded</x:v>
      </x:c>
      <x:c r="G156" s="2" t="str">
        <x:v>街道交通</x:v>
      </x:c>
      <x:c r="H156" s="2" t="str">
        <x:v>驾车</x:v>
      </x:c>
      <x:c r="I156" s="9" t="n">
        <x:v>0</x:v>
      </x:c>
      <x:c r="J156" s="9" t="n">
        <x:v>3</x:v>
      </x:c>
      <x:c r="K156" s="2"/>
      <x:c r="L156" s="9"/>
      <x:c r="M156" s="9"/>
      <x:c r="N156" s="10" t="n">
        <x:v>46104</x:v>
      </x:c>
      <x:c r="O156" s="7" t="str">
        <x:v>通报1死3伤中的死者为司机，另3人为受伤行人；死亡司机单列driver_deaths，不计受害者或作案者死亡。</x:v>
      </x:c>
      <x:c r="P156" s="7" t="str">
        <x:v>完整警方通报初查司机疑似突发疾病后车辆失控；现场报道未提供反复选择目标等足以证明主动袭击的证据。</x:v>
      </x:c>
      <x:c r="Q156" s="2" t="str">
        <x:v>两江新区</x:v>
      </x:c>
      <x:c r="R156" s="2"/>
      <x:c r="S156" s="2" t="str">
        <x:v>day</x:v>
      </x:c>
      <x:c r="T156" s="2"/>
      <x:c r="U156" s="2"/>
      <x:c r="V156" s="9"/>
      <x:c r="W156" s="9"/>
      <x:c r="X156" s="9"/>
      <x:c r="Y156" s="2"/>
      <x:c r="Z156" s="2"/>
      <x:c r="AA156" s="9" t="n">
        <x:v>33</x:v>
      </x:c>
      <x:c r="AB156" s="2" t="str">
        <x:v>男</x:v>
      </x:c>
      <x:c r="AC156" s="2"/>
      <x:c r="AD156" s="7"/>
      <x:c r="AE156" s="2" t="str"/>
      <x:c r="AF156" s="2" t="str">
        <x:v>未知</x:v>
      </x:c>
      <x:c r="AG156" s="2"/>
      <x:c r="AH156" s="2"/>
      <x:c r="AI156" s="2"/>
      <x:c r="AJ156" s="2"/>
      <x:c r="AK156" s="2"/>
      <x:c r="AL156" s="10"/>
      <x:c r="AM156" s="10"/>
      <x:c r="AN156" s="10" t="n">
        <x:v>46104</x:v>
      </x:c>
      <x:c r="AO156" s="2" t="str">
        <x:v>官方转载</x:v>
      </x:c>
      <x:c r="AP156" s="7" t="str">
        <x:v>LXS26A14；LXS26A15；LXS26A01</x:v>
      </x:c>
      <x:c r="AQ156" s="7" t="str">
        <x:v>{"date":["LXS26A15"],"location":["LXS26A15"],"casualties":["LXS26A15"],"classification":["LXS26A15"],"motive":[],"outcome":[],"demographics":["LXS26A15"]}</x:v>
      </x:c>
      <x:c r="AR156" s="2"/>
      <x:c r="AS156" s="9"/>
      <x:c r="AT156" s="9"/>
      <x:c r="AU156" s="9"/>
      <x:c r="AV156" s="2"/>
      <x:c r="AW156" s="2" t="str">
        <x:v>2026-X补查</x:v>
      </x:c>
      <x:c r="AX156" s="9" t="n">
        <x:v>2026</x:v>
      </x:c>
      <x:c r="AY156" s="10"/>
      <x:c r="AZ156" s="7"/>
      <x:c r="BA156" s="7"/>
      <x:c r="BB156" s="7" t="str">
        <x:v>https://x.com/whyyoutouzhele/status/2035710493772382393；https://x.com/whyyoutouzhele/status/2039625155404509246</x:v>
      </x:c>
      <x:c r="BC156" s="7" t="str">
        <x:v>警方表述为疑似，保留后续改变结论可能；不采用自媒体额外宣称已排除故意性的扩写。</x:v>
      </x:c>
      <x:c r="BD156" s="2" t="str">
        <x:v>是</x:v>
      </x:c>
      <x:c r="BE156" s="2" t="str">
        <x:v>是</x:v>
      </x:c>
      <x:c r="BF156" s="2" t="str">
        <x:v>警方初查疑似病发失控</x:v>
      </x:c>
      <x:c r="BG156" s="2" t="str"/>
      <x:c r="BH156" s="9" t="n">
        <x:v>2026</x:v>
      </x:c>
      <x:c r="BI156" s="9" t="n">
        <x:v>0</x:v>
      </x:c>
      <x:c r="BJ156" s="9" t="n">
        <x:v>3</x:v>
      </x:c>
      <x:c r="BK156" s="9" t="n">
        <x:v>1</x:v>
      </x:c>
      <x:c r="BL156" s="9" t="n">
        <x:v>0</x:v>
      </x:c>
      <x:c r="BM156" s="9" t="n">
        <x:v>1</x:v>
      </x:c>
      <x:c r="BN156" s="9" t="n">
        <x:v>0</x:v>
      </x:c>
      <x:c r="BO156" s="9" t="n">
        <x:v>0</x:v>
      </x:c>
    </x:row>
    <x:row r="157" ht="38" customHeight="1">
      <x:c r="A157" s="2" t="str">
        <x:v>LX26A14</x:v>
      </x:c>
      <x:c r="B157" s="2" t="str">
        <x:v>2026-03-24</x:v>
      </x:c>
      <x:c r="C157" s="7" t="str">
        <x:v>上海平凉路男子持刀伤妻案</x:v>
      </x:c>
      <x:c r="D157" s="2" t="str">
        <x:v>上海</x:v>
      </x:c>
      <x:c r="E157" s="2" t="str">
        <x:v>上海</x:v>
      </x:c>
      <x:c r="F157" s="2" t="str">
        <x:v>excluded</x:v>
      </x:c>
      <x:c r="G157" s="2" t="str">
        <x:v>街道交通</x:v>
      </x:c>
      <x:c r="H157" s="2" t="str">
        <x:v>持械</x:v>
      </x:c>
      <x:c r="I157" s="9"/>
      <x:c r="J157" s="9"/>
      <x:c r="K157" s="2"/>
      <x:c r="L157" s="9" t="n">
        <x:v>1</x:v>
      </x:c>
      <x:c r="M157" s="9"/>
      <x:c r="N157" s="10" t="n">
        <x:v>46212</x:v>
      </x:c>
      <x:c r="O157" s="7" t="str">
        <x:v>官方事迹确认妻子被刀伤；不是完整伤亡统计。</x:v>
      </x:c>
      <x:c r="P157" s="7" t="str">
        <x:v>官方明确家庭纠纷后持刀伤妻；他人制止成功，未披露对无关者继续攻击。</x:v>
      </x:c>
      <x:c r="Q157" s="2" t="str">
        <x:v>杨浦区</x:v>
      </x:c>
      <x:c r="R157" s="2"/>
      <x:c r="S157" s="2" t="str">
        <x:v>day</x:v>
      </x:c>
      <x:c r="T157" s="2"/>
      <x:c r="U157" s="2"/>
      <x:c r="V157" s="9"/>
      <x:c r="W157" s="9"/>
      <x:c r="X157" s="9"/>
      <x:c r="Y157" s="2"/>
      <x:c r="Z157" s="2" t="str">
        <x:v>夫妻</x:v>
      </x:c>
      <x:c r="AA157" s="9"/>
      <x:c r="AB157" s="2"/>
      <x:c r="AC157" s="2"/>
      <x:c r="AD157" s="7" t="str">
        <x:v>家庭纠纷。</x:v>
      </x:c>
      <x:c r="AE157" s="2" t="str">
        <x:v>家庭纠纷</x:v>
      </x:c>
      <x:c r="AF157" s="2" t="str">
        <x:v>官方事迹</x:v>
      </x:c>
      <x:c r="AG157" s="2"/>
      <x:c r="AH157" s="2"/>
      <x:c r="AI157" s="2"/>
      <x:c r="AJ157" s="2" t="str">
        <x:v>配送员骑车撞开施害者，与群众合力控制。</x:v>
      </x:c>
      <x:c r="AK157" s="2"/>
      <x:c r="AL157" s="10"/>
      <x:c r="AM157" s="10"/>
      <x:c r="AN157" s="10" t="n">
        <x:v>46212</x:v>
      </x:c>
      <x:c r="AO157" s="2" t="str">
        <x:v>官方原文</x:v>
      </x:c>
      <x:c r="AP157" s="7" t="str">
        <x:v>LXS26A18</x:v>
      </x:c>
      <x:c r="AQ157" s="7" t="str">
        <x:v>{"date":["LXS26A18"],"location":["LXS26A18"],"casualties":["LXS26A18"],"classification":["LXS26A18"],"motive":["LXS26A18"],"outcome":[],"intervention":["LXS26A18"]}</x:v>
      </x:c>
      <x:c r="AR157" s="2"/>
      <x:c r="AS157" s="9"/>
      <x:c r="AT157" s="9"/>
      <x:c r="AU157" s="9"/>
      <x:c r="AV157" s="2" t="str">
        <x:v>中央政法委2026年第二季度见义勇为事迹公开材料；不是警方初报或法院认定。</x:v>
      </x:c>
      <x:c r="AW157" s="2" t="str">
        <x:v>2026-X补查</x:v>
      </x:c>
      <x:c r="AX157" s="9" t="n">
        <x:v>2026</x:v>
      </x:c>
      <x:c r="AY157" s="10"/>
      <x:c r="AZ157" s="7"/>
      <x:c r="BA157" s="7"/>
      <x:c r="BB157" s="7" t="str"/>
      <x:c r="BC157" s="7"/>
      <x:c r="BD157" s="2" t="str">
        <x:v>是</x:v>
      </x:c>
      <x:c r="BE157" s="2" t="str">
        <x:v>是</x:v>
      </x:c>
      <x:c r="BF157" s="2" t="str">
        <x:v>官方明确定向家庭纠纷</x:v>
      </x:c>
      <x:c r="BG157" s="2" t="str">
        <x:v>婚姻／家庭／感情问题</x:v>
      </x:c>
      <x:c r="BH157" s="9" t="n">
        <x:v>2026</x:v>
      </x:c>
      <x:c r="BI157" s="9" t="n">
        <x:v>0</x:v>
      </x:c>
      <x:c r="BJ157" s="9" t="n">
        <x:v>1</x:v>
      </x:c>
      <x:c r="BK157" s="9" t="n">
        <x:v>1</x:v>
      </x:c>
      <x:c r="BL157" s="9" t="n">
        <x:v>1</x:v>
      </x:c>
      <x:c r="BM157" s="9" t="n">
        <x:v>1</x:v>
      </x:c>
      <x:c r="BN157" s="9" t="n">
        <x:v>1</x:v>
      </x:c>
      <x:c r="BO157" s="9" t="n">
        <x:v>1</x:v>
      </x:c>
    </x:row>
    <x:row r="158" ht="38" customHeight="1">
      <x:c r="A158" s="2" t="str">
        <x:v>LX26A09</x:v>
      </x:c>
      <x:c r="B158" s="2" t="str">
        <x:v>2026-03-26</x:v>
      </x:c>
      <x:c r="C158" s="7" t="str">
        <x:v>网传深圳龙城街道爱联市场持刀伤人事件</x:v>
      </x:c>
      <x:c r="D158" s="2" t="str">
        <x:v>广东</x:v>
      </x:c>
      <x:c r="E158" s="2" t="str">
        <x:v>深圳</x:v>
      </x:c>
      <x:c r="F158" s="2" t="str">
        <x:v>pending</x:v>
      </x:c>
      <x:c r="G158" s="2" t="str">
        <x:v>商业场所</x:v>
      </x:c>
      <x:c r="H158" s="2" t="str">
        <x:v>持械</x:v>
      </x:c>
      <x:c r="I158" s="9"/>
      <x:c r="J158" s="9"/>
      <x:c r="K158" s="2"/>
      <x:c r="L158" s="9"/>
      <x:c r="M158" s="9"/>
      <x:c r="N158" s="10"/>
      <x:c r="O158" s="7" t="str">
        <x:v>网传两死或两伤等不同说法不录精确值。</x:v>
      </x:c>
      <x:c r="P158" s="7" t="str">
        <x:v>晚间龙岗线索尚无独立采集或正式通报；网传冲突起因、快递员身份和学生死亡人数互相矛盾。</x:v>
      </x:c>
      <x:c r="Q158" s="2" t="str">
        <x:v>龙岗区</x:v>
      </x:c>
      <x:c r="R158" s="2"/>
      <x:c r="S158" s="2" t="str">
        <x:v>day</x:v>
      </x:c>
      <x:c r="T158" s="2"/>
      <x:c r="U158" s="2"/>
      <x:c r="V158" s="9"/>
      <x:c r="W158" s="9"/>
      <x:c r="X158" s="9"/>
      <x:c r="Y158" s="2"/>
      <x:c r="Z158" s="2"/>
      <x:c r="AA158" s="9"/>
      <x:c r="AB158" s="2"/>
      <x:c r="AC158" s="2"/>
      <x:c r="AD158" s="7"/>
      <x:c r="AE158" s="2" t="str"/>
      <x:c r="AF158" s="2" t="str">
        <x:v>未知</x:v>
      </x:c>
      <x:c r="AG158" s="2"/>
      <x:c r="AH158" s="2"/>
      <x:c r="AI158" s="2"/>
      <x:c r="AJ158" s="2"/>
      <x:c r="AK158" s="2"/>
      <x:c r="AL158" s="10"/>
      <x:c r="AM158" s="10"/>
      <x:c r="AN158" s="10" t="n">
        <x:v>46108</x:v>
      </x:c>
      <x:c r="AO158" s="2" t="str">
        <x:v>网传待核</x:v>
      </x:c>
      <x:c r="AP158" s="7" t="str">
        <x:v>LXS26A16；LXS26A31；LXS26A01</x:v>
      </x:c>
      <x:c r="AQ158" s="7" t="str">
        <x:v>{"date":["LXS26A16","LXS26A31"],"location":["LXS26A16","LXS26A31"],"casualties":[],"classification":["LXS26A16","LXS26A31"],"motive":[],"outcome":[]}</x:v>
      </x:c>
      <x:c r="AR158" s="2"/>
      <x:c r="AS158" s="9"/>
      <x:c r="AT158" s="9"/>
      <x:c r="AU158" s="9"/>
      <x:c r="AV158" s="2"/>
      <x:c r="AW158" s="2" t="str">
        <x:v>2026-X补查</x:v>
      </x:c>
      <x:c r="AX158" s="9" t="n">
        <x:v>2026</x:v>
      </x:c>
      <x:c r="AY158" s="10"/>
      <x:c r="AZ158" s="7"/>
      <x:c r="BA158" s="7" t="str">
        <x:v>晚间龙岗线索尚无独立采集或正式通报；网传冲突起因、快递员身份和学生死亡人数互相矛盾。</x:v>
      </x:c>
      <x:c r="BB158" s="7" t="str">
        <x:v>https://x.com/whyyoutouzhele/status/2037212487309742093；https://x.com/whyyoutouzhele/status/2039625155404509246</x:v>
      </x:c>
      <x:c r="BC158" s="7" t="str">
        <x:v>与罗湖清晨案时间、区域及被述作案者均不同，暂分候选；若后续证明同一连续过程应合并。</x:v>
      </x:c>
      <x:c r="BD158" s="2" t="str">
        <x:v>否</x:v>
      </x:c>
      <x:c r="BE158" s="2" t="str">
        <x:v>否</x:v>
      </x:c>
      <x:c r="BF158" s="2" t="str">
        <x:v>网传线索，未独立核实</x:v>
      </x:c>
      <x:c r="BG158" s="2" t="str"/>
      <x:c r="BH158" s="9" t="n">
        <x:v>2026</x:v>
      </x:c>
      <x:c r="BI158" s="9" t="n">
        <x:v>0</x:v>
      </x:c>
      <x:c r="BJ158" s="9" t="n">
        <x:v>0</x:v>
      </x:c>
      <x:c r="BK158" s="9" t="n">
        <x:v>0</x:v>
      </x:c>
      <x:c r="BL158" s="9" t="n">
        <x:v>0</x:v>
      </x:c>
      <x:c r="BM158" s="9" t="n">
        <x:v>1</x:v>
      </x:c>
      <x:c r="BN158" s="9" t="n">
        <x:v>1</x:v>
      </x:c>
      <x:c r="BO158" s="9" t="n">
        <x:v>1</x:v>
      </x:c>
    </x:row>
    <x:row r="159" ht="38" customHeight="1">
      <x:c r="A159" s="2" t="str">
        <x:v>LX26A10</x:v>
      </x:c>
      <x:c r="B159" s="2" t="str">
        <x:v>2026-03-26</x:v>
      </x:c>
      <x:c r="C159" s="7" t="str">
        <x:v>深圳罗湖东门女学生及救助者遭持刀袭击</x:v>
      </x:c>
      <x:c r="D159" s="2" t="str">
        <x:v>广东</x:v>
      </x:c>
      <x:c r="E159" s="2" t="str">
        <x:v>深圳</x:v>
      </x:c>
      <x:c r="F159" s="2" t="str">
        <x:v>expanded</x:v>
      </x:c>
      <x:c r="G159" s="2" t="str">
        <x:v>街道交通</x:v>
      </x:c>
      <x:c r="H159" s="2" t="str">
        <x:v>持械</x:v>
      </x:c>
      <x:c r="I159" s="9"/>
      <x:c r="J159" s="9"/>
      <x:c r="K159" s="2"/>
      <x:c r="L159" s="9"/>
      <x:c r="M159" s="9" t="n">
        <x:v>1</x:v>
      </x:c>
      <x:c r="N159" s="10" t="n">
        <x:v>46212</x:v>
      </x:c>
      <x:c r="O159" s="7" t="str">
        <x:v>只确认救助者1人死亡，不据网传填入学生伤亡；全案最终伤亡总数未见披露。</x:v>
      </x:c>
      <x:c r="P159" s="7" t="str">
        <x:v>官方确认先对女学生行凶，随后刺伤原袭击无关的路过救助者并致其死亡；按扩大至无关救助者记录，最初学生是否随机目标仍未知。</x:v>
      </x:c>
      <x:c r="Q159" s="2" t="str">
        <x:v>罗湖区</x:v>
      </x:c>
      <x:c r="R159" s="2" t="str">
        <x:v>城市</x:v>
      </x:c>
      <x:c r="S159" s="2" t="str">
        <x:v>day</x:v>
      </x:c>
      <x:c r="T159" s="2"/>
      <x:c r="U159" s="2"/>
      <x:c r="V159" s="9"/>
      <x:c r="W159" s="9"/>
      <x:c r="X159" s="9"/>
      <x:c r="Y159" s="2"/>
      <x:c r="Z159" s="2" t="str">
        <x:v>女学生及上前制止的路过保洁员</x:v>
      </x:c>
      <x:c r="AA159" s="9"/>
      <x:c r="AB159" s="2"/>
      <x:c r="AC159" s="2"/>
      <x:c r="AD159" s="7"/>
      <x:c r="AE159" s="2" t="str"/>
      <x:c r="AF159" s="2" t="str">
        <x:v>未知</x:v>
      </x:c>
      <x:c r="AG159" s="2"/>
      <x:c r="AH159" s="2"/>
      <x:c r="AI159" s="2"/>
      <x:c r="AJ159" s="2" t="str">
        <x:v>保洁员徒手夺刀并追赶，受致命伤；警方后抓获嫌疑人。</x:v>
      </x:c>
      <x:c r="AK159" s="2" t="str">
        <x:v>嫌疑人被抓获。</x:v>
      </x:c>
      <x:c r="AL159" s="10"/>
      <x:c r="AM159" s="10"/>
      <x:c r="AN159" s="10" t="n">
        <x:v>46212</x:v>
      </x:c>
      <x:c r="AO159" s="2" t="str">
        <x:v>官方原文</x:v>
      </x:c>
      <x:c r="AP159" s="7" t="str">
        <x:v>LXS26A17；LXS26A18；LXS26A01</x:v>
      </x:c>
      <x:c r="AQ159" s="7" t="str">
        <x:v>{"date":["LXS26A18"],"location":["LXS26A18"],"casualties":["LXS26A18"],"classification":["LXS26A18"],"motive":[],"outcome":["LXS26A18"],"intervention":["LXS26A18"]}</x:v>
      </x:c>
      <x:c r="AR159" s="2"/>
      <x:c r="AS159" s="9"/>
      <x:c r="AT159" s="9"/>
      <x:c r="AU159" s="9"/>
      <x:c r="AV159" s="2"/>
      <x:c r="AW159" s="2" t="str">
        <x:v>2026-X补查</x:v>
      </x:c>
      <x:c r="AX159" s="9" t="n">
        <x:v>2026</x:v>
      </x:c>
      <x:c r="AY159" s="10"/>
      <x:c r="AZ159" s="7" t="str">
        <x:v>官方明确3月26日6时许。</x:v>
      </x:c>
      <x:c r="BA159" s="7"/>
      <x:c r="BB159" s="7" t="str">
        <x:v>https://x.com/whyyoutouzhele/status/2037239673907535998；https://x.com/whyyoutouzhele/status/2039625155404509246</x:v>
      </x:c>
      <x:c r="BC159" s="7" t="str">
        <x:v>官方未披露施害者性别年龄；社媒女性或男子版本不采信。</x:v>
      </x:c>
      <x:c r="BD159" s="2" t="str">
        <x:v>是</x:v>
      </x:c>
      <x:c r="BE159" s="2" t="str">
        <x:v>是</x:v>
      </x:c>
      <x:c r="BF159" s="2" t="str">
        <x:v>官方材料直接记载持刀者转而刺伤无关救助者并致其死亡，支持扩大分类；初始被害人与作案者关系未知。</x:v>
      </x:c>
      <x:c r="BG159" s="2" t="str"/>
      <x:c r="BH159" s="9" t="n">
        <x:v>2026</x:v>
      </x:c>
      <x:c r="BI159" s="9" t="n">
        <x:v>1</x:v>
      </x:c>
      <x:c r="BJ159" s="9" t="n">
        <x:v>0</x:v>
      </x:c>
      <x:c r="BK159" s="9" t="n">
        <x:v>1</x:v>
      </x:c>
      <x:c r="BL159" s="9" t="n">
        <x:v>0</x:v>
      </x:c>
      <x:c r="BM159" s="9" t="n">
        <x:v>1</x:v>
      </x:c>
      <x:c r="BN159" s="9" t="n">
        <x:v>1</x:v>
      </x:c>
      <x:c r="BO159" s="9" t="n">
        <x:v>1</x:v>
      </x:c>
    </x:row>
    <x:row r="160" ht="38" customHeight="1">
      <x:c r="A160" s="2" t="str">
        <x:v>LX26A23</x:v>
      </x:c>
      <x:c r="B160" s="2" t="str">
        <x:v>2026-03-26</x:v>
      </x:c>
      <x:c r="C160" s="7" t="str">
        <x:v>锡林浩特8路公交乘客攻击司机事件</x:v>
      </x:c>
      <x:c r="D160" s="2" t="str">
        <x:v>内蒙古</x:v>
      </x:c>
      <x:c r="E160" s="2" t="str">
        <x:v>锡林郭勒盟</x:v>
      </x:c>
      <x:c r="F160" s="2" t="str">
        <x:v>pending</x:v>
      </x:c>
      <x:c r="G160" s="2" t="str">
        <x:v>公共交通</x:v>
      </x:c>
      <x:c r="H160" s="2" t="str">
        <x:v>其他</x:v>
      </x:c>
      <x:c r="I160" s="9"/>
      <x:c r="J160" s="9"/>
      <x:c r="K160" s="2"/>
      <x:c r="L160" s="9"/>
      <x:c r="M160" s="9"/>
      <x:c r="N160" s="10"/>
      <x:c r="O160" s="7" t="str">
        <x:v>官方事迹未披露伤亡；没有伤亡通报不等于零伤亡。</x:v>
      </x:c>
      <x:c r="P160" s="7" t="str">
        <x:v>官方表彰事迹确认乘客冲向驾驶区攻击司机，但将行为归因于疾病发作，未披露医学诊断、行为意识或袭击动机。发生已核实，是否符合有意识主动袭击及无关公众目标口径仍待核。</x:v>
      </x:c>
      <x:c r="Q160" s="2" t="str">
        <x:v>锡林浩特市</x:v>
      </x:c>
      <x:c r="R160" s="2"/>
      <x:c r="S160" s="2" t="str">
        <x:v>day</x:v>
      </x:c>
      <x:c r="T160" s="2"/>
      <x:c r="U160" s="2"/>
      <x:c r="V160" s="9"/>
      <x:c r="W160" s="9"/>
      <x:c r="X160" s="9"/>
      <x:c r="Y160" s="2"/>
      <x:c r="Z160" s="2" t="str">
        <x:v>乘客与公交司机，既往关系未披露。</x:v>
      </x:c>
      <x:c r="AA160" s="9"/>
      <x:c r="AB160" s="2"/>
      <x:c r="AC160" s="2"/>
      <x:c r="AD160" s="7"/>
      <x:c r="AE160" s="2" t="str"/>
      <x:c r="AF160" s="2" t="str">
        <x:v>未知</x:v>
      </x:c>
      <x:c r="AG160" s="2" t="str">
        <x:v>官方事迹称癫痫发作，未取得医学资料；癫痫不是精神疾病，不据此推定诊断或刑责能力。</x:v>
      </x:c>
      <x:c r="AH160" s="2"/>
      <x:c r="AI160" s="2"/>
      <x:c r="AJ160" s="2" t="str">
        <x:v>其他乘客控制涉事乘客，车辆靠边后等待民警到场。</x:v>
      </x:c>
      <x:c r="AK160" s="2"/>
      <x:c r="AL160" s="10"/>
      <x:c r="AM160" s="10"/>
      <x:c r="AN160" s="10" t="n">
        <x:v>46212</x:v>
      </x:c>
      <x:c r="AO160" s="2" t="str">
        <x:v>官方原文</x:v>
      </x:c>
      <x:c r="AP160" s="7" t="str">
        <x:v>LXS26A18</x:v>
      </x:c>
      <x:c r="AQ160" s="7" t="str">
        <x:v>{"date":["LXS26A18"],"location":["LXS26A18"],"casualties":[],"classification":["LXS26A18"],"motive":[],"outcome":[],"intervention":["LXS26A18"],"mental_health":["LXS26A18"]}</x:v>
      </x:c>
      <x:c r="AR160" s="2"/>
      <x:c r="AS160" s="9"/>
      <x:c r="AT160" s="9"/>
      <x:c r="AU160" s="9"/>
      <x:c r="AV160" s="2"/>
      <x:c r="AW160" s="2" t="str">
        <x:v>2026-X补查</x:v>
      </x:c>
      <x:c r="AX160" s="9" t="n">
        <x:v>2026</x:v>
      </x:c>
      <x:c r="AY160" s="10"/>
      <x:c r="AZ160" s="7"/>
      <x:c r="BA160" s="7" t="str">
        <x:v>缺医学或调查资料确认行为意识、发作情况、对象关系及伤亡。</x:v>
      </x:c>
      <x:c r="BB160" s="7" t="str"/>
      <x:c r="BC160" s="7" t="str">
        <x:v>仅保留表彰材料对该个案的归因，不采纳其疾病人群力量或攻击性的泛化描述；约16时。</x:v>
      </x:c>
      <x:c r="BD160" s="2" t="str">
        <x:v>是</x:v>
      </x:c>
      <x:c r="BE160" s="2" t="str">
        <x:v>否</x:v>
      </x:c>
      <x:c r="BF160" s="2" t="str">
        <x:v>发生由官方确认；主动性与对象关系证据仍缺。</x:v>
      </x:c>
      <x:c r="BG160" s="2" t="str"/>
      <x:c r="BH160" s="9" t="n">
        <x:v>2026</x:v>
      </x:c>
      <x:c r="BI160" s="9" t="n">
        <x:v>0</x:v>
      </x:c>
      <x:c r="BJ160" s="9" t="n">
        <x:v>0</x:v>
      </x:c>
      <x:c r="BK160" s="9" t="n">
        <x:v>0</x:v>
      </x:c>
      <x:c r="BL160" s="9" t="n">
        <x:v>0</x:v>
      </x:c>
      <x:c r="BM160" s="9" t="n">
        <x:v>1</x:v>
      </x:c>
      <x:c r="BN160" s="9" t="n">
        <x:v>1</x:v>
      </x:c>
      <x:c r="BO160" s="9" t="n">
        <x:v>1</x:v>
      </x:c>
    </x:row>
    <x:row r="161" ht="38" customHeight="1">
      <x:c r="A161" s="2" t="str">
        <x:v>C034</x:v>
      </x:c>
      <x:c r="B161" s="2" t="str">
        <x:v>2026-03-29</x:v>
      </x:c>
      <x:c r="C161" s="7" t="str">
        <x:v>网传北京房山大韩继集市铲车冲撞事件</x:v>
      </x:c>
      <x:c r="D161" s="2" t="str">
        <x:v>北京</x:v>
      </x:c>
      <x:c r="E161" s="2" t="str">
        <x:v>北京</x:v>
      </x:c>
      <x:c r="F161" s="2" t="str">
        <x:v>pending</x:v>
      </x:c>
      <x:c r="G161" s="2" t="str">
        <x:v>商业场所</x:v>
      </x:c>
      <x:c r="H161" s="2" t="str">
        <x:v>驾车</x:v>
      </x:c>
      <x:c r="I161" s="9"/>
      <x:c r="J161" s="9"/>
      <x:c r="K161" s="2"/>
      <x:c r="L161" s="9"/>
      <x:c r="M161" s="9"/>
      <x:c r="N161" s="10"/>
      <x:c r="O161" s="7" t="str">
        <x:v>网络死亡人数多版本冲突，全部不计入精确字段。</x:v>
      </x:c>
      <x:c r="P161" s="7" t="str">
        <x:v>报道主要来自网络影像，无官方确认或独立可靠实地核实；发生细节、意图及伤亡均待核。</x:v>
      </x:c>
      <x:c r="Q161" s="2" t="str">
        <x:v>房山区</x:v>
      </x:c>
      <x:c r="R161" s="2" t="str">
        <x:v>乡镇</x:v>
      </x:c>
      <x:c r="S161" s="2" t="str">
        <x:v>day</x:v>
      </x:c>
      <x:c r="T161" s="2"/>
      <x:c r="U161" s="2"/>
      <x:c r="V161" s="9"/>
      <x:c r="W161" s="9"/>
      <x:c r="X161" s="9"/>
      <x:c r="Y161" s="2"/>
      <x:c r="Z161" s="2"/>
      <x:c r="AA161" s="9"/>
      <x:c r="AB161" s="2"/>
      <x:c r="AC161" s="2"/>
      <x:c r="AD161" s="7"/>
      <x:c r="AE161" s="2" t="str"/>
      <x:c r="AF161" s="2" t="str">
        <x:v>未知</x:v>
      </x:c>
      <x:c r="AG161" s="2"/>
      <x:c r="AH161" s="2"/>
      <x:c r="AI161" s="2"/>
      <x:c r="AJ161" s="2"/>
      <x:c r="AK161" s="2"/>
      <x:c r="AL161" s="10"/>
      <x:c r="AM161" s="10"/>
      <x:c r="AN161" s="10" t="n">
        <x:v>46112</x:v>
      </x:c>
      <x:c r="AO161" s="2" t="str">
        <x:v>网传待核</x:v>
      </x:c>
      <x:c r="AP161" s="7" t="str">
        <x:v>CS045；LXS26A01；LXS26A20</x:v>
      </x:c>
      <x:c r="AQ161" s="7" t="str">
        <x:v>{"date":["CS045"],"location":["CS045"],"casualties":["CS045"],"classification":["CS045","LXS26A20"],"motive":[],"outcome":[]}</x:v>
      </x:c>
      <x:c r="AR161" s="2"/>
      <x:c r="AS161" s="9"/>
      <x:c r="AT161" s="9"/>
      <x:c r="AU161" s="9"/>
      <x:c r="AV161" s="2"/>
      <x:c r="AW161" s="2" t="str">
        <x:v>2026-X补查</x:v>
      </x:c>
      <x:c r="AX161" s="9"/>
      <x:c r="AY161" s="10"/>
      <x:c r="AZ161" s="7"/>
      <x:c r="BA161" s="7" t="str">
        <x:v>报道主要来自网络影像，无官方确认或独立可靠实地核实；发生细节、意图及伤亡均待核。</x:v>
      </x:c>
      <x:c r="BB161" s="7" t="str">
        <x:v>https://x.com/whyyoutouzhele/status/2039625155404509246；https://x.com/whyyoutouzhele/status/2038169287744229772</x:v>
      </x:c>
      <x:c r="BC161" s="7" t="str">
        <x:v>已补3月29日李老师原帖及镜像；“举报未果”与具体死伤均为未核聊天或现场口述。</x:v>
      </x:c>
      <x:c r="BD161" s="2" t="str">
        <x:v>否</x:v>
      </x:c>
      <x:c r="BE161" s="2" t="str">
        <x:v>否</x:v>
      </x:c>
      <x:c r="BF161" s="2" t="str">
        <x:v>媒体调查／研究推断</x:v>
      </x:c>
      <x:c r="BG161" s="2" t="str"/>
      <x:c r="BH161" s="9" t="n">
        <x:v>2026</x:v>
      </x:c>
      <x:c r="BI161" s="9" t="n">
        <x:v>0</x:v>
      </x:c>
      <x:c r="BJ161" s="9" t="n">
        <x:v>0</x:v>
      </x:c>
      <x:c r="BK161" s="9" t="n">
        <x:v>0</x:v>
      </x:c>
      <x:c r="BL161" s="9" t="n">
        <x:v>0</x:v>
      </x:c>
      <x:c r="BM161" s="9" t="n">
        <x:v>1</x:v>
      </x:c>
      <x:c r="BN161" s="9" t="n">
        <x:v>1</x:v>
      </x:c>
      <x:c r="BO161" s="9" t="n">
        <x:v>1</x:v>
      </x:c>
    </x:row>
    <x:row r="162" ht="38" customHeight="1">
      <x:c r="A162" s="2" t="str">
        <x:v>C027</x:v>
      </x:c>
      <x:c r="B162" s="2" t="str">
        <x:v>2026-03-31</x:v>
      </x:c>
      <x:c r="C162" s="7" t="str">
        <x:v>武汉青松路持刀伤人案</x:v>
      </x:c>
      <x:c r="D162" s="2" t="str">
        <x:v>湖北</x:v>
      </x:c>
      <x:c r="E162" s="2" t="str">
        <x:v>武汉</x:v>
      </x:c>
      <x:c r="F162" s="2" t="str">
        <x:v>pending</x:v>
      </x:c>
      <x:c r="G162" s="2" t="str">
        <x:v>街道交通</x:v>
      </x:c>
      <x:c r="H162" s="2" t="str">
        <x:v>持械</x:v>
      </x:c>
      <x:c r="I162" s="9" t="n">
        <x:v>0</x:v>
      </x:c>
      <x:c r="J162" s="9" t="n">
        <x:v>4</x:v>
      </x:c>
      <x:c r="K162" s="2"/>
      <x:c r="L162" s="9"/>
      <x:c r="M162" s="9"/>
      <x:c r="N162" s="10" t="n">
        <x:v>46112</x:v>
      </x:c>
      <x:c r="O162" s="7"/>
      <x:c r="P162" s="7" t="str">
        <x:v>警方确认4伤；新增网传连续影像的媒体文字描述显示先后攻击摊贩、路中男子、路过女子，支持公众目标，但未独立核验原视频连续性及拍摄时地。现场记者未目击起因，暂保留待核并明确证据缺口。</x:v>
      </x:c>
      <x:c r="Q162" s="2" t="str">
        <x:v>江岸区</x:v>
      </x:c>
      <x:c r="R162" s="2" t="str">
        <x:v>城市</x:v>
      </x:c>
      <x:c r="S162" s="2" t="str">
        <x:v>day</x:v>
      </x:c>
      <x:c r="T162" s="2"/>
      <x:c r="U162" s="2"/>
      <x:c r="V162" s="9"/>
      <x:c r="W162" s="9"/>
      <x:c r="X162" s="9"/>
      <x:c r="Y162" s="2"/>
      <x:c r="Z162" s="2"/>
      <x:c r="AA162" s="9" t="n">
        <x:v>44</x:v>
      </x:c>
      <x:c r="AB162" s="2" t="str">
        <x:v>男</x:v>
      </x:c>
      <x:c r="AC162" s="2"/>
      <x:c r="AD162" s="7"/>
      <x:c r="AE162" s="2" t="str"/>
      <x:c r="AF162" s="2" t="str">
        <x:v>未知</x:v>
      </x:c>
      <x:c r="AG162" s="2"/>
      <x:c r="AH162" s="2"/>
      <x:c r="AI162" s="2"/>
      <x:c r="AJ162" s="2" t="str">
        <x:v>民警与群众合力制服；封面新闻现场走访称其水果刀脱手后曾去另一家店拿裁纸刀。</x:v>
      </x:c>
      <x:c r="AK162" s="2" t="str">
        <x:v>吴某某当场被控制。</x:v>
      </x:c>
      <x:c r="AL162" s="10"/>
      <x:c r="AM162" s="10"/>
      <x:c r="AN162" s="10" t="n">
        <x:v>46112</x:v>
      </x:c>
      <x:c r="AO162" s="2" t="str">
        <x:v>官方转载</x:v>
      </x:c>
      <x:c r="AP162" s="7" t="str">
        <x:v>CS037；RCS004；LXS26A01；LXS26A21；LXS26A30</x:v>
      </x:c>
      <x:c r="AQ162" s="7" t="str">
        <x:v>{"date":["CS037"],"location":["CS037"],"casualties":["CS037"],"classification":["CS037","LXS26A21","LXS26A30"],"motive":[],"outcome":["CS037"],"intervention":["CS037","RCS004"]}</x:v>
      </x:c>
      <x:c r="AR162" s="2"/>
      <x:c r="AS162" s="9"/>
      <x:c r="AT162" s="9"/>
      <x:c r="AU162" s="9"/>
      <x:c r="AV162" s="2"/>
      <x:c r="AW162" s="2" t="str">
        <x:v>2026-X补查</x:v>
      </x:c>
      <x:c r="AX162" s="9"/>
      <x:c r="AY162" s="10"/>
      <x:c r="AZ162" s="7"/>
      <x:c r="BA162" s="7" t="str">
        <x:v>警方确认4伤；新增网传连续影像的媒体文字描述显示先后攻击摊贩、路中男子、路过女子，支持公众目标，但未独立核验原视频连续性及拍摄时地。现场记者未目击起因，暂保留待核并明确证据缺口。</x:v>
      </x:c>
      <x:c r="BB162" s="7" t="str">
        <x:v>https://x.com/whyyoutouzhele/status/2039625155404509246；https://x.com/whyyoutouzhele/status/2039111132950962182</x:v>
      </x:c>
      <x:c r="BC162" s="7" t="str">
        <x:v>李老师帖子把44岁误写41岁，以警方为准；新唐人与社媒影像同源，不增加独立采集数量。</x:v>
      </x:c>
      <x:c r="BD162" s="2" t="str">
        <x:v>是</x:v>
      </x:c>
      <x:c r="BE162" s="2" t="str">
        <x:v>否</x:v>
      </x:c>
      <x:c r="BF162" s="2" t="str">
        <x:v>媒体调查／研究推断</x:v>
      </x:c>
      <x:c r="BG162" s="2" t="str"/>
      <x:c r="BH162" s="9" t="n">
        <x:v>2026</x:v>
      </x:c>
      <x:c r="BI162" s="9" t="n">
        <x:v>0</x:v>
      </x:c>
      <x:c r="BJ162" s="9" t="n">
        <x:v>4</x:v>
      </x:c>
      <x:c r="BK162" s="9" t="n">
        <x:v>0</x:v>
      </x:c>
      <x:c r="BL162" s="9" t="n">
        <x:v>0</x:v>
      </x:c>
      <x:c r="BM162" s="9" t="n">
        <x:v>1</x:v>
      </x:c>
      <x:c r="BN162" s="9" t="n">
        <x:v>0</x:v>
      </x:c>
      <x:c r="BO162" s="9" t="n">
        <x:v>0</x:v>
      </x:c>
    </x:row>
    <x:row r="163" ht="38" customHeight="1">
      <x:c r="A163" s="2" t="str">
        <x:v>LX26A11</x:v>
      </x:c>
      <x:c r="B163" s="2" t="str">
        <x:v>2026-03-31</x:v>
      </x:c>
      <x:c r="C163" s="7" t="str">
        <x:v>网传杭州世嘉铭座入室持刀伤人事件</x:v>
      </x:c>
      <x:c r="D163" s="2" t="str">
        <x:v>浙江</x:v>
      </x:c>
      <x:c r="E163" s="2" t="str">
        <x:v>杭州</x:v>
      </x:c>
      <x:c r="F163" s="2" t="str">
        <x:v>pending</x:v>
      </x:c>
      <x:c r="G163" s="2" t="str">
        <x:v>社区住宅</x:v>
      </x:c>
      <x:c r="H163" s="2" t="str">
        <x:v>持械</x:v>
      </x:c>
      <x:c r="I163" s="9"/>
      <x:c r="J163" s="9"/>
      <x:c r="K163" s="2"/>
      <x:c r="L163" s="9"/>
      <x:c r="M163" s="9"/>
      <x:c r="N163" s="10"/>
      <x:c r="O163" s="7" t="str">
        <x:v>女伤者及施害者跳楼的说法未核；年龄和精神疾病传闻不填确认字段。</x:v>
      </x:c>
      <x:c r="P163" s="7" t="str">
        <x:v>单源投稿描绘敲陌生住户门后行凶，但尚未取得发生细节、关系及现场来源的独立核验。</x:v>
      </x:c>
      <x:c r="Q163" s="2" t="str">
        <x:v>拱墅区</x:v>
      </x:c>
      <x:c r="R163" s="2"/>
      <x:c r="S163" s="2" t="str">
        <x:v>day</x:v>
      </x:c>
      <x:c r="T163" s="2"/>
      <x:c r="U163" s="2"/>
      <x:c r="V163" s="9"/>
      <x:c r="W163" s="9"/>
      <x:c r="X163" s="9"/>
      <x:c r="Y163" s="2"/>
      <x:c r="Z163" s="2"/>
      <x:c r="AA163" s="9"/>
      <x:c r="AB163" s="2"/>
      <x:c r="AC163" s="2"/>
      <x:c r="AD163" s="7"/>
      <x:c r="AE163" s="2" t="str"/>
      <x:c r="AF163" s="2" t="str">
        <x:v>未知</x:v>
      </x:c>
      <x:c r="AG163" s="2"/>
      <x:c r="AH163" s="2"/>
      <x:c r="AI163" s="2"/>
      <x:c r="AJ163" s="2"/>
      <x:c r="AK163" s="2"/>
      <x:c r="AL163" s="10"/>
      <x:c r="AM163" s="10"/>
      <x:c r="AN163" s="10" t="n">
        <x:v>46112</x:v>
      </x:c>
      <x:c r="AO163" s="2" t="str">
        <x:v>网传待核</x:v>
      </x:c>
      <x:c r="AP163" s="7" t="str">
        <x:v>LXS26A19；LXS26A01</x:v>
      </x:c>
      <x:c r="AQ163" s="7" t="str">
        <x:v>{"date":["LXS26A19"],"location":["LXS26A19"],"casualties":[],"classification":["LXS26A19"],"motive":[],"outcome":[]}</x:v>
      </x:c>
      <x:c r="AR163" s="2"/>
      <x:c r="AS163" s="9"/>
      <x:c r="AT163" s="9"/>
      <x:c r="AU163" s="9"/>
      <x:c r="AV163" s="2"/>
      <x:c r="AW163" s="2" t="str">
        <x:v>2026-X补查</x:v>
      </x:c>
      <x:c r="AX163" s="9" t="n">
        <x:v>2026</x:v>
      </x:c>
      <x:c r="AY163" s="10"/>
      <x:c r="AZ163" s="7"/>
      <x:c r="BA163" s="7" t="str">
        <x:v>单源投稿描绘敲陌生住户门后行凶，但尚未取得发生细节、关系及现场来源的独立核验。</x:v>
      </x:c>
      <x:c r="BB163" s="7" t="str">
        <x:v>https://x.com/whyyoutouzhele/status/2038959494865313931；https://x.com/whyyoutouzhele/status/2039625155404509246</x:v>
      </x:c>
      <x:c r="BC163" s="7"/>
      <x:c r="BD163" s="2" t="str">
        <x:v>否</x:v>
      </x:c>
      <x:c r="BE163" s="2" t="str">
        <x:v>否</x:v>
      </x:c>
      <x:c r="BF163" s="2" t="str">
        <x:v>网传线索，未独立核实</x:v>
      </x:c>
      <x:c r="BG163" s="2" t="str"/>
      <x:c r="BH163" s="9" t="n">
        <x:v>2026</x:v>
      </x:c>
      <x:c r="BI163" s="9" t="n">
        <x:v>0</x:v>
      </x:c>
      <x:c r="BJ163" s="9" t="n">
        <x:v>0</x:v>
      </x:c>
      <x:c r="BK163" s="9" t="n">
        <x:v>0</x:v>
      </x:c>
      <x:c r="BL163" s="9" t="n">
        <x:v>0</x:v>
      </x:c>
      <x:c r="BM163" s="9" t="n">
        <x:v>1</x:v>
      </x:c>
      <x:c r="BN163" s="9" t="n">
        <x:v>1</x:v>
      </x:c>
      <x:c r="BO163" s="9" t="n">
        <x:v>1</x:v>
      </x:c>
    </x:row>
    <x:row r="164" ht="38" customHeight="1">
      <x:c r="A164" s="2" t="str">
        <x:v>LX26B05</x:v>
      </x:c>
      <x:c r="B164" s="2" t="str">
        <x:v>2026-04</x:v>
      </x:c>
      <x:c r="C164" s="7" t="str">
        <x:v>网传惠州博罗酒店门前持刀伤人线索</x:v>
      </x:c>
      <x:c r="D164" s="2" t="str">
        <x:v>广东</x:v>
      </x:c>
      <x:c r="E164" s="2" t="str">
        <x:v>惠州</x:v>
      </x:c>
      <x:c r="F164" s="2" t="str">
        <x:v>pending</x:v>
      </x:c>
      <x:c r="G164" s="2" t="str">
        <x:v>商业场所</x:v>
      </x:c>
      <x:c r="H164" s="2" t="str">
        <x:v>持械</x:v>
      </x:c>
      <x:c r="I164" s="9"/>
      <x:c r="J164" s="9"/>
      <x:c r="K164" s="2"/>
      <x:c r="L164" s="9"/>
      <x:c r="M164" s="9"/>
      <x:c r="N164" s="10"/>
      <x:c r="O164" s="7"/>
      <x:c r="P164" s="7" t="str">
        <x:v>同一受访者在4月22日谈及前几天酒店门前另有持刀事件；缺独立发生证据、确切日期、受害关系及作案过程。</x:v>
      </x:c>
      <x:c r="Q164" s="2" t="str">
        <x:v>博罗县</x:v>
      </x:c>
      <x:c r="R164" s="2"/>
      <x:c r="S164" s="2" t="str">
        <x:v>month</x:v>
      </x:c>
      <x:c r="T164" s="2"/>
      <x:c r="U164" s="2"/>
      <x:c r="V164" s="9"/>
      <x:c r="W164" s="9"/>
      <x:c r="X164" s="9"/>
      <x:c r="Y164" s="2"/>
      <x:c r="Z164" s="2"/>
      <x:c r="AA164" s="9"/>
      <x:c r="AB164" s="2"/>
      <x:c r="AC164" s="2"/>
      <x:c r="AD164" s="7"/>
      <x:c r="AE164" s="2" t="str"/>
      <x:c r="AF164" s="2" t="str">
        <x:v>未知</x:v>
      </x:c>
      <x:c r="AG164" s="2"/>
      <x:c r="AH164" s="2"/>
      <x:c r="AI164" s="2"/>
      <x:c r="AJ164" s="2"/>
      <x:c r="AK164" s="2"/>
      <x:c r="AL164" s="10"/>
      <x:c r="AM164" s="10"/>
      <x:c r="AN164" s="10" t="n">
        <x:v>46135</x:v>
      </x:c>
      <x:c r="AO164" s="2" t="str">
        <x:v>单一媒体</x:v>
      </x:c>
      <x:c r="AP164" s="7" t="str">
        <x:v>LXS26B05</x:v>
      </x:c>
      <x:c r="AQ164" s="7" t="str">
        <x:v>{"date":["LXS26B05"],"location":["LXS26B05"],"casualties":[],"classification":["LXS26B05"],"motive":[],"outcome":[]}</x:v>
      </x:c>
      <x:c r="AR164" s="2"/>
      <x:c r="AS164" s="9"/>
      <x:c r="AT164" s="9"/>
      <x:c r="AU164" s="9"/>
      <x:c r="AV164" s="2"/>
      <x:c r="AW164" s="2" t="str">
        <x:v>2026-X补查</x:v>
      </x:c>
      <x:c r="AX164" s="9" t="n">
        <x:v>2026</x:v>
      </x:c>
      <x:c r="AY164" s="10"/>
      <x:c r="AZ164" s="7"/>
      <x:c r="BA164" s="7" t="str">
        <x:v>同一受访者在4月22日谈及前几天酒店门前另有持刀事件；缺独立发生证据、确切日期、受害关系及作案过程。</x:v>
      </x:c>
      <x:c r="BB164" s="7" t="str"/>
      <x:c r="BC164" s="7" t="str">
        <x:v>来源称帝都酒店门前；只保留月份。关于出狱身份和人数的传闻不写入事实字段。</x:v>
      </x:c>
      <x:c r="BD164" s="2" t="str">
        <x:v>否</x:v>
      </x:c>
      <x:c r="BE164" s="2" t="str">
        <x:v>否</x:v>
      </x:c>
      <x:c r="BF164" s="2" t="str">
        <x:v>媒体调查／研究推断</x:v>
      </x:c>
      <x:c r="BG164" s="2" t="str"/>
      <x:c r="BH164" s="9" t="n">
        <x:v>2026</x:v>
      </x:c>
      <x:c r="BI164" s="9" t="n">
        <x:v>0</x:v>
      </x:c>
      <x:c r="BJ164" s="9" t="n">
        <x:v>0</x:v>
      </x:c>
      <x:c r="BK164" s="9" t="n">
        <x:v>0</x:v>
      </x:c>
      <x:c r="BL164" s="9" t="n">
        <x:v>0</x:v>
      </x:c>
      <x:c r="BM164" s="9" t="n">
        <x:v>0</x:v>
      </x:c>
      <x:c r="BN164" s="9" t="n">
        <x:v>1</x:v>
      </x:c>
      <x:c r="BO164" s="9" t="n">
        <x:v>1</x:v>
      </x:c>
    </x:row>
    <x:row r="165" ht="38" customHeight="1">
      <x:c r="A165" s="2" t="str">
        <x:v>LX26B02</x:v>
      </x:c>
      <x:c r="B165" s="2" t="str">
        <x:v>2026-04-02</x:v>
      </x:c>
      <x:c r="C165" s="7" t="str">
        <x:v>湖州菱湖镇公司持刀纠纷扩大至救援员工案</x:v>
      </x:c>
      <x:c r="D165" s="2" t="str">
        <x:v>浙江</x:v>
      </x:c>
      <x:c r="E165" s="2" t="str">
        <x:v>湖州</x:v>
      </x:c>
      <x:c r="F165" s="2" t="str">
        <x:v>expanded</x:v>
      </x:c>
      <x:c r="G165" s="2" t="str">
        <x:v>其他</x:v>
      </x:c>
      <x:c r="H165" s="2" t="str">
        <x:v>持械</x:v>
      </x:c>
      <x:c r="I165" s="9"/>
      <x:c r="J165" s="9" t="n">
        <x:v>2</x:v>
      </x:c>
      <x:c r="K165" s="2"/>
      <x:c r="L165" s="9"/>
      <x:c r="M165" s="9"/>
      <x:c r="N165" s="10" t="n">
        <x:v>46212</x:v>
      </x:c>
      <x:c r="O165" s="7" t="str">
        <x:v>官方材料记载老板被刺伤、施救员工重伤二级；未提供全案死亡人数，不据此填零。</x:v>
      </x:c>
      <x:c r="P165" s="7" t="str">
        <x:v>官方案例记述员工因既往纠纷刺伤老板，另一员工制止时遭连续刺击；后者属于原纠纷之外的救援人员，符合定向纠纷扩及旁人。</x:v>
      </x:c>
      <x:c r="Q165" s="2" t="str">
        <x:v>南浔区</x:v>
      </x:c>
      <x:c r="R165" s="2"/>
      <x:c r="S165" s="2" t="str">
        <x:v>day</x:v>
      </x:c>
      <x:c r="T165" s="2"/>
      <x:c r="U165" s="2"/>
      <x:c r="V165" s="9" t="n">
        <x:v>1</x:v>
      </x:c>
      <x:c r="W165" s="9"/>
      <x:c r="X165" s="9"/>
      <x:c r="Y165" s="2"/>
      <x:c r="Z165" s="2" t="str">
        <x:v>老板及参与救援的另一名员工</x:v>
      </x:c>
      <x:c r="AA165" s="9"/>
      <x:c r="AB165" s="2" t="str">
        <x:v>男</x:v>
      </x:c>
      <x:c r="AC165" s="2" t="str">
        <x:v>公司员工</x:v>
      </x:c>
      <x:c r="AD165" s="7" t="str">
        <x:v>官方案例记述袭击者与老板存在既往纠纷；具体心理动机未披露。</x:v>
      </x:c>
      <x:c r="AE165" s="2" t="str">
        <x:v>工作纠纷</x:v>
      </x:c>
      <x:c r="AF165" s="2" t="str">
        <x:v>官方事迹</x:v>
      </x:c>
      <x:c r="AG165" s="2"/>
      <x:c r="AH165" s="2"/>
      <x:c r="AI165" s="2"/>
      <x:c r="AJ165" s="2" t="str">
        <x:v>员工上前阻止并协助控制。</x:v>
      </x:c>
      <x:c r="AK165" s="2" t="str">
        <x:v>施救员工经抢救存活。</x:v>
      </x:c>
      <x:c r="AL165" s="10"/>
      <x:c r="AM165" s="10"/>
      <x:c r="AN165" s="10" t="n">
        <x:v>46212</x:v>
      </x:c>
      <x:c r="AO165" s="2" t="str">
        <x:v>官方原文</x:v>
      </x:c>
      <x:c r="AP165" s="7" t="str">
        <x:v>LXS26B01</x:v>
      </x:c>
      <x:c r="AQ165" s="7" t="str">
        <x:v>{"date":["LXS26B01"],"location":["LXS26B01"],"casualties":["LXS26B01"],"classification":["LXS26B01"],"motive":["LXS26B01"],"outcome":["LXS26B01"]}</x:v>
      </x:c>
      <x:c r="AR165" s="2"/>
      <x:c r="AS165" s="9"/>
      <x:c r="AT165" s="9"/>
      <x:c r="AU165" s="9"/>
      <x:c r="AV165" s="2" t="str">
        <x:v>中央政法委见义勇为事迹；仅确认既往工作纠纷背景，非司法认定心理动机。</x:v>
      </x:c>
      <x:c r="AW165" s="2" t="str">
        <x:v>2026-X补查</x:v>
      </x:c>
      <x:c r="AX165" s="9" t="n">
        <x:v>2026</x:v>
      </x:c>
      <x:c r="AY165" s="10"/>
      <x:c r="AZ165" s="7"/>
      <x:c r="BA165" s="7"/>
      <x:c r="BB165" s="7" t="str"/>
      <x:c r="BC165" s="7" t="str">
        <x:v>扩展类反映实际波及无原纠纷的救援者，不等同所有遇袭者最初均为随机选择。</x:v>
      </x:c>
      <x:c r="BD165" s="2" t="str">
        <x:v>是</x:v>
      </x:c>
      <x:c r="BE165" s="2" t="str">
        <x:v>是</x:v>
      </x:c>
      <x:c r="BF165" s="2" t="str">
        <x:v>官方公开案例描述</x:v>
      </x:c>
      <x:c r="BG165" s="2" t="str">
        <x:v>经济／工作／财产纠纷</x:v>
      </x:c>
      <x:c r="BH165" s="9" t="n">
        <x:v>2026</x:v>
      </x:c>
      <x:c r="BI165" s="9" t="n">
        <x:v>0</x:v>
      </x:c>
      <x:c r="BJ165" s="9" t="n">
        <x:v>2</x:v>
      </x:c>
      <x:c r="BK165" s="9" t="n">
        <x:v>1</x:v>
      </x:c>
      <x:c r="BL165" s="9" t="n">
        <x:v>1</x:v>
      </x:c>
      <x:c r="BM165" s="9" t="n">
        <x:v>1</x:v>
      </x:c>
      <x:c r="BN165" s="9" t="n">
        <x:v>1</x:v>
      </x:c>
      <x:c r="BO165" s="9" t="n">
        <x:v>0</x:v>
      </x:c>
    </x:row>
    <x:row r="166" ht="38" customHeight="1">
      <x:c r="A166" s="2" t="str">
        <x:v>C037</x:v>
      </x:c>
      <x:c r="B166" s="2" t="str">
        <x:v>2026-04-04</x:v>
      </x:c>
      <x:c r="C166" s="7" t="str">
        <x:v>网传沈阳太原街持刀伤人事件</x:v>
      </x:c>
      <x:c r="D166" s="2" t="str">
        <x:v>辽宁</x:v>
      </x:c>
      <x:c r="E166" s="2" t="str">
        <x:v>沈阳</x:v>
      </x:c>
      <x:c r="F166" s="2" t="str">
        <x:v>pending</x:v>
      </x:c>
      <x:c r="G166" s="2" t="str">
        <x:v>街道交通</x:v>
      </x:c>
      <x:c r="H166" s="2" t="str">
        <x:v>持械</x:v>
      </x:c>
      <x:c r="I166" s="9"/>
      <x:c r="J166" s="9"/>
      <x:c r="K166" s="2"/>
      <x:c r="L166" s="9"/>
      <x:c r="M166" s="9"/>
      <x:c r="N166" s="10"/>
      <x:c r="O166" s="7" t="str">
        <x:v>传2或4死、6人被砍及嫌犯坠亡均未核，不录入精确伤亡。</x:v>
      </x:c>
      <x:c r="P166" s="7" t="str">
        <x:v>新增早报、无忧等仍主要依赖同一批网络影像及转述，未找到官方或两个独立现场采集来源。影像不能建立袭击者与伤者关系，网传随机行凶与伤亡规模均待核。</x:v>
      </x:c>
      <x:c r="Q166" s="2" t="str">
        <x:v>和平区</x:v>
      </x:c>
      <x:c r="R166" s="2" t="str">
        <x:v>城市</x:v>
      </x:c>
      <x:c r="S166" s="2" t="str">
        <x:v>day</x:v>
      </x:c>
      <x:c r="T166" s="2"/>
      <x:c r="U166" s="2"/>
      <x:c r="V166" s="9"/>
      <x:c r="W166" s="9"/>
      <x:c r="X166" s="9"/>
      <x:c r="Y166" s="2"/>
      <x:c r="Z166" s="2"/>
      <x:c r="AA166" s="9"/>
      <x:c r="AB166" s="2"/>
      <x:c r="AC166" s="2"/>
      <x:c r="AD166" s="7"/>
      <x:c r="AE166" s="2" t="str"/>
      <x:c r="AF166" s="2" t="str">
        <x:v>未知</x:v>
      </x:c>
      <x:c r="AG166" s="2"/>
      <x:c r="AH166" s="2"/>
      <x:c r="AI166" s="2"/>
      <x:c r="AJ166" s="2"/>
      <x:c r="AK166" s="2"/>
      <x:c r="AL166" s="10"/>
      <x:c r="AM166" s="10"/>
      <x:c r="AN166" s="10" t="n">
        <x:v>46118</x:v>
      </x:c>
      <x:c r="AO166" s="2" t="str">
        <x:v>网传待核</x:v>
      </x:c>
      <x:c r="AP166" s="7" t="str">
        <x:v>CS048；LXS26B20；LXS26B21；LXS26B22</x:v>
      </x:c>
      <x:c r="AQ166" s="7" t="str">
        <x:v>{"date":["CS048","LXS26B22"],"location":["CS048","LXS26B20","LXS26B22"],"casualties":["CS048"],"classification":["CS048","LXS26B20","LXS26B22"],"motive":[],"outcome":[]}</x:v>
      </x:c>
      <x:c r="AR166" s="2"/>
      <x:c r="AS166" s="9"/>
      <x:c r="AT166" s="9"/>
      <x:c r="AU166" s="9"/>
      <x:c r="AV166" s="2"/>
      <x:c r="AW166" s="2" t="str">
        <x:v>2026-X补查</x:v>
      </x:c>
      <x:c r="AX166" s="9"/>
      <x:c r="AY166" s="10"/>
      <x:c r="AZ166" s="7"/>
      <x:c r="BA166" s="7" t="str">
        <x:v>新增早报、无忧等仍主要依赖同一批网络影像及转述，未找到官方或两个独立现场采集来源。影像不能建立袭击者与伤者关系，网传随机行凶与伤亡规模均待核。</x:v>
      </x:c>
      <x:c r="BB166" s="7" t="str">
        <x:v>https://x.com/whyyoutouzhele/status/2040449312027480228</x:v>
      </x:c>
      <x:c r="BC166" s="7" t="str">
        <x:v>李老师原status已保存，原站无正文；转载不另算独立来源。未用讨论中的死亡或嫌犯坠亡说法填充事实。</x:v>
      </x:c>
      <x:c r="BD166" s="2" t="str">
        <x:v>否</x:v>
      </x:c>
      <x:c r="BE166" s="2" t="str">
        <x:v>否</x:v>
      </x:c>
      <x:c r="BF166" s="2" t="str">
        <x:v>媒体调查／研究推断</x:v>
      </x:c>
      <x:c r="BG166" s="2" t="str"/>
      <x:c r="BH166" s="9" t="n">
        <x:v>2026</x:v>
      </x:c>
      <x:c r="BI166" s="9" t="n">
        <x:v>0</x:v>
      </x:c>
      <x:c r="BJ166" s="9" t="n">
        <x:v>0</x:v>
      </x:c>
      <x:c r="BK166" s="9" t="n">
        <x:v>0</x:v>
      </x:c>
      <x:c r="BL166" s="9" t="n">
        <x:v>0</x:v>
      </x:c>
      <x:c r="BM166" s="9" t="n">
        <x:v>1</x:v>
      </x:c>
      <x:c r="BN166" s="9" t="n">
        <x:v>1</x:v>
      </x:c>
      <x:c r="BO166" s="9" t="n">
        <x:v>1</x:v>
      </x:c>
    </x:row>
    <x:row r="167" ht="38" customHeight="1">
      <x:c r="A167" s="2" t="str">
        <x:v>LX26B14</x:v>
      </x:c>
      <x:c r="B167" s="2" t="str">
        <x:v>2026-04-07</x:v>
      </x:c>
      <x:c r="C167" s="7" t="str">
        <x:v>网传儋州未成年人驾车连续碰撞线索</x:v>
      </x:c>
      <x:c r="D167" s="2" t="str">
        <x:v>海南</x:v>
      </x:c>
      <x:c r="E167" s="2" t="str">
        <x:v>儋州</x:v>
      </x:c>
      <x:c r="F167" s="2" t="str">
        <x:v>pending</x:v>
      </x:c>
      <x:c r="G167" s="2" t="str">
        <x:v>街道交通</x:v>
      </x:c>
      <x:c r="H167" s="2" t="str">
        <x:v>驾车</x:v>
      </x:c>
      <x:c r="I167" s="9"/>
      <x:c r="J167" s="9"/>
      <x:c r="K167" s="2"/>
      <x:c r="L167" s="9"/>
      <x:c r="M167" s="9"/>
      <x:c r="N167" s="10"/>
      <x:c r="O167" s="7"/>
      <x:c r="P167" s="7" t="str">
        <x:v>Telegram及论坛为未经独立核实的转述，尚无原始公安材料或可靠媒体调查；驾车者年龄、连续碰撞过程和故意性均待核。</x:v>
      </x:c>
      <x:c r="Q167" s="2"/>
      <x:c r="R167" s="2"/>
      <x:c r="S167" s="2" t="str">
        <x:v>day</x:v>
      </x:c>
      <x:c r="T167" s="2"/>
      <x:c r="U167" s="2"/>
      <x:c r="V167" s="9"/>
      <x:c r="W167" s="9"/>
      <x:c r="X167" s="9"/>
      <x:c r="Y167" s="2"/>
      <x:c r="Z167" s="2"/>
      <x:c r="AA167" s="9"/>
      <x:c r="AB167" s="2"/>
      <x:c r="AC167" s="2"/>
      <x:c r="AD167" s="7"/>
      <x:c r="AE167" s="2" t="str"/>
      <x:c r="AF167" s="2" t="str">
        <x:v>未知</x:v>
      </x:c>
      <x:c r="AG167" s="2"/>
      <x:c r="AH167" s="2"/>
      <x:c r="AI167" s="2"/>
      <x:c r="AJ167" s="2"/>
      <x:c r="AK167" s="2"/>
      <x:c r="AL167" s="10"/>
      <x:c r="AM167" s="10"/>
      <x:c r="AN167" s="10" t="n">
        <x:v>46144</x:v>
      </x:c>
      <x:c r="AO167" s="2" t="str">
        <x:v>网传待核</x:v>
      </x:c>
      <x:c r="AP167" s="7" t="str">
        <x:v>LXS26B17；LXS26B18</x:v>
      </x:c>
      <x:c r="AQ167" s="7" t="str">
        <x:v>{"date":["LXS26B17","LXS26B18"],"location":["LXS26B17","LXS26B18"],"casualties":[],"classification":["LXS26B17","LXS26B18"],"motive":[],"outcome":[]}</x:v>
      </x:c>
      <x:c r="AR167" s="2"/>
      <x:c r="AS167" s="9"/>
      <x:c r="AT167" s="9"/>
      <x:c r="AU167" s="9"/>
      <x:c r="AV167" s="2"/>
      <x:c r="AW167" s="2" t="str">
        <x:v>2026-X补查</x:v>
      </x:c>
      <x:c r="AX167" s="9" t="n">
        <x:v>2026</x:v>
      </x:c>
      <x:c r="AY167" s="10"/>
      <x:c r="AZ167" s="7"/>
      <x:c r="BA167" s="7" t="str">
        <x:v>Telegram及论坛为未经独立核实的转述，尚无原始公安材料或可靠媒体调查；驾车者年龄、连续碰撞过程和故意性均待核。</x:v>
      </x:c>
      <x:c r="BB167" s="7" t="str"/>
      <x:c r="BC167" s="7" t="str">
        <x:v>未将传称未成年人、药物影响或伤亡写为事实；两个社群转述不等同两个独立来源。</x:v>
      </x:c>
      <x:c r="BD167" s="2" t="str">
        <x:v>否</x:v>
      </x:c>
      <x:c r="BE167" s="2" t="str">
        <x:v>否</x:v>
      </x:c>
      <x:c r="BF167" s="2" t="str">
        <x:v>媒体调查／研究推断</x:v>
      </x:c>
      <x:c r="BG167" s="2" t="str"/>
      <x:c r="BH167" s="9" t="n">
        <x:v>2026</x:v>
      </x:c>
      <x:c r="BI167" s="9" t="n">
        <x:v>0</x:v>
      </x:c>
      <x:c r="BJ167" s="9" t="n">
        <x:v>0</x:v>
      </x:c>
      <x:c r="BK167" s="9" t="n">
        <x:v>0</x:v>
      </x:c>
      <x:c r="BL167" s="9" t="n">
        <x:v>0</x:v>
      </x:c>
      <x:c r="BM167" s="9" t="n">
        <x:v>1</x:v>
      </x:c>
      <x:c r="BN167" s="9" t="n">
        <x:v>1</x:v>
      </x:c>
      <x:c r="BO167" s="9" t="n">
        <x:v>1</x:v>
      </x:c>
    </x:row>
    <x:row r="168" ht="38" customHeight="1">
      <x:c r="A168" s="2" t="str">
        <x:v>LX26B25</x:v>
      </x:c>
      <x:c r="B168" s="2" t="str">
        <x:v>2026-04-07</x:v>
      </x:c>
      <x:c r="C168" s="7" t="str">
        <x:v>山西供电公司职工追捕盗窃车辆受伤事件</x:v>
      </x:c>
      <x:c r="D168" s="2" t="str">
        <x:v>山西</x:v>
      </x:c>
      <x:c r="E168" s="2"/>
      <x:c r="F168" s="2" t="str">
        <x:v>pending</x:v>
      </x:c>
      <x:c r="G168" s="2" t="str">
        <x:v>街道交通</x:v>
      </x:c>
      <x:c r="H168" s="2" t="str">
        <x:v>驾车</x:v>
      </x:c>
      <x:c r="I168" s="9"/>
      <x:c r="J168" s="9"/>
      <x:c r="K168" s="2"/>
      <x:c r="L168" s="9" t="n">
        <x:v>1</x:v>
      </x:c>
      <x:c r="M168" s="9"/>
      <x:c r="N168" s="10" t="n">
        <x:v>46212</x:v>
      </x:c>
      <x:c r="O168" s="7" t="str">
        <x:v>官方事迹记述1名协助追捕的供电公司职工受伤，未公布全案总伤亡。</x:v>
      </x:c>
      <x:c r="P168" s="7" t="str">
        <x:v>官方确认盗窃嫌疑人逃车多次急刹变道、强行掉头，追击车随后碰撞；未明确嫌疑人是否主动以追捕者或其他人员为撞击目标，不能仅据追捕中受伤定为扩展袭击。</x:v>
      </x:c>
      <x:c r="Q168" s="2"/>
      <x:c r="R168" s="2"/>
      <x:c r="S168" s="2" t="str">
        <x:v>day</x:v>
      </x:c>
      <x:c r="T168" s="2"/>
      <x:c r="U168" s="2"/>
      <x:c r="V168" s="9"/>
      <x:c r="W168" s="9"/>
      <x:c r="X168" s="9"/>
      <x:c r="Y168" s="2"/>
      <x:c r="Z168" s="2" t="str">
        <x:v>原盗窃受害单位参与追捕的员工</x:v>
      </x:c>
      <x:c r="AA168" s="9"/>
      <x:c r="AB168" s="2"/>
      <x:c r="AC168" s="2"/>
      <x:c r="AD168" s="7"/>
      <x:c r="AE168" s="2" t="str"/>
      <x:c r="AF168" s="2" t="str">
        <x:v>未知</x:v>
      </x:c>
      <x:c r="AG168" s="2"/>
      <x:c r="AH168" s="2"/>
      <x:c r="AI168" s="2"/>
      <x:c r="AJ168" s="2"/>
      <x:c r="AK168" s="2" t="str">
        <x:v>公安抓获全部盗窃嫌疑人。</x:v>
      </x:c>
      <x:c r="AL168" s="10"/>
      <x:c r="AM168" s="10"/>
      <x:c r="AN168" s="10" t="n">
        <x:v>46212</x:v>
      </x:c>
      <x:c r="AO168" s="2" t="str">
        <x:v>官方原文</x:v>
      </x:c>
      <x:c r="AP168" s="7" t="str">
        <x:v>LXS26B01</x:v>
      </x:c>
      <x:c r="AQ168" s="7" t="str">
        <x:v>{"date":["LXS26B01"],"location":["LXS26B01"],"casualties":["LXS26B01"],"classification":["LXS26B01"],"motive":[],"outcome":["LXS26B01"]}</x:v>
      </x:c>
      <x:c r="AR168" s="2"/>
      <x:c r="AS168" s="9"/>
      <x:c r="AT168" s="9" t="n">
        <x:v>1</x:v>
      </x:c>
      <x:c r="AU168" s="9"/>
      <x:c r="AV168" s="2"/>
      <x:c r="AW168" s="2" t="str">
        <x:v>2026-X补查</x:v>
      </x:c>
      <x:c r="AX168" s="9" t="n">
        <x:v>2026</x:v>
      </x:c>
      <x:c r="AY168" s="10"/>
      <x:c r="AZ168" s="7"/>
      <x:c r="BA168" s="7" t="str">
        <x:v>官方确认盗窃嫌疑人逃车多次急刹变道、强行掉头，追击车随后碰撞；未明确嫌疑人是否主动以追捕者或其他人员为撞击目标，不能仅据追捕中受伤定为扩展袭击。</x:v>
      </x:c>
      <x:c r="BB168" s="7" t="str"/>
      <x:c r="BC168" s="7" t="str">
        <x:v>职工所在单位为曲沃供电公司，官方材料未给碰撞点，城市和区县不据单位所在地强填；若进一步证实主动撞击原犯罪之外的阻止者，需复核扩展类别。</x:v>
      </x:c>
      <x:c r="BD168" s="2" t="str">
        <x:v>是</x:v>
      </x:c>
      <x:c r="BE168" s="2" t="str">
        <x:v>否</x:v>
      </x:c>
      <x:c r="BF168" s="2" t="str">
        <x:v>媒体调查／研究推断</x:v>
      </x:c>
      <x:c r="BG168" s="2" t="str"/>
      <x:c r="BH168" s="9" t="n">
        <x:v>2026</x:v>
      </x:c>
      <x:c r="BI168" s="9" t="n">
        <x:v>0</x:v>
      </x:c>
      <x:c r="BJ168" s="9" t="n">
        <x:v>1</x:v>
      </x:c>
      <x:c r="BK168" s="9" t="n">
        <x:v>0</x:v>
      </x:c>
      <x:c r="BL168" s="9" t="n">
        <x:v>0</x:v>
      </x:c>
      <x:c r="BM168" s="9" t="n">
        <x:v>1</x:v>
      </x:c>
      <x:c r="BN168" s="9" t="n">
        <x:v>1</x:v>
      </x:c>
      <x:c r="BO168" s="9" t="n">
        <x:v>1</x:v>
      </x:c>
    </x:row>
    <x:row r="169" ht="38" customHeight="1">
      <x:c r="A169" s="2" t="str">
        <x:v>LX26B01</x:v>
      </x:c>
      <x:c r="B169" s="2" t="str">
        <x:v>2026-04-11</x:v>
      </x:c>
      <x:c r="C169" s="7" t="str">
        <x:v>嘉禾曾家村陌生男子连续袭击村民和过路女子案</x:v>
      </x:c>
      <x:c r="D169" s="2" t="str">
        <x:v>湖南</x:v>
      </x:c>
      <x:c r="E169" s="2" t="str">
        <x:v>郴州</x:v>
      </x:c>
      <x:c r="F169" s="2" t="str">
        <x:v>core</x:v>
      </x:c>
      <x:c r="G169" s="2" t="str">
        <x:v>街道交通</x:v>
      </x:c>
      <x:c r="H169" s="2" t="str">
        <x:v>其他</x:v>
      </x:c>
      <x:c r="I169" s="9"/>
      <x:c r="J169" s="9"/>
      <x:c r="K169" s="2"/>
      <x:c r="L169" s="9" t="n">
        <x:v>4</x:v>
      </x:c>
      <x:c r="M169" s="9"/>
      <x:c r="N169" s="10" t="n">
        <x:v>46139</x:v>
      </x:c>
      <x:c r="O169" s="7" t="str">
        <x:v>采访记述先遭袭的一家3人擦伤，随后救援者受伤，故可确认至少4名伤者；被扼女子伤情与完整总数未明，重伤医学描述不代替司法鉴定。</x:v>
      </x:c>
      <x:c r="P169" s="7" t="str">
        <x:v>中央政法委公开材料记载男子无端殴打多名村民并扼住过路女子；记者采访补充其见人追打和拦截车辆，目标包括与其无原纠纷关系的公众。</x:v>
      </x:c>
      <x:c r="Q169" s="2" t="str">
        <x:v>嘉禾县</x:v>
      </x:c>
      <x:c r="R169" s="2" t="str">
        <x:v>乡村</x:v>
      </x:c>
      <x:c r="S169" s="2" t="str">
        <x:v>day</x:v>
      </x:c>
      <x:c r="T169" s="2"/>
      <x:c r="U169" s="2"/>
      <x:c r="V169" s="9"/>
      <x:c r="W169" s="9"/>
      <x:c r="X169" s="9"/>
      <x:c r="Y169" s="2"/>
      <x:c r="Z169" s="2" t="str">
        <x:v>村民、过路女子及施救村民</x:v>
      </x:c>
      <x:c r="AA169" s="9"/>
      <x:c r="AB169" s="2" t="str">
        <x:v>男</x:v>
      </x:c>
      <x:c r="AC169" s="2"/>
      <x:c r="AD169" s="7"/>
      <x:c r="AE169" s="2" t="str"/>
      <x:c r="AF169" s="2" t="str">
        <x:v>未知</x:v>
      </x:c>
      <x:c r="AG169" s="2"/>
      <x:c r="AH169" s="2"/>
      <x:c r="AI169" s="2"/>
      <x:c r="AJ169" s="2" t="str">
        <x:v>村民合力将袭击者制服，警方随后带离。</x:v>
      </x:c>
      <x:c r="AK169" s="2" t="str">
        <x:v>警方控制嫌疑人。</x:v>
      </x:c>
      <x:c r="AL169" s="10"/>
      <x:c r="AM169" s="10"/>
      <x:c r="AN169" s="10" t="n">
        <x:v>46212</x:v>
      </x:c>
      <x:c r="AO169" s="2" t="str">
        <x:v>官方原文</x:v>
      </x:c>
      <x:c r="AP169" s="7" t="str">
        <x:v>LXS26B01；LXS26B27</x:v>
      </x:c>
      <x:c r="AQ169" s="7" t="str">
        <x:v>{"date":["LXS26B01","LXS26B27"],"location":["LXS26B01","LXS26B27"],"casualties":["LXS26B27"],"classification":["LXS26B01","LXS26B27"],"motive":[],"outcome":["LXS26B01","LXS26B27"]}</x:v>
      </x:c>
      <x:c r="AR169" s="2"/>
      <x:c r="AS169" s="9"/>
      <x:c r="AT169" s="9"/>
      <x:c r="AU169" s="9"/>
      <x:c r="AV169" s="2"/>
      <x:c r="AW169" s="2" t="str">
        <x:v>2026-X补查</x:v>
      </x:c>
      <x:c r="AX169" s="9" t="n">
        <x:v>2026</x:v>
      </x:c>
      <x:c r="AY169" s="10"/>
      <x:c r="AZ169" s="7"/>
      <x:c r="BA169" s="7"/>
      <x:c r="BB169" s="7" t="str"/>
      <x:c r="BC169" s="7" t="str">
        <x:v>未将家属转述的精神状态说法当作医学诊断或动机。</x:v>
      </x:c>
      <x:c r="BD169" s="2" t="str">
        <x:v>是</x:v>
      </x:c>
      <x:c r="BE169" s="2" t="str">
        <x:v>是</x:v>
      </x:c>
      <x:c r="BF169" s="2" t="str">
        <x:v>官方公开案例描述</x:v>
      </x:c>
      <x:c r="BG169" s="2" t="str"/>
      <x:c r="BH169" s="9" t="n">
        <x:v>2026</x:v>
      </x:c>
      <x:c r="BI169" s="9" t="n">
        <x:v>0</x:v>
      </x:c>
      <x:c r="BJ169" s="9" t="n">
        <x:v>4</x:v>
      </x:c>
      <x:c r="BK169" s="9" t="n">
        <x:v>1</x:v>
      </x:c>
      <x:c r="BL169" s="9" t="n">
        <x:v>0</x:v>
      </x:c>
      <x:c r="BM169" s="9" t="n">
        <x:v>1</x:v>
      </x:c>
      <x:c r="BN169" s="9" t="n">
        <x:v>1</x:v>
      </x:c>
      <x:c r="BO169" s="9" t="n">
        <x:v>1</x:v>
      </x:c>
    </x:row>
    <x:row r="170" ht="38" customHeight="1">
      <x:c r="A170" s="2" t="str">
        <x:v>LX26B12</x:v>
      </x:c>
      <x:c r="B170" s="2" t="str">
        <x:v>2026-04-13</x:v>
      </x:c>
      <x:c r="C170" s="7" t="str">
        <x:v>衢州百汇路SUV连续碰撞车辆事件</x:v>
      </x:c>
      <x:c r="D170" s="2" t="str">
        <x:v>浙江</x:v>
      </x:c>
      <x:c r="E170" s="2" t="str">
        <x:v>衢州</x:v>
      </x:c>
      <x:c r="F170" s="2" t="str">
        <x:v>pending</x:v>
      </x:c>
      <x:c r="G170" s="2" t="str">
        <x:v>街道交通</x:v>
      </x:c>
      <x:c r="H170" s="2" t="str">
        <x:v>驾车</x:v>
      </x:c>
      <x:c r="I170" s="9"/>
      <x:c r="J170" s="9" t="n">
        <x:v>2</x:v>
      </x:c>
      <x:c r="K170" s="2"/>
      <x:c r="L170" s="9"/>
      <x:c r="M170" s="9"/>
      <x:c r="N170" s="10" t="n">
        <x:v>46126</x:v>
      </x:c>
      <x:c r="O170" s="7" t="str">
        <x:v>通报确认2人受伤、无生命危险；未另列死亡人数，不根据沉默填零。</x:v>
      </x:c>
      <x:c r="P170" s="7" t="str">
        <x:v>警方确认车辆碰撞并刑拘司机；媒体描述来回顶撞停放车辆，故意性仍需调查。尚无证据证明主动攻击无关人员，刑拘也不能单独证明无差别袭击。</x:v>
      </x:c>
      <x:c r="Q170" s="2"/>
      <x:c r="R170" s="2"/>
      <x:c r="S170" s="2" t="str">
        <x:v>day</x:v>
      </x:c>
      <x:c r="T170" s="2"/>
      <x:c r="U170" s="2"/>
      <x:c r="V170" s="9"/>
      <x:c r="W170" s="9"/>
      <x:c r="X170" s="9"/>
      <x:c r="Y170" s="2"/>
      <x:c r="Z170" s="2"/>
      <x:c r="AA170" s="9" t="n">
        <x:v>36</x:v>
      </x:c>
      <x:c r="AB170" s="2" t="str">
        <x:v>男</x:v>
      </x:c>
      <x:c r="AC170" s="2"/>
      <x:c r="AD170" s="7"/>
      <x:c r="AE170" s="2" t="str"/>
      <x:c r="AF170" s="2" t="str">
        <x:v>未知</x:v>
      </x:c>
      <x:c r="AG170" s="2"/>
      <x:c r="AH170" s="2"/>
      <x:c r="AI170" s="2"/>
      <x:c r="AJ170" s="2"/>
      <x:c r="AK170" s="2" t="str">
        <x:v>司机被刑事拘留，案件侦办中。</x:v>
      </x:c>
      <x:c r="AL170" s="10"/>
      <x:c r="AM170" s="10"/>
      <x:c r="AN170" s="10" t="n">
        <x:v>46144</x:v>
      </x:c>
      <x:c r="AO170" s="2" t="str">
        <x:v>官方转载</x:v>
      </x:c>
      <x:c r="AP170" s="7" t="str">
        <x:v>LXS26B15；LXS26B18</x:v>
      </x:c>
      <x:c r="AQ170" s="7" t="str">
        <x:v>{"date":["LXS26B15"],"location":["LXS26B15"],"casualties":["LXS26B15"],"classification":["LXS26B15","LXS26B18"],"motive":[],"outcome":["LXS26B15"]}</x:v>
      </x:c>
      <x:c r="AR170" s="2"/>
      <x:c r="AS170" s="9"/>
      <x:c r="AT170" s="9"/>
      <x:c r="AU170" s="9"/>
      <x:c r="AV170" s="2"/>
      <x:c r="AW170" s="2" t="str">
        <x:v>2026-X补查</x:v>
      </x:c>
      <x:c r="AX170" s="9" t="n">
        <x:v>2026</x:v>
      </x:c>
      <x:c r="AY170" s="10"/>
      <x:c r="AZ170" s="7"/>
      <x:c r="BA170" s="7" t="str">
        <x:v>警方确认车辆碰撞并刑拘司机；媒体描述来回顶撞停放车辆，故意性仍需调查。尚无证据证明主动攻击无关人员，刑拘也不能单独证明无差别袭击。</x:v>
      </x:c>
      <x:c r="BB170" s="7" t="str"/>
      <x:c r="BC170" s="7" t="str">
        <x:v>来源中的柯城区为嫌疑人籍贯，未直接用作事发行政区。毒驾为网友猜测，不纳入事实。</x:v>
      </x:c>
      <x:c r="BD170" s="2" t="str">
        <x:v>是</x:v>
      </x:c>
      <x:c r="BE170" s="2" t="str">
        <x:v>否</x:v>
      </x:c>
      <x:c r="BF170" s="2" t="str">
        <x:v>媒体调查／研究推断</x:v>
      </x:c>
      <x:c r="BG170" s="2" t="str"/>
      <x:c r="BH170" s="9" t="n">
        <x:v>2026</x:v>
      </x:c>
      <x:c r="BI170" s="9" t="n">
        <x:v>0</x:v>
      </x:c>
      <x:c r="BJ170" s="9" t="n">
        <x:v>2</x:v>
      </x:c>
      <x:c r="BK170" s="9" t="n">
        <x:v>0</x:v>
      </x:c>
      <x:c r="BL170" s="9" t="n">
        <x:v>0</x:v>
      </x:c>
      <x:c r="BM170" s="9" t="n">
        <x:v>1</x:v>
      </x:c>
      <x:c r="BN170" s="9" t="n">
        <x:v>1</x:v>
      </x:c>
      <x:c r="BO170" s="9" t="n">
        <x:v>0</x:v>
      </x:c>
    </x:row>
    <x:row r="171" ht="38" customHeight="1">
      <x:c r="A171" s="2" t="str">
        <x:v>LX26B18</x:v>
      </x:c>
      <x:c r="B171" s="2" t="str">
        <x:v>2026-04-13</x:v>
      </x:c>
      <x:c r="C171" s="7" t="str">
        <x:v>宁波奉化工业园厂房火灾及纵火传闻核查</x:v>
      </x:c>
      <x:c r="D171" s="2" t="str">
        <x:v>浙江</x:v>
      </x:c>
      <x:c r="E171" s="2" t="str">
        <x:v>宁波</x:v>
      </x:c>
      <x:c r="F171" s="2" t="str">
        <x:v>excluded</x:v>
      </x:c>
      <x:c r="G171" s="2" t="str">
        <x:v>其他</x:v>
      </x:c>
      <x:c r="H171" s="2" t="str">
        <x:v>其他</x:v>
      </x:c>
      <x:c r="I171" s="9" t="n">
        <x:v>0</x:v>
      </x:c>
      <x:c r="J171" s="9" t="n">
        <x:v>0</x:v>
      </x:c>
      <x:c r="K171" s="2"/>
      <x:c r="L171" s="9"/>
      <x:c r="M171" s="9"/>
      <x:c r="N171" s="10" t="n">
        <x:v>46125</x:v>
      </x:c>
      <x:c r="O171" s="7" t="str">
        <x:v>当地政府通报无人员伤亡。</x:v>
      </x:c>
      <x:c r="P171" s="7" t="str">
        <x:v>已核实材料仅确认厂房火灾；传称纵火的报道自己指出企业名称误传并引述焊接起火说法，未找到主动袭击人的证据，按非袭击火灾线索排除。</x:v>
      </x:c>
      <x:c r="Q171" s="2" t="str">
        <x:v>奉化区</x:v>
      </x:c>
      <x:c r="R171" s="2"/>
      <x:c r="S171" s="2" t="str">
        <x:v>day</x:v>
      </x:c>
      <x:c r="T171" s="2"/>
      <x:c r="U171" s="2"/>
      <x:c r="V171" s="9"/>
      <x:c r="W171" s="9"/>
      <x:c r="X171" s="9"/>
      <x:c r="Y171" s="2"/>
      <x:c r="Z171" s="2"/>
      <x:c r="AA171" s="9"/>
      <x:c r="AB171" s="2"/>
      <x:c r="AC171" s="2"/>
      <x:c r="AD171" s="7"/>
      <x:c r="AE171" s="2" t="str"/>
      <x:c r="AF171" s="2" t="str">
        <x:v>未知</x:v>
      </x:c>
      <x:c r="AG171" s="2"/>
      <x:c r="AH171" s="2"/>
      <x:c r="AI171" s="2"/>
      <x:c r="AJ171" s="2"/>
      <x:c r="AK171" s="2"/>
      <x:c r="AL171" s="10"/>
      <x:c r="AM171" s="10"/>
      <x:c r="AN171" s="10" t="n">
        <x:v>46125</x:v>
      </x:c>
      <x:c r="AO171" s="2" t="str">
        <x:v>官方转载</x:v>
      </x:c>
      <x:c r="AP171" s="7" t="str">
        <x:v>LXS26B25；LXS26B26</x:v>
      </x:c>
      <x:c r="AQ171" s="7" t="str">
        <x:v>{"date":["LXS26B26"],"location":["LXS26B26"],"casualties":["LXS26B26"],"classification":["LXS26B25","LXS26B26"],"motive":[],"outcome":[]}</x:v>
      </x:c>
      <x:c r="AR171" s="2"/>
      <x:c r="AS171" s="9"/>
      <x:c r="AT171" s="9"/>
      <x:c r="AU171" s="9"/>
      <x:c r="AV171" s="2"/>
      <x:c r="AW171" s="2" t="str">
        <x:v>2026-X补查</x:v>
      </x:c>
      <x:c r="AX171" s="9" t="n">
        <x:v>2026</x:v>
      </x:c>
      <x:c r="AY171" s="10"/>
      <x:c r="AZ171" s="7"/>
      <x:c r="BA171" s="7"/>
      <x:c r="BB171" s="7" t="str"/>
      <x:c r="BC171" s="7" t="str">
        <x:v>官方起火原因当时待查；排除理由为没有主动袭人证据，不声称已有最终事故原因鉴定。</x:v>
      </x:c>
      <x:c r="BD171" s="2" t="str">
        <x:v>是</x:v>
      </x:c>
      <x:c r="BE171" s="2" t="str">
        <x:v>否</x:v>
      </x:c>
      <x:c r="BF171" s="2" t="str">
        <x:v>媒体调查／研究推断</x:v>
      </x:c>
      <x:c r="BG171" s="2" t="str"/>
      <x:c r="BH171" s="9" t="n">
        <x:v>2026</x:v>
      </x:c>
      <x:c r="BI171" s="9" t="n">
        <x:v>0</x:v>
      </x:c>
      <x:c r="BJ171" s="9" t="n">
        <x:v>0</x:v>
      </x:c>
      <x:c r="BK171" s="9" t="n">
        <x:v>0</x:v>
      </x:c>
      <x:c r="BL171" s="9" t="n">
        <x:v>0</x:v>
      </x:c>
      <x:c r="BM171" s="9" t="n">
        <x:v>1</x:v>
      </x:c>
      <x:c r="BN171" s="9" t="n">
        <x:v>0</x:v>
      </x:c>
      <x:c r="BO171" s="9" t="n">
        <x:v>0</x:v>
      </x:c>
    </x:row>
    <x:row r="172" ht="38" customHeight="1">
      <x:c r="A172" s="2" t="str">
        <x:v>LX26B15</x:v>
      </x:c>
      <x:c r="B172" s="2" t="str">
        <x:v>2026-04-17</x:v>
      </x:c>
      <x:c r="C172" s="7" t="str">
        <x:v>网传临沂面粉厂纵火线索</x:v>
      </x:c>
      <x:c r="D172" s="2" t="str">
        <x:v>山东</x:v>
      </x:c>
      <x:c r="E172" s="2" t="str">
        <x:v>临沂</x:v>
      </x:c>
      <x:c r="F172" s="2" t="str">
        <x:v>pending</x:v>
      </x:c>
      <x:c r="G172" s="2" t="str">
        <x:v>其他</x:v>
      </x:c>
      <x:c r="H172" s="2" t="str">
        <x:v>纵火</x:v>
      </x:c>
      <x:c r="I172" s="9"/>
      <x:c r="J172" s="9"/>
      <x:c r="K172" s="2"/>
      <x:c r="L172" s="9"/>
      <x:c r="M172" s="9"/>
      <x:c r="N172" s="10"/>
      <x:c r="O172" s="7"/>
      <x:c r="P172" s="7" t="str">
        <x:v>目前只有论坛评论列举日期和地点，未找到能定位工厂、确认起火原因与受害对象的原始来源。</x:v>
      </x:c>
      <x:c r="Q172" s="2"/>
      <x:c r="R172" s="2"/>
      <x:c r="S172" s="2" t="str">
        <x:v>day</x:v>
      </x:c>
      <x:c r="T172" s="2"/>
      <x:c r="U172" s="2"/>
      <x:c r="V172" s="9"/>
      <x:c r="W172" s="9"/>
      <x:c r="X172" s="9"/>
      <x:c r="Y172" s="2"/>
      <x:c r="Z172" s="2"/>
      <x:c r="AA172" s="9"/>
      <x:c r="AB172" s="2"/>
      <x:c r="AC172" s="2"/>
      <x:c r="AD172" s="7"/>
      <x:c r="AE172" s="2" t="str"/>
      <x:c r="AF172" s="2" t="str">
        <x:v>未知</x:v>
      </x:c>
      <x:c r="AG172" s="2"/>
      <x:c r="AH172" s="2"/>
      <x:c r="AI172" s="2"/>
      <x:c r="AJ172" s="2"/>
      <x:c r="AK172" s="2"/>
      <x:c r="AL172" s="10"/>
      <x:c r="AM172" s="10"/>
      <x:c r="AN172" s="10" t="n">
        <x:v>46144</x:v>
      </x:c>
      <x:c r="AO172" s="2" t="str">
        <x:v>网传待核</x:v>
      </x:c>
      <x:c r="AP172" s="7" t="str">
        <x:v>LXS26B18</x:v>
      </x:c>
      <x:c r="AQ172" s="7" t="str">
        <x:v>{"date":["LXS26B18"],"location":["LXS26B18"],"casualties":[],"classification":["LXS26B18"],"motive":[],"outcome":[]}</x:v>
      </x:c>
      <x:c r="AR172" s="2"/>
      <x:c r="AS172" s="9"/>
      <x:c r="AT172" s="9"/>
      <x:c r="AU172" s="9"/>
      <x:c r="AV172" s="2"/>
      <x:c r="AW172" s="2" t="str">
        <x:v>2026-X补查</x:v>
      </x:c>
      <x:c r="AX172" s="9" t="n">
        <x:v>2026</x:v>
      </x:c>
      <x:c r="AY172" s="10"/>
      <x:c r="AZ172" s="7"/>
      <x:c r="BA172" s="7" t="str">
        <x:v>目前只有论坛评论列举日期和地点，未找到能定位工厂、确认起火原因与受害对象的原始来源。</x:v>
      </x:c>
      <x:c r="BB172" s="7" t="str"/>
      <x:c r="BC172" s="7" t="str">
        <x:v>发生本身及所谓纵火均待核；不录入评论所称伤亡数，不与其他地区工厂火灾混同。</x:v>
      </x:c>
      <x:c r="BD172" s="2" t="str">
        <x:v>否</x:v>
      </x:c>
      <x:c r="BE172" s="2" t="str">
        <x:v>否</x:v>
      </x:c>
      <x:c r="BF172" s="2" t="str">
        <x:v>媒体调查／研究推断</x:v>
      </x:c>
      <x:c r="BG172" s="2" t="str"/>
      <x:c r="BH172" s="9" t="n">
        <x:v>2026</x:v>
      </x:c>
      <x:c r="BI172" s="9" t="n">
        <x:v>0</x:v>
      </x:c>
      <x:c r="BJ172" s="9" t="n">
        <x:v>0</x:v>
      </x:c>
      <x:c r="BK172" s="9" t="n">
        <x:v>0</x:v>
      </x:c>
      <x:c r="BL172" s="9" t="n">
        <x:v>0</x:v>
      </x:c>
      <x:c r="BM172" s="9" t="n">
        <x:v>1</x:v>
      </x:c>
      <x:c r="BN172" s="9" t="n">
        <x:v>1</x:v>
      </x:c>
      <x:c r="BO172" s="9" t="n">
        <x:v>1</x:v>
      </x:c>
    </x:row>
    <x:row r="173" ht="38" customHeight="1">
      <x:c r="A173" s="2" t="str">
        <x:v>LX26B13</x:v>
      </x:c>
      <x:c r="B173" s="2" t="str">
        <x:v>2026-04-19</x:v>
      </x:c>
      <x:c r="C173" s="7" t="str">
        <x:v>南安水头镇车辆逆行撞人事件</x:v>
      </x:c>
      <x:c r="D173" s="2" t="str">
        <x:v>福建</x:v>
      </x:c>
      <x:c r="E173" s="2" t="str">
        <x:v>泉州</x:v>
      </x:c>
      <x:c r="F173" s="2" t="str">
        <x:v>pending</x:v>
      </x:c>
      <x:c r="G173" s="2" t="str">
        <x:v>街道交通</x:v>
      </x:c>
      <x:c r="H173" s="2" t="str">
        <x:v>驾车</x:v>
      </x:c>
      <x:c r="I173" s="9" t="n">
        <x:v>2</x:v>
      </x:c>
      <x:c r="J173" s="9" t="n">
        <x:v>1</x:v>
      </x:c>
      <x:c r="K173" s="2"/>
      <x:c r="L173" s="9"/>
      <x:c r="M173" s="9"/>
      <x:c r="N173" s="10" t="n">
        <x:v>46131</x:v>
      </x:c>
      <x:c r="O173" s="7"/>
      <x:c r="P173" s="7" t="str">
        <x:v>南方+记者获有关部门确认逆行车祸及死伤，具体原因仍在调查；网帖所谓主动冲撞没有独立依据，须进一步区分事故与故意攻击。</x:v>
      </x:c>
      <x:c r="Q173" s="2" t="str">
        <x:v>南安市</x:v>
      </x:c>
      <x:c r="R173" s="2"/>
      <x:c r="S173" s="2" t="str">
        <x:v>day</x:v>
      </x:c>
      <x:c r="T173" s="2"/>
      <x:c r="U173" s="2"/>
      <x:c r="V173" s="9"/>
      <x:c r="W173" s="9"/>
      <x:c r="X173" s="9"/>
      <x:c r="Y173" s="2"/>
      <x:c r="Z173" s="2"/>
      <x:c r="AA173" s="9"/>
      <x:c r="AB173" s="2"/>
      <x:c r="AC173" s="2"/>
      <x:c r="AD173" s="7"/>
      <x:c r="AE173" s="2" t="str"/>
      <x:c r="AF173" s="2" t="str">
        <x:v>未知</x:v>
      </x:c>
      <x:c r="AG173" s="2"/>
      <x:c r="AH173" s="2"/>
      <x:c r="AI173" s="2"/>
      <x:c r="AJ173" s="2"/>
      <x:c r="AK173" s="2" t="str">
        <x:v>肇事者被控制，原因待查。</x:v>
      </x:c>
      <x:c r="AL173" s="10"/>
      <x:c r="AM173" s="10"/>
      <x:c r="AN173" s="10" t="n">
        <x:v>46144</x:v>
      </x:c>
      <x:c r="AO173" s="2" t="str">
        <x:v>官方转载</x:v>
      </x:c>
      <x:c r="AP173" s="7" t="str">
        <x:v>LXS26B16；LXS26B18</x:v>
      </x:c>
      <x:c r="AQ173" s="7" t="str">
        <x:v>{"date":["LXS26B16"],"location":["LXS26B16"],"casualties":["LXS26B16"],"classification":["LXS26B16","LXS26B18"],"motive":[],"outcome":["LXS26B16"]}</x:v>
      </x:c>
      <x:c r="AR173" s="2"/>
      <x:c r="AS173" s="9"/>
      <x:c r="AT173" s="9"/>
      <x:c r="AU173" s="9"/>
      <x:c r="AV173" s="2"/>
      <x:c r="AW173" s="2" t="str">
        <x:v>2026-X补查</x:v>
      </x:c>
      <x:c r="AX173" s="9" t="n">
        <x:v>2026</x:v>
      </x:c>
      <x:c r="AY173" s="10"/>
      <x:c r="AZ173" s="7"/>
      <x:c r="BA173" s="7" t="str">
        <x:v>南方+记者获有关部门确认逆行车祸及死伤，具体原因仍在调查；网帖所谓主动冲撞没有独立依据，须进一步区分事故与故意攻击。</x:v>
      </x:c>
      <x:c r="BB173" s="7" t="str"/>
      <x:c r="BC173" s="7" t="str">
        <x:v>酒驾仅为投稿视频中的怀疑。南方+正文报道清晨发生，与后续自媒体写下午不符，未采纳后者。</x:v>
      </x:c>
      <x:c r="BD173" s="2" t="str">
        <x:v>是</x:v>
      </x:c>
      <x:c r="BE173" s="2" t="str">
        <x:v>否</x:v>
      </x:c>
      <x:c r="BF173" s="2" t="str">
        <x:v>媒体调查／研究推断</x:v>
      </x:c>
      <x:c r="BG173" s="2" t="str"/>
      <x:c r="BH173" s="9" t="n">
        <x:v>2026</x:v>
      </x:c>
      <x:c r="BI173" s="9" t="n">
        <x:v>2</x:v>
      </x:c>
      <x:c r="BJ173" s="9" t="n">
        <x:v>1</x:v>
      </x:c>
      <x:c r="BK173" s="9" t="n">
        <x:v>0</x:v>
      </x:c>
      <x:c r="BL173" s="9" t="n">
        <x:v>0</x:v>
      </x:c>
      <x:c r="BM173" s="9" t="n">
        <x:v>1</x:v>
      </x:c>
      <x:c r="BN173" s="9" t="n">
        <x:v>0</x:v>
      </x:c>
      <x:c r="BO173" s="9" t="n">
        <x:v>0</x:v>
      </x:c>
    </x:row>
    <x:row r="174" ht="38" customHeight="1">
      <x:c r="A174" s="2" t="str">
        <x:v>LX26B04</x:v>
      </x:c>
      <x:c r="B174" s="2" t="str">
        <x:v>2026-04-22</x:v>
      </x:c>
      <x:c r="C174" s="7" t="str">
        <x:v>网传惠州博罗中园休闲广场持刀伤人事件</x:v>
      </x:c>
      <x:c r="D174" s="2" t="str">
        <x:v>广东</x:v>
      </x:c>
      <x:c r="E174" s="2" t="str">
        <x:v>惠州</x:v>
      </x:c>
      <x:c r="F174" s="2" t="str">
        <x:v>pending</x:v>
      </x:c>
      <x:c r="G174" s="2" t="str">
        <x:v>公园广场</x:v>
      </x:c>
      <x:c r="H174" s="2" t="str">
        <x:v>持械</x:v>
      </x:c>
      <x:c r="I174" s="9"/>
      <x:c r="J174" s="9"/>
      <x:c r="K174" s="2"/>
      <x:c r="L174" s="9"/>
      <x:c r="M174" s="9"/>
      <x:c r="N174" s="10"/>
      <x:c r="O174" s="7" t="str">
        <x:v>媒体转述死亡及多人重伤说法未经独立核实，数值留空。</x:v>
      </x:c>
      <x:c r="P174" s="7" t="str">
        <x:v>目前为一家媒体引述本地居民及网络影像，伤亡与受害关系没有独立采集的第二来源或官方材料；不能由多人遇袭传言推断随机性。</x:v>
      </x:c>
      <x:c r="Q174" s="2" t="str">
        <x:v>博罗县</x:v>
      </x:c>
      <x:c r="R174" s="2"/>
      <x:c r="S174" s="2" t="str">
        <x:v>day</x:v>
      </x:c>
      <x:c r="T174" s="2"/>
      <x:c r="U174" s="2"/>
      <x:c r="V174" s="9"/>
      <x:c r="W174" s="9"/>
      <x:c r="X174" s="9"/>
      <x:c r="Y174" s="2"/>
      <x:c r="Z174" s="2"/>
      <x:c r="AA174" s="9"/>
      <x:c r="AB174" s="2"/>
      <x:c r="AC174" s="2"/>
      <x:c r="AD174" s="7"/>
      <x:c r="AE174" s="2" t="str"/>
      <x:c r="AF174" s="2" t="str">
        <x:v>未知</x:v>
      </x:c>
      <x:c r="AG174" s="2"/>
      <x:c r="AH174" s="2"/>
      <x:c r="AI174" s="2"/>
      <x:c r="AJ174" s="2"/>
      <x:c r="AK174" s="2"/>
      <x:c r="AL174" s="10"/>
      <x:c r="AM174" s="10"/>
      <x:c r="AN174" s="10" t="n">
        <x:v>46135</x:v>
      </x:c>
      <x:c r="AO174" s="2" t="str">
        <x:v>单一媒体</x:v>
      </x:c>
      <x:c r="AP174" s="7" t="str">
        <x:v>LXS26B05</x:v>
      </x:c>
      <x:c r="AQ174" s="7" t="str">
        <x:v>{"date":["LXS26B05"],"location":["LXS26B05"],"casualties":[],"classification":["LXS26B05"],"motive":[],"outcome":[]}</x:v>
      </x:c>
      <x:c r="AR174" s="2"/>
      <x:c r="AS174" s="9"/>
      <x:c r="AT174" s="9"/>
      <x:c r="AU174" s="9"/>
      <x:c r="AV174" s="2"/>
      <x:c r="AW174" s="2" t="str">
        <x:v>2026-X补查</x:v>
      </x:c>
      <x:c r="AX174" s="9" t="n">
        <x:v>2026</x:v>
      </x:c>
      <x:c r="AY174" s="10"/>
      <x:c r="AZ174" s="7"/>
      <x:c r="BA174" s="7" t="str">
        <x:v>目前为一家媒体引述本地居民及网络影像，伤亡与受害关系没有独立采集的第二来源或官方材料；不能由多人遇袭传言推断随机性。</x:v>
      </x:c>
      <x:c r="BB174" s="7" t="str"/>
      <x:c r="BC174" s="7" t="str">
        <x:v>保留当日广场事件，与同篇提及的较早酒店门前线索分列，避免合并伤亡。</x:v>
      </x:c>
      <x:c r="BD174" s="2" t="str">
        <x:v>否</x:v>
      </x:c>
      <x:c r="BE174" s="2" t="str">
        <x:v>否</x:v>
      </x:c>
      <x:c r="BF174" s="2" t="str">
        <x:v>媒体调查／研究推断</x:v>
      </x:c>
      <x:c r="BG174" s="2" t="str"/>
      <x:c r="BH174" s="9" t="n">
        <x:v>2026</x:v>
      </x:c>
      <x:c r="BI174" s="9" t="n">
        <x:v>0</x:v>
      </x:c>
      <x:c r="BJ174" s="9" t="n">
        <x:v>0</x:v>
      </x:c>
      <x:c r="BK174" s="9" t="n">
        <x:v>0</x:v>
      </x:c>
      <x:c r="BL174" s="9" t="n">
        <x:v>0</x:v>
      </x:c>
      <x:c r="BM174" s="9" t="n">
        <x:v>1</x:v>
      </x:c>
      <x:c r="BN174" s="9" t="n">
        <x:v>1</x:v>
      </x:c>
      <x:c r="BO174" s="9" t="n">
        <x:v>1</x:v>
      </x:c>
    </x:row>
    <x:row r="175" ht="38" customHeight="1">
      <x:c r="A175" s="2" t="str">
        <x:v>LX26B19</x:v>
      </x:c>
      <x:c r="B175" s="2" t="str">
        <x:v>2026-04-29</x:v>
      </x:c>
      <x:c r="C175" s="7" t="str">
        <x:v>网传泰安住宅楼遭爆炸袭击线索</x:v>
      </x:c>
      <x:c r="D175" s="2" t="str">
        <x:v>山东</x:v>
      </x:c>
      <x:c r="E175" s="2" t="str">
        <x:v>泰安</x:v>
      </x:c>
      <x:c r="F175" s="2" t="str">
        <x:v>pending</x:v>
      </x:c>
      <x:c r="G175" s="2" t="str">
        <x:v>社区住宅</x:v>
      </x:c>
      <x:c r="H175" s="2" t="str">
        <x:v>爆炸</x:v>
      </x:c>
      <x:c r="I175" s="9"/>
      <x:c r="J175" s="9"/>
      <x:c r="K175" s="2"/>
      <x:c r="L175" s="9"/>
      <x:c r="M175" s="9"/>
      <x:c r="N175" s="10"/>
      <x:c r="O175" s="7"/>
      <x:c r="P175" s="7" t="str">
        <x:v>现有页面只转载匿名X投稿，连准确楼宇位置、爆炸是否发生都未得到核实；所谓特定干部目标及大规模伤亡亦无可核来源。</x:v>
      </x:c>
      <x:c r="Q175" s="2"/>
      <x:c r="R175" s="2"/>
      <x:c r="S175" s="2" t="str">
        <x:v>day</x:v>
      </x:c>
      <x:c r="T175" s="2"/>
      <x:c r="U175" s="2"/>
      <x:c r="V175" s="9"/>
      <x:c r="W175" s="9"/>
      <x:c r="X175" s="9"/>
      <x:c r="Y175" s="2"/>
      <x:c r="Z175" s="2"/>
      <x:c r="AA175" s="9"/>
      <x:c r="AB175" s="2"/>
      <x:c r="AC175" s="2"/>
      <x:c r="AD175" s="7"/>
      <x:c r="AE175" s="2" t="str"/>
      <x:c r="AF175" s="2" t="str">
        <x:v>未知</x:v>
      </x:c>
      <x:c r="AG175" s="2"/>
      <x:c r="AH175" s="2"/>
      <x:c r="AI175" s="2"/>
      <x:c r="AJ175" s="2"/>
      <x:c r="AK175" s="2"/>
      <x:c r="AL175" s="10"/>
      <x:c r="AM175" s="10"/>
      <x:c r="AN175" s="10" t="n">
        <x:v>46141</x:v>
      </x:c>
      <x:c r="AO175" s="2" t="str">
        <x:v>网传待核</x:v>
      </x:c>
      <x:c r="AP175" s="7" t="str">
        <x:v>LXS26B28</x:v>
      </x:c>
      <x:c r="AQ175" s="7" t="str">
        <x:v>{"date":["LXS26B28"],"location":["LXS26B28"],"casualties":[],"classification":["LXS26B28"],"motive":[],"outcome":[]}</x:v>
      </x:c>
      <x:c r="AR175" s="2"/>
      <x:c r="AS175" s="9"/>
      <x:c r="AT175" s="9"/>
      <x:c r="AU175" s="9"/>
      <x:c r="AV175" s="2"/>
      <x:c r="AW175" s="2" t="str">
        <x:v>2026-X补查</x:v>
      </x:c>
      <x:c r="AX175" s="9" t="n">
        <x:v>2026</x:v>
      </x:c>
      <x:c r="AY175" s="10"/>
      <x:c r="AZ175" s="7"/>
      <x:c r="BA175" s="7" t="str">
        <x:v>现有页面只转载匿名X投稿，连准确楼宇位置、爆炸是否发生都未得到核实；所谓特定干部目标及大规模伤亡亦无可核来源。</x:v>
      </x:c>
      <x:c r="BB175" s="7" t="str">
        <x:v>https://x.com/LUOXIANG_PMTQ/status/2049510723479335144</x:v>
      </x:c>
      <x:c r="BC175" s="7" t="str">
        <x:v>搜索当地公开事故信息未查得对应刑案，不据此断言不存在；不采信转载的政治身份、私人关系与200余伤亡数。</x:v>
      </x:c>
      <x:c r="BD175" s="2" t="str">
        <x:v>否</x:v>
      </x:c>
      <x:c r="BE175" s="2" t="str">
        <x:v>否</x:v>
      </x:c>
      <x:c r="BF175" s="2" t="str">
        <x:v>媒体调查／研究推断</x:v>
      </x:c>
      <x:c r="BG175" s="2" t="str"/>
      <x:c r="BH175" s="9" t="n">
        <x:v>2026</x:v>
      </x:c>
      <x:c r="BI175" s="9" t="n">
        <x:v>0</x:v>
      </x:c>
      <x:c r="BJ175" s="9" t="n">
        <x:v>0</x:v>
      </x:c>
      <x:c r="BK175" s="9" t="n">
        <x:v>0</x:v>
      </x:c>
      <x:c r="BL175" s="9" t="n">
        <x:v>0</x:v>
      </x:c>
      <x:c r="BM175" s="9" t="n">
        <x:v>1</x:v>
      </x:c>
      <x:c r="BN175" s="9" t="n">
        <x:v>1</x:v>
      </x:c>
      <x:c r="BO175" s="9" t="n">
        <x:v>1</x:v>
      </x:c>
    </x:row>
    <x:row r="176" ht="38" customHeight="1">
      <x:c r="A176" s="2" t="str">
        <x:v>LX26B03</x:v>
      </x:c>
      <x:c r="B176" s="2" t="str">
        <x:v>2026-04-30</x:v>
      </x:c>
      <x:c r="C176" s="7" t="str">
        <x:v>广州地铁三号线男子向周围乘客喷辣椒水事件</x:v>
      </x:c>
      <x:c r="D176" s="2" t="str">
        <x:v>广东</x:v>
      </x:c>
      <x:c r="E176" s="2" t="str">
        <x:v>广州</x:v>
      </x:c>
      <x:c r="F176" s="2" t="str">
        <x:v>core</x:v>
      </x:c>
      <x:c r="G176" s="2" t="str">
        <x:v>公共交通</x:v>
      </x:c>
      <x:c r="H176" s="2" t="str">
        <x:v>其他</x:v>
      </x:c>
      <x:c r="I176" s="9"/>
      <x:c r="J176" s="9"/>
      <x:c r="K176" s="2"/>
      <x:c r="L176" s="9"/>
      <x:c r="M176" s="9"/>
      <x:c r="N176" s="10"/>
      <x:c r="O176" s="7" t="str">
        <x:v>采访反映多名乘客咳嗽、流泪或呕吐；人数与诊断未公布，不将症状描述转成精确伤者数。</x:v>
      </x:c>
      <x:c r="P176" s="7" t="str">
        <x:v>媒体描述的现场影像显示向周边乘客持续喷洒，潇湘晨报、荔枝新闻及广东台亲历者采访相互补充，警方受访人员确认喷辣椒水且人已抓获；实际目标覆盖无关车厢乘客。</x:v>
      </x:c>
      <x:c r="Q176" s="2" t="str">
        <x:v>天河区</x:v>
      </x:c>
      <x:c r="R176" s="2" t="str">
        <x:v>城市</x:v>
      </x:c>
      <x:c r="S176" s="2" t="str">
        <x:v>day</x:v>
      </x:c>
      <x:c r="T176" s="2"/>
      <x:c r="U176" s="2"/>
      <x:c r="V176" s="9"/>
      <x:c r="W176" s="9"/>
      <x:c r="X176" s="9"/>
      <x:c r="Y176" s="2"/>
      <x:c r="Z176" s="2" t="str">
        <x:v>车厢内周边乘客，未见与喷射者有关联</x:v>
      </x:c>
      <x:c r="AA176" s="9"/>
      <x:c r="AB176" s="2" t="str">
        <x:v>男</x:v>
      </x:c>
      <x:c r="AC176" s="2"/>
      <x:c r="AD176" s="7"/>
      <x:c r="AE176" s="2" t="str"/>
      <x:c r="AF176" s="2" t="str">
        <x:v>未知</x:v>
      </x:c>
      <x:c r="AG176" s="2"/>
      <x:c r="AH176" s="2"/>
      <x:c r="AI176" s="2"/>
      <x:c r="AJ176" s="2"/>
      <x:c r="AK176" s="2" t="str">
        <x:v>地铁派出所受访人员称涉事者已被抓获，正在调查。</x:v>
      </x:c>
      <x:c r="AL176" s="10"/>
      <x:c r="AM176" s="10"/>
      <x:c r="AN176" s="10" t="n">
        <x:v>46144</x:v>
      </x:c>
      <x:c r="AO176" s="2" t="str">
        <x:v>多源媒体</x:v>
      </x:c>
      <x:c r="AP176" s="7" t="str">
        <x:v>LXS26B02；LXS26B03；LXS26B04</x:v>
      </x:c>
      <x:c r="AQ176" s="7" t="str">
        <x:v>{"date":["LXS26B02","LXS26B04"],"location":["LXS26B02","LXS26B04"],"casualties":["LXS26B02","LXS26B04"],"classification":["LXS26B02","LXS26B04"],"motive":[],"outcome":["LXS26B02"]}</x:v>
      </x:c>
      <x:c r="AR176" s="2"/>
      <x:c r="AS176" s="9"/>
      <x:c r="AT176" s="9"/>
      <x:c r="AU176" s="9"/>
      <x:c r="AV176" s="2"/>
      <x:c r="AW176" s="2" t="str">
        <x:v>2026-X补查</x:v>
      </x:c>
      <x:c r="AX176" s="9" t="n">
        <x:v>2026</x:v>
      </x:c>
      <x:c r="AY176" s="10"/>
      <x:c r="AZ176" s="7"/>
      <x:c r="BA176" s="7"/>
      <x:c r="BB176" s="7" t="str"/>
      <x:c r="BC176" s="7" t="str">
        <x:v>核心分类依据公开行为及实际无关乘客目标，不以警方必须使用“随机”字样为条件。网络所谓偷拍争执起因未获证实；若后续确认特定纠纷触发，应复核为扩展。中央社为转述，未额外计作独立采访。</x:v>
      </x:c>
      <x:c r="BD176" s="2" t="str">
        <x:v>是</x:v>
      </x:c>
      <x:c r="BE176" s="2" t="str">
        <x:v>否</x:v>
      </x:c>
      <x:c r="BF176" s="2" t="str">
        <x:v>媒体调查／研究推断</x:v>
      </x:c>
      <x:c r="BG176" s="2" t="str"/>
      <x:c r="BH176" s="9" t="n">
        <x:v>2026</x:v>
      </x:c>
      <x:c r="BI176" s="9" t="n">
        <x:v>0</x:v>
      </x:c>
      <x:c r="BJ176" s="9" t="n">
        <x:v>0</x:v>
      </x:c>
      <x:c r="BK176" s="9" t="n">
        <x:v>0</x:v>
      </x:c>
      <x:c r="BL176" s="9" t="n">
        <x:v>0</x:v>
      </x:c>
      <x:c r="BM176" s="9" t="n">
        <x:v>1</x:v>
      </x:c>
      <x:c r="BN176" s="9" t="n">
        <x:v>1</x:v>
      </x:c>
      <x:c r="BO176" s="9" t="n">
        <x:v>1</x:v>
      </x:c>
    </x:row>
    <x:row r="177" ht="38" customHeight="1">
      <x:c r="A177" s="2" t="str">
        <x:v>C044</x:v>
      </x:c>
      <x:c r="B177" s="2" t="str">
        <x:v>2026-05-01</x:v>
      </x:c>
      <x:c r="C177" s="7" t="str">
        <x:v>成都剑南大道车辆连续碰撞事件</x:v>
      </x:c>
      <x:c r="D177" s="2" t="str">
        <x:v>四川</x:v>
      </x:c>
      <x:c r="E177" s="2" t="str">
        <x:v>成都</x:v>
      </x:c>
      <x:c r="F177" s="2" t="str">
        <x:v>pending</x:v>
      </x:c>
      <x:c r="G177" s="2" t="str">
        <x:v>街道交通</x:v>
      </x:c>
      <x:c r="H177" s="2" t="str">
        <x:v>驾车</x:v>
      </x:c>
      <x:c r="I177" s="9" t="n">
        <x:v>1</x:v>
      </x:c>
      <x:c r="J177" s="9" t="n">
        <x:v>11</x:v>
      </x:c>
      <x:c r="K177" s="2"/>
      <x:c r="L177" s="9"/>
      <x:c r="M177" s="9"/>
      <x:c r="N177" s="10" t="n">
        <x:v>46143</x:v>
      </x:c>
      <x:c r="O177" s="7"/>
      <x:c r="P177" s="7" t="str">
        <x:v>警方初查称转弯事故后逃逸；另有原始目击者采访与中央社影像分析描述加速撞击多个路段的公众、倒车后再撞及取刀。两类证据对故意性存在冲突，不能仅凭事故标签排除；在完整轨迹、调查结果及动机关系未厘清前列待核。</x:v>
      </x:c>
      <x:c r="Q177" s="2" t="str">
        <x:v>高新区</x:v>
      </x:c>
      <x:c r="R177" s="2" t="str">
        <x:v>城市</x:v>
      </x:c>
      <x:c r="S177" s="2" t="str">
        <x:v>day</x:v>
      </x:c>
      <x:c r="T177" s="2"/>
      <x:c r="U177" s="2"/>
      <x:c r="V177" s="9"/>
      <x:c r="W177" s="9"/>
      <x:c r="X177" s="9"/>
      <x:c r="Y177" s="2"/>
      <x:c r="Z177" s="2"/>
      <x:c r="AA177" s="9" t="n">
        <x:v>31</x:v>
      </x:c>
      <x:c r="AB177" s="2" t="str">
        <x:v>男</x:v>
      </x:c>
      <x:c r="AC177" s="2"/>
      <x:c r="AD177" s="7"/>
      <x:c r="AE177" s="2" t="str"/>
      <x:c r="AF177" s="2" t="str">
        <x:v>未知</x:v>
      </x:c>
      <x:c r="AG177" s="2"/>
      <x:c r="AH177" s="2"/>
      <x:c r="AI177" s="2"/>
      <x:c r="AJ177" s="2"/>
      <x:c r="AK177" s="2" t="str">
        <x:v>李某某当场被抓获，初查涉嫌交通肇事逃逸。</x:v>
      </x:c>
      <x:c r="AL177" s="10"/>
      <x:c r="AM177" s="10"/>
      <x:c r="AN177" s="10" t="n">
        <x:v>46144</x:v>
      </x:c>
      <x:c r="AO177" s="2" t="str">
        <x:v>官方转载</x:v>
      </x:c>
      <x:c r="AP177" s="7" t="str">
        <x:v>CS055；LXS26B23；LXS26B24；LXS26B31；LXS26B32</x:v>
      </x:c>
      <x:c r="AQ177" s="7" t="str">
        <x:v>{"date":["CS055"],"location":["CS055"],"casualties":["CS055"],"classification":["CS055","LXS26B24","LXS26B31","LXS26B32"],"motive":[],"outcome":["CS055"]}</x:v>
      </x:c>
      <x:c r="AR177" s="2"/>
      <x:c r="AS177" s="9"/>
      <x:c r="AT177" s="9"/>
      <x:c r="AU177" s="9"/>
      <x:c r="AV177" s="2"/>
      <x:c r="AW177" s="2" t="str">
        <x:v>2026-X补查</x:v>
      </x:c>
      <x:c r="AX177" s="9"/>
      <x:c r="AY177" s="10"/>
      <x:c r="AZ177" s="7"/>
      <x:c r="BA177" s="7" t="str">
        <x:v>警方初查称转弯事故后逃逸；另有原始目击者采访与中央社影像分析描述加速撞击多个路段的公众、倒车后再撞及取刀。两类证据对故意性存在冲突，不能仅凭事故标签排除；在完整轨迹、调查结果及动机关系未厘清前列待核。</x:v>
      </x:c>
      <x:c r="BB177" s="7" t="str">
        <x:v>https://x.com/whyyoutouzhele/status/2050186973680463941</x:v>
      </x:c>
      <x:c r="BC177" s="7" t="str">
        <x:v>保留官方1死11伤数值。目击者对更多死亡、网约车押金纠纷的推测不予采纳；中央社使用李老师传播影像，与X镜像同源，不另算现场独立采集。</x:v>
      </x:c>
      <x:c r="BD177" s="2" t="str">
        <x:v>是</x:v>
      </x:c>
      <x:c r="BE177" s="2" t="str">
        <x:v>否</x:v>
      </x:c>
      <x:c r="BF177" s="2" t="str">
        <x:v>媒体调查／研究推断</x:v>
      </x:c>
      <x:c r="BG177" s="2" t="str"/>
      <x:c r="BH177" s="9" t="n">
        <x:v>2026</x:v>
      </x:c>
      <x:c r="BI177" s="9" t="n">
        <x:v>1</x:v>
      </x:c>
      <x:c r="BJ177" s="9" t="n">
        <x:v>11</x:v>
      </x:c>
      <x:c r="BK177" s="9" t="n">
        <x:v>0</x:v>
      </x:c>
      <x:c r="BL177" s="9" t="n">
        <x:v>0</x:v>
      </x:c>
      <x:c r="BM177" s="9" t="n">
        <x:v>1</x:v>
      </x:c>
      <x:c r="BN177" s="9" t="n">
        <x:v>0</x:v>
      </x:c>
      <x:c r="BO177" s="9" t="n">
        <x:v>0</x:v>
      </x:c>
    </x:row>
    <x:row r="178" ht="38" customHeight="1">
      <x:c r="A178" s="2" t="str">
        <x:v>C038</x:v>
      </x:c>
      <x:c r="B178" s="2" t="str">
        <x:v>2026-05-02</x:v>
      </x:c>
      <x:c r="C178" s="7" t="str">
        <x:v>柳州高新南路小区刑事案件</x:v>
      </x:c>
      <x:c r="D178" s="2" t="str">
        <x:v>广西</x:v>
      </x:c>
      <x:c r="E178" s="2" t="str">
        <x:v>柳州</x:v>
      </x:c>
      <x:c r="F178" s="2" t="str">
        <x:v>pending</x:v>
      </x:c>
      <x:c r="G178" s="2" t="str">
        <x:v>社区住宅</x:v>
      </x:c>
      <x:c r="H178" s="2" t="str">
        <x:v>其他</x:v>
      </x:c>
      <x:c r="I178" s="9" t="n">
        <x:v>3</x:v>
      </x:c>
      <x:c r="J178" s="9" t="n">
        <x:v>1</x:v>
      </x:c>
      <x:c r="K178" s="2"/>
      <x:c r="L178" s="9"/>
      <x:c r="M178" s="9"/>
      <x:c r="N178" s="10" t="n">
        <x:v>46144</x:v>
      </x:c>
      <x:c r="O178" s="7" t="str">
        <x:v>通报4死中1人为有重大嫌疑者；暂单列嫌疑人死亡，非最终法院认定。</x:v>
      </x:c>
      <x:c r="P178" s="7" t="str">
        <x:v>警方已确认刑案与死伤；新增记者访问居民仅有楼内发生及邻里纠纷的传闻，未核实具体被害关系和作案目标，无法判断定向案是否扩及无关者。</x:v>
      </x:c>
      <x:c r="Q178" s="2" t="str">
        <x:v>城中区</x:v>
      </x:c>
      <x:c r="R178" s="2" t="str">
        <x:v>城市</x:v>
      </x:c>
      <x:c r="S178" s="2" t="str">
        <x:v>day</x:v>
      </x:c>
      <x:c r="T178" s="2"/>
      <x:c r="U178" s="2"/>
      <x:c r="V178" s="9"/>
      <x:c r="W178" s="9" t="n">
        <x:v>1</x:v>
      </x:c>
      <x:c r="X178" s="9"/>
      <x:c r="Y178" s="2"/>
      <x:c r="Z178" s="2"/>
      <x:c r="AA178" s="9"/>
      <x:c r="AB178" s="2"/>
      <x:c r="AC178" s="2"/>
      <x:c r="AD178" s="7"/>
      <x:c r="AE178" s="2" t="str"/>
      <x:c r="AF178" s="2" t="str">
        <x:v>未知</x:v>
      </x:c>
      <x:c r="AG178" s="2"/>
      <x:c r="AH178" s="2"/>
      <x:c r="AI178" s="2"/>
      <x:c r="AJ178" s="2"/>
      <x:c r="AK178" s="2"/>
      <x:c r="AL178" s="10"/>
      <x:c r="AM178" s="10"/>
      <x:c r="AN178" s="10" t="n">
        <x:v>46147</x:v>
      </x:c>
      <x:c r="AO178" s="2" t="str">
        <x:v>官方转载</x:v>
      </x:c>
      <x:c r="AP178" s="7" t="str">
        <x:v>CS049；LXS26B14</x:v>
      </x:c>
      <x:c r="AQ178" s="7" t="str">
        <x:v>{"date":["CS049"],"location":["CS049"],"casualties":["CS049"],"classification":["CS049","LXS26B14"],"motive":[],"outcome":[]}</x:v>
      </x:c>
      <x:c r="AR178" s="2"/>
      <x:c r="AS178" s="9"/>
      <x:c r="AT178" s="9"/>
      <x:c r="AU178" s="9"/>
      <x:c r="AV178" s="2"/>
      <x:c r="AW178" s="2" t="str">
        <x:v>2026-X补查</x:v>
      </x:c>
      <x:c r="AX178" s="9"/>
      <x:c r="AY178" s="10"/>
      <x:c r="AZ178" s="7"/>
      <x:c r="BA178" s="7" t="str">
        <x:v>警方已确认刑案与死伤；新增记者访问居民仅有楼内发生及邻里纠纷的传闻，未核实具体被害关系和作案目标，无法判断定向案是否扩及无关者。</x:v>
      </x:c>
      <x:c r="BB178" s="7" t="str"/>
      <x:c r="BC178" s="7" t="str">
        <x:v>维持警方4死中分列疑似作案者1死的原口径；未把受访者的猜测升级为动机。</x:v>
      </x:c>
      <x:c r="BD178" s="2" t="str">
        <x:v>是</x:v>
      </x:c>
      <x:c r="BE178" s="2" t="str">
        <x:v>否</x:v>
      </x:c>
      <x:c r="BF178" s="2" t="str">
        <x:v>媒体调查／研究推断</x:v>
      </x:c>
      <x:c r="BG178" s="2" t="str"/>
      <x:c r="BH178" s="9" t="n">
        <x:v>2026</x:v>
      </x:c>
      <x:c r="BI178" s="9" t="n">
        <x:v>3</x:v>
      </x:c>
      <x:c r="BJ178" s="9" t="n">
        <x:v>1</x:v>
      </x:c>
      <x:c r="BK178" s="9" t="n">
        <x:v>0</x:v>
      </x:c>
      <x:c r="BL178" s="9" t="n">
        <x:v>0</x:v>
      </x:c>
      <x:c r="BM178" s="9" t="n">
        <x:v>1</x:v>
      </x:c>
      <x:c r="BN178" s="9" t="n">
        <x:v>0</x:v>
      </x:c>
      <x:c r="BO178" s="9" t="n">
        <x:v>0</x:v>
      </x:c>
    </x:row>
    <x:row r="179" ht="38" customHeight="1">
      <x:c r="A179" s="2" t="str">
        <x:v>LX26B11</x:v>
      </x:c>
      <x:c r="B179" s="2" t="str">
        <x:v>2026-05-03</x:v>
      </x:c>
      <x:c r="C179" s="7" t="str">
        <x:v>网传平阳昆阳菜市场路段车辆碰撞多人事件</x:v>
      </x:c>
      <x:c r="D179" s="2" t="str">
        <x:v>浙江</x:v>
      </x:c>
      <x:c r="E179" s="2" t="str">
        <x:v>温州</x:v>
      </x:c>
      <x:c r="F179" s="2" t="str">
        <x:v>pending</x:v>
      </x:c>
      <x:c r="G179" s="2" t="str">
        <x:v>街道交通</x:v>
      </x:c>
      <x:c r="H179" s="2" t="str">
        <x:v>驾车</x:v>
      </x:c>
      <x:c r="I179" s="9"/>
      <x:c r="J179" s="9"/>
      <x:c r="K179" s="2"/>
      <x:c r="L179" s="9"/>
      <x:c r="M179" s="9"/>
      <x:c r="N179" s="10"/>
      <x:c r="O179" s="7"/>
      <x:c r="P179" s="7" t="str">
        <x:v>单一媒体记者访谈与网络视频可提供车辆碰撞线索；盗窃逃跑、失控事故及主动撞人说法未分清，缺官方结果及独立调查。</x:v>
      </x:c>
      <x:c r="Q179" s="2" t="str">
        <x:v>平阳县</x:v>
      </x:c>
      <x:c r="R179" s="2"/>
      <x:c r="S179" s="2" t="str">
        <x:v>day</x:v>
      </x:c>
      <x:c r="T179" s="2"/>
      <x:c r="U179" s="2"/>
      <x:c r="V179" s="9"/>
      <x:c r="W179" s="9"/>
      <x:c r="X179" s="9"/>
      <x:c r="Y179" s="2"/>
      <x:c r="Z179" s="2"/>
      <x:c r="AA179" s="9"/>
      <x:c r="AB179" s="2"/>
      <x:c r="AC179" s="2"/>
      <x:c r="AD179" s="7"/>
      <x:c r="AE179" s="2" t="str"/>
      <x:c r="AF179" s="2" t="str">
        <x:v>未知</x:v>
      </x:c>
      <x:c r="AG179" s="2"/>
      <x:c r="AH179" s="2"/>
      <x:c r="AI179" s="2"/>
      <x:c r="AJ179" s="2"/>
      <x:c r="AK179" s="2"/>
      <x:c r="AL179" s="10"/>
      <x:c r="AM179" s="10"/>
      <x:c r="AN179" s="10" t="n">
        <x:v>46147</x:v>
      </x:c>
      <x:c r="AO179" s="2" t="str">
        <x:v>单一媒体</x:v>
      </x:c>
      <x:c r="AP179" s="7" t="str">
        <x:v>LXS26B14</x:v>
      </x:c>
      <x:c r="AQ179" s="7" t="str">
        <x:v>{"date":["LXS26B14"],"location":["LXS26B14"],"casualties":[],"classification":["LXS26B14"],"motive":[],"outcome":[]}</x:v>
      </x:c>
      <x:c r="AR179" s="2"/>
      <x:c r="AS179" s="9"/>
      <x:c r="AT179" s="9"/>
      <x:c r="AU179" s="9"/>
      <x:c r="AV179" s="2"/>
      <x:c r="AW179" s="2" t="str">
        <x:v>2026-X补查</x:v>
      </x:c>
      <x:c r="AX179" s="9" t="n">
        <x:v>2026</x:v>
      </x:c>
      <x:c r="AY179" s="10"/>
      <x:c r="AZ179" s="7"/>
      <x:c r="BA179" s="7" t="str">
        <x:v>单一媒体记者访谈与网络视频可提供车辆碰撞线索；盗窃逃跑、失控事故及主动撞人说法未分清，缺官方结果及独立调查。</x:v>
      </x:c>
      <x:c r="BB179" s="7" t="str"/>
      <x:c r="BC179" s="7" t="str">
        <x:v>总死伤未有可靠核定，不把现场躺地人数作为死亡或伤者数。</x:v>
      </x:c>
      <x:c r="BD179" s="2" t="str">
        <x:v>否</x:v>
      </x:c>
      <x:c r="BE179" s="2" t="str">
        <x:v>否</x:v>
      </x:c>
      <x:c r="BF179" s="2" t="str">
        <x:v>媒体调查／研究推断</x:v>
      </x:c>
      <x:c r="BG179" s="2" t="str"/>
      <x:c r="BH179" s="9" t="n">
        <x:v>2026</x:v>
      </x:c>
      <x:c r="BI179" s="9" t="n">
        <x:v>0</x:v>
      </x:c>
      <x:c r="BJ179" s="9" t="n">
        <x:v>0</x:v>
      </x:c>
      <x:c r="BK179" s="9" t="n">
        <x:v>0</x:v>
      </x:c>
      <x:c r="BL179" s="9" t="n">
        <x:v>0</x:v>
      </x:c>
      <x:c r="BM179" s="9" t="n">
        <x:v>1</x:v>
      </x:c>
      <x:c r="BN179" s="9" t="n">
        <x:v>1</x:v>
      </x:c>
      <x:c r="BO179" s="9" t="n">
        <x:v>1</x:v>
      </x:c>
    </x:row>
    <x:row r="180" ht="38" customHeight="1">
      <x:c r="A180" s="2" t="str">
        <x:v>C029</x:v>
      </x:c>
      <x:c r="B180" s="2" t="str">
        <x:v>2026-05-19</x:v>
      </x:c>
      <x:c r="C180" s="7" t="str">
        <x:v>上海环球金融中心日本料理店持刀伤人案</x:v>
      </x:c>
      <x:c r="D180" s="2" t="str">
        <x:v>上海</x:v>
      </x:c>
      <x:c r="E180" s="2" t="str">
        <x:v>上海</x:v>
      </x:c>
      <x:c r="F180" s="2" t="str">
        <x:v>pending</x:v>
      </x:c>
      <x:c r="G180" s="2" t="str">
        <x:v>商业场所</x:v>
      </x:c>
      <x:c r="H180" s="2" t="str">
        <x:v>持械</x:v>
      </x:c>
      <x:c r="I180" s="9" t="n">
        <x:v>0</x:v>
      </x:c>
      <x:c r="J180" s="9" t="n">
        <x:v>3</x:v>
      </x:c>
      <x:c r="K180" s="2"/>
      <x:c r="L180" s="9"/>
      <x:c r="M180" s="9"/>
      <x:c r="N180" s="10" t="n">
        <x:v>46162</x:v>
      </x:c>
      <x:c r="O180" s="7"/>
      <x:c r="P180" s="7" t="str">
        <x:v>官方确认男子闯入餐厅持刀伤3人；尚缺其与伤者是否认识、是否因特定纠纷以及选择对象过程的材料。公开餐厅场景与精神障碍史不能单独证明随机性。</x:v>
      </x:c>
      <x:c r="Q180" s="2" t="str">
        <x:v>浦东新区</x:v>
      </x:c>
      <x:c r="R180" s="2" t="str">
        <x:v>城市</x:v>
      </x:c>
      <x:c r="S180" s="2" t="str">
        <x:v>day</x:v>
      </x:c>
      <x:c r="T180" s="2"/>
      <x:c r="U180" s="2"/>
      <x:c r="V180" s="9"/>
      <x:c r="W180" s="9"/>
      <x:c r="X180" s="9"/>
      <x:c r="Y180" s="2"/>
      <x:c r="Z180" s="2"/>
      <x:c r="AA180" s="9" t="n">
        <x:v>59</x:v>
      </x:c>
      <x:c r="AB180" s="2" t="str">
        <x:v>男</x:v>
      </x:c>
      <x:c r="AC180" s="2"/>
      <x:c r="AD180" s="7"/>
      <x:c r="AE180" s="2" t="str"/>
      <x:c r="AF180" s="2" t="str">
        <x:v>未知</x:v>
      </x:c>
      <x:c r="AG180" s="2" t="str">
        <x:v>警方称有精神疾病治疗史；外交部后确认系精神障碍患者。</x:v>
      </x:c>
      <x:c r="AH180" s="2"/>
      <x:c r="AI180" s="2"/>
      <x:c r="AJ180" s="2"/>
      <x:c r="AK180" s="2" t="str">
        <x:v>嫌疑人被警方制服。</x:v>
      </x:c>
      <x:c r="AL180" s="10"/>
      <x:c r="AM180" s="10"/>
      <x:c r="AN180" s="10" t="n">
        <x:v>46162</x:v>
      </x:c>
      <x:c r="AO180" s="2" t="str">
        <x:v>官方原文</x:v>
      </x:c>
      <x:c r="AP180" s="7" t="str">
        <x:v>CS039；CS040</x:v>
      </x:c>
      <x:c r="AQ180" s="7" t="str">
        <x:v>{"date":["CS039","CS040"],"location":["CS039","CS040"],"casualties":["CS039","CS040"],"classification":["CS039","CS040"],"motive":[],"outcome":["CS039","CS040"]}</x:v>
      </x:c>
      <x:c r="AR180" s="2"/>
      <x:c r="AS180" s="9"/>
      <x:c r="AT180" s="9"/>
      <x:c r="AU180" s="9"/>
      <x:c r="AV180" s="2"/>
      <x:c r="AW180" s="2" t="str">
        <x:v>2026-X补查</x:v>
      </x:c>
      <x:c r="AX180" s="9"/>
      <x:c r="AY180" s="10"/>
      <x:c r="AZ180" s="7"/>
      <x:c r="BA180" s="7" t="str">
        <x:v>官方确认男子闯入餐厅持刀伤3人；尚缺其与伤者是否认识、是否因特定纠纷以及选择对象过程的材料。公开餐厅场景与精神障碍史不能单独证明随机性。</x:v>
      </x:c>
      <x:c r="BB180" s="7" t="str"/>
      <x:c r="BC180" s="7" t="str">
        <x:v>Q2补查未取得可改变类别的新关系证据；维持待核，保留官方伤亡及发生事实。</x:v>
      </x:c>
      <x:c r="BD180" s="2" t="str">
        <x:v>是</x:v>
      </x:c>
      <x:c r="BE180" s="2" t="str">
        <x:v>否</x:v>
      </x:c>
      <x:c r="BF180" s="2" t="str">
        <x:v>媒体调查／研究推断</x:v>
      </x:c>
      <x:c r="BG180" s="2" t="str"/>
      <x:c r="BH180" s="9" t="n">
        <x:v>2026</x:v>
      </x:c>
      <x:c r="BI180" s="9" t="n">
        <x:v>0</x:v>
      </x:c>
      <x:c r="BJ180" s="9" t="n">
        <x:v>3</x:v>
      </x:c>
      <x:c r="BK180" s="9" t="n">
        <x:v>0</x:v>
      </x:c>
      <x:c r="BL180" s="9" t="n">
        <x:v>0</x:v>
      </x:c>
      <x:c r="BM180" s="9" t="n">
        <x:v>1</x:v>
      </x:c>
      <x:c r="BN180" s="9" t="n">
        <x:v>0</x:v>
      </x:c>
      <x:c r="BO180" s="9" t="n">
        <x:v>0</x:v>
      </x:c>
    </x:row>
    <x:row r="181" ht="38" customHeight="1">
      <x:c r="A181" s="2" t="str">
        <x:v>LX26B16</x:v>
      </x:c>
      <x:c r="B181" s="2" t="str">
        <x:v>2026-06</x:v>
      </x:c>
      <x:c r="C181" s="7" t="str">
        <x:v>网传随州大润发路段车辆冲撞线索</x:v>
      </x:c>
      <x:c r="D181" s="2" t="str">
        <x:v>湖北</x:v>
      </x:c>
      <x:c r="E181" s="2" t="str">
        <x:v>随州</x:v>
      </x:c>
      <x:c r="F181" s="2" t="str">
        <x:v>pending</x:v>
      </x:c>
      <x:c r="G181" s="2" t="str">
        <x:v>街道交通</x:v>
      </x:c>
      <x:c r="H181" s="2" t="str">
        <x:v>驾车</x:v>
      </x:c>
      <x:c r="I181" s="9"/>
      <x:c r="J181" s="9"/>
      <x:c r="K181" s="2"/>
      <x:c r="L181" s="9"/>
      <x:c r="M181" s="9"/>
      <x:c r="N181" s="10"/>
      <x:c r="O181" s="7"/>
      <x:c r="P181" s="7" t="str">
        <x:v>8月评论文章回顾6月事件时仅作简短提及，没有具体日期、采访或原始帖文；发生及主动性都未核实。</x:v>
      </x:c>
      <x:c r="Q181" s="2"/>
      <x:c r="R181" s="2"/>
      <x:c r="S181" s="2" t="str">
        <x:v>month</x:v>
      </x:c>
      <x:c r="T181" s="2"/>
      <x:c r="U181" s="2"/>
      <x:c r="V181" s="9"/>
      <x:c r="W181" s="9"/>
      <x:c r="X181" s="9"/>
      <x:c r="Y181" s="2"/>
      <x:c r="Z181" s="2"/>
      <x:c r="AA181" s="9"/>
      <x:c r="AB181" s="2"/>
      <x:c r="AC181" s="2"/>
      <x:c r="AD181" s="7"/>
      <x:c r="AE181" s="2" t="str"/>
      <x:c r="AF181" s="2" t="str">
        <x:v>未知</x:v>
      </x:c>
      <x:c r="AG181" s="2"/>
      <x:c r="AH181" s="2"/>
      <x:c r="AI181" s="2"/>
      <x:c r="AJ181" s="2"/>
      <x:c r="AK181" s="2"/>
      <x:c r="AL181" s="10"/>
      <x:c r="AM181" s="10"/>
      <x:c r="AN181" s="10" t="n">
        <x:v>46251</x:v>
      </x:c>
      <x:c r="AO181" s="2" t="str">
        <x:v>网传待核</x:v>
      </x:c>
      <x:c r="AP181" s="7" t="str">
        <x:v>LXS26B19</x:v>
      </x:c>
      <x:c r="AQ181" s="7" t="str">
        <x:v>{"date":["LXS26B19"],"location":["LXS26B19"],"casualties":[],"classification":["LXS26B19"],"motive":[],"outcome":[]}</x:v>
      </x:c>
      <x:c r="AR181" s="2"/>
      <x:c r="AS181" s="9"/>
      <x:c r="AT181" s="9"/>
      <x:c r="AU181" s="9"/>
      <x:c r="AV181" s="2"/>
      <x:c r="AW181" s="2" t="str">
        <x:v>2026-X补查</x:v>
      </x:c>
      <x:c r="AX181" s="9" t="n">
        <x:v>2026</x:v>
      </x:c>
      <x:c r="AY181" s="10"/>
      <x:c r="AZ181" s="7"/>
      <x:c r="BA181" s="7" t="str">
        <x:v>8月评论文章回顾6月事件时仅作简短提及，没有具体日期、采访或原始帖文；发生及主动性都未核实。</x:v>
      </x:c>
      <x:c r="BB181" s="7" t="str"/>
      <x:c r="BC181" s="7" t="str">
        <x:v>仅录月份，不能以8月17日发布日期代替案发日；待取得原始记录后复查是否与其他事故重复。</x:v>
      </x:c>
      <x:c r="BD181" s="2" t="str">
        <x:v>否</x:v>
      </x:c>
      <x:c r="BE181" s="2" t="str">
        <x:v>否</x:v>
      </x:c>
      <x:c r="BF181" s="2" t="str">
        <x:v>媒体调查／研究推断</x:v>
      </x:c>
      <x:c r="BG181" s="2" t="str"/>
      <x:c r="BH181" s="9" t="n">
        <x:v>2026</x:v>
      </x:c>
      <x:c r="BI181" s="9" t="n">
        <x:v>0</x:v>
      </x:c>
      <x:c r="BJ181" s="9" t="n">
        <x:v>0</x:v>
      </x:c>
      <x:c r="BK181" s="9" t="n">
        <x:v>0</x:v>
      </x:c>
      <x:c r="BL181" s="9" t="n">
        <x:v>0</x:v>
      </x:c>
      <x:c r="BM181" s="9" t="n">
        <x:v>0</x:v>
      </x:c>
      <x:c r="BN181" s="9" t="n">
        <x:v>1</x:v>
      </x:c>
      <x:c r="BO181" s="9" t="n">
        <x:v>1</x:v>
      </x:c>
    </x:row>
    <x:row r="182" ht="38" customHeight="1">
      <x:c r="A182" s="2" t="str">
        <x:v>LX26B17</x:v>
      </x:c>
      <x:c r="B182" s="2" t="str">
        <x:v>2026-06</x:v>
      </x:c>
      <x:c r="C182" s="7" t="str">
        <x:v>网传漯河车辆连续碰撞线索</x:v>
      </x:c>
      <x:c r="D182" s="2" t="str">
        <x:v>河南</x:v>
      </x:c>
      <x:c r="E182" s="2" t="str">
        <x:v>漯河</x:v>
      </x:c>
      <x:c r="F182" s="2" t="str">
        <x:v>pending</x:v>
      </x:c>
      <x:c r="G182" s="2" t="str">
        <x:v>街道交通</x:v>
      </x:c>
      <x:c r="H182" s="2" t="str">
        <x:v>驾车</x:v>
      </x:c>
      <x:c r="I182" s="9"/>
      <x:c r="J182" s="9"/>
      <x:c r="K182" s="2"/>
      <x:c r="L182" s="9"/>
      <x:c r="M182" s="9"/>
      <x:c r="N182" s="10"/>
      <x:c r="O182" s="7"/>
      <x:c r="P182" s="7" t="str">
        <x:v>仅一篇评论文章笼统回顾6月漯河连环撞击，缺地点、具体日期及可验证的原始记录；不足以认定主动袭击。</x:v>
      </x:c>
      <x:c r="Q182" s="2"/>
      <x:c r="R182" s="2"/>
      <x:c r="S182" s="2" t="str">
        <x:v>month</x:v>
      </x:c>
      <x:c r="T182" s="2"/>
      <x:c r="U182" s="2"/>
      <x:c r="V182" s="9"/>
      <x:c r="W182" s="9"/>
      <x:c r="X182" s="9"/>
      <x:c r="Y182" s="2"/>
      <x:c r="Z182" s="2"/>
      <x:c r="AA182" s="9"/>
      <x:c r="AB182" s="2"/>
      <x:c r="AC182" s="2"/>
      <x:c r="AD182" s="7"/>
      <x:c r="AE182" s="2" t="str"/>
      <x:c r="AF182" s="2" t="str">
        <x:v>未知</x:v>
      </x:c>
      <x:c r="AG182" s="2"/>
      <x:c r="AH182" s="2"/>
      <x:c r="AI182" s="2"/>
      <x:c r="AJ182" s="2"/>
      <x:c r="AK182" s="2"/>
      <x:c r="AL182" s="10"/>
      <x:c r="AM182" s="10"/>
      <x:c r="AN182" s="10" t="n">
        <x:v>46251</x:v>
      </x:c>
      <x:c r="AO182" s="2" t="str">
        <x:v>网传待核</x:v>
      </x:c>
      <x:c r="AP182" s="7" t="str">
        <x:v>LXS26B19</x:v>
      </x:c>
      <x:c r="AQ182" s="7" t="str">
        <x:v>{"date":["LXS26B19"],"location":["LXS26B19"],"casualties":[],"classification":["LXS26B19"],"motive":[],"outcome":[]}</x:v>
      </x:c>
      <x:c r="AR182" s="2"/>
      <x:c r="AS182" s="9"/>
      <x:c r="AT182" s="9"/>
      <x:c r="AU182" s="9"/>
      <x:c r="AV182" s="2"/>
      <x:c r="AW182" s="2" t="str">
        <x:v>2026-X补查</x:v>
      </x:c>
      <x:c r="AX182" s="9" t="n">
        <x:v>2026</x:v>
      </x:c>
      <x:c r="AY182" s="10"/>
      <x:c r="AZ182" s="7"/>
      <x:c r="BA182" s="7" t="str">
        <x:v>仅一篇评论文章笼统回顾6月漯河连环撞击，缺地点、具体日期及可验证的原始记录；不足以认定主动袭击。</x:v>
      </x:c>
      <x:c r="BB182" s="7" t="str"/>
      <x:c r="BC182" s="7" t="str">
        <x:v>月份依原文回顾语境保留；伤亡与动机均未知，获得地点后须优先查重。</x:v>
      </x:c>
      <x:c r="BD182" s="2" t="str">
        <x:v>否</x:v>
      </x:c>
      <x:c r="BE182" s="2" t="str">
        <x:v>否</x:v>
      </x:c>
      <x:c r="BF182" s="2" t="str">
        <x:v>媒体调查／研究推断</x:v>
      </x:c>
      <x:c r="BG182" s="2" t="str"/>
      <x:c r="BH182" s="9" t="n">
        <x:v>2026</x:v>
      </x:c>
      <x:c r="BI182" s="9" t="n">
        <x:v>0</x:v>
      </x:c>
      <x:c r="BJ182" s="9" t="n">
        <x:v>0</x:v>
      </x:c>
      <x:c r="BK182" s="9" t="n">
        <x:v>0</x:v>
      </x:c>
      <x:c r="BL182" s="9" t="n">
        <x:v>0</x:v>
      </x:c>
      <x:c r="BM182" s="9" t="n">
        <x:v>0</x:v>
      </x:c>
      <x:c r="BN182" s="9" t="n">
        <x:v>1</x:v>
      </x:c>
      <x:c r="BO182" s="9" t="n">
        <x:v>1</x:v>
      </x:c>
    </x:row>
    <x:row r="183" ht="38" customHeight="1">
      <x:c r="A183" s="2" t="str">
        <x:v>LX26B08</x:v>
      </x:c>
      <x:c r="B183" s="2" t="str">
        <x:v>2026-06-05</x:v>
      </x:c>
      <x:c r="C183" s="7" t="str">
        <x:v>重庆巴南高校同事矛盾定向持刀杀人案</x:v>
      </x:c>
      <x:c r="D183" s="2" t="str">
        <x:v>重庆</x:v>
      </x:c>
      <x:c r="E183" s="2" t="str">
        <x:v>重庆</x:v>
      </x:c>
      <x:c r="F183" s="2" t="str">
        <x:v>excluded</x:v>
      </x:c>
      <x:c r="G183" s="2" t="str">
        <x:v>社区住宅</x:v>
      </x:c>
      <x:c r="H183" s="2" t="str">
        <x:v>持械</x:v>
      </x:c>
      <x:c r="I183" s="9" t="n">
        <x:v>1</x:v>
      </x:c>
      <x:c r="J183" s="9"/>
      <x:c r="K183" s="2"/>
      <x:c r="L183" s="9"/>
      <x:c r="M183" s="9"/>
      <x:c r="N183" s="10" t="n">
        <x:v>46178</x:v>
      </x:c>
      <x:c r="O183" s="7"/>
      <x:c r="P183" s="7" t="str">
        <x:v>警方通报经媒体完整转述，认定同事矛盾引发特定对象袭击；没有向其他无关人员扩展的证据。</x:v>
      </x:c>
      <x:c r="Q183" s="2" t="str">
        <x:v>巴南区</x:v>
      </x:c>
      <x:c r="R183" s="2"/>
      <x:c r="S183" s="2" t="str">
        <x:v>day</x:v>
      </x:c>
      <x:c r="T183" s="2"/>
      <x:c r="U183" s="2"/>
      <x:c r="V183" s="9"/>
      <x:c r="W183" s="9"/>
      <x:c r="X183" s="9"/>
      <x:c r="Y183" s="2"/>
      <x:c r="Z183" s="2" t="str">
        <x:v>同事</x:v>
      </x:c>
      <x:c r="AA183" s="9"/>
      <x:c r="AB183" s="2" t="str">
        <x:v>男</x:v>
      </x:c>
      <x:c r="AC183" s="2"/>
      <x:c r="AD183" s="7" t="str">
        <x:v>警方初查为同事矛盾。</x:v>
      </x:c>
      <x:c r="AE183" s="2" t="str">
        <x:v>工作纠纷</x:v>
      </x:c>
      <x:c r="AF183" s="2" t="str">
        <x:v>警方初步通报</x:v>
      </x:c>
      <x:c r="AG183" s="2"/>
      <x:c r="AH183" s="2"/>
      <x:c r="AI183" s="2"/>
      <x:c r="AJ183" s="2"/>
      <x:c r="AK183" s="2"/>
      <x:c r="AL183" s="10"/>
      <x:c r="AM183" s="10"/>
      <x:c r="AN183" s="10" t="n">
        <x:v>46178</x:v>
      </x:c>
      <x:c r="AO183" s="2" t="str">
        <x:v>官方转载</x:v>
      </x:c>
      <x:c r="AP183" s="7" t="str">
        <x:v>LXS26B09</x:v>
      </x:c>
      <x:c r="AQ183" s="7" t="str">
        <x:v>{"date":["LXS26B09"],"location":["LXS26B09"],"casualties":["LXS26B09"],"classification":["LXS26B09"],"motive":["LXS26B09"],"outcome":[]}</x:v>
      </x:c>
      <x:c r="AR183" s="2"/>
      <x:c r="AS183" s="9"/>
      <x:c r="AT183" s="9"/>
      <x:c r="AU183" s="9"/>
      <x:c r="AV183" s="2"/>
      <x:c r="AW183" s="2" t="str">
        <x:v>2026-X补查</x:v>
      </x:c>
      <x:c r="AX183" s="9" t="n">
        <x:v>2026</x:v>
      </x:c>
      <x:c r="AY183" s="10"/>
      <x:c r="AZ183" s="7"/>
      <x:c r="BA183" s="7"/>
      <x:c r="BB183" s="7" t="str"/>
      <x:c r="BC183" s="7" t="str">
        <x:v>网络以高校教师及副校长身份传播；教育身份不等同针对学校公众的无差别袭击。</x:v>
      </x:c>
      <x:c r="BD183" s="2" t="str">
        <x:v>是</x:v>
      </x:c>
      <x:c r="BE183" s="2" t="str">
        <x:v>否</x:v>
      </x:c>
      <x:c r="BF183" s="2" t="str">
        <x:v>媒体调查／研究推断</x:v>
      </x:c>
      <x:c r="BG183" s="2" t="str">
        <x:v>经济／工作／财产纠纷</x:v>
      </x:c>
      <x:c r="BH183" s="9" t="n">
        <x:v>2026</x:v>
      </x:c>
      <x:c r="BI183" s="9" t="n">
        <x:v>1</x:v>
      </x:c>
      <x:c r="BJ183" s="9" t="n">
        <x:v>0</x:v>
      </x:c>
      <x:c r="BK183" s="9" t="n">
        <x:v>0</x:v>
      </x:c>
      <x:c r="BL183" s="9" t="n">
        <x:v>1</x:v>
      </x:c>
      <x:c r="BM183" s="9" t="n">
        <x:v>1</x:v>
      </x:c>
      <x:c r="BN183" s="9" t="n">
        <x:v>0</x:v>
      </x:c>
      <x:c r="BO183" s="9" t="n">
        <x:v>1</x:v>
      </x:c>
    </x:row>
    <x:row r="184" ht="38" customHeight="1">
      <x:c r="A184" s="2" t="str">
        <x:v>LX26B09</x:v>
      </x:c>
      <x:c r="B184" s="2" t="str">
        <x:v>2026-06-11</x:v>
      </x:c>
      <x:c r="C184" s="7" t="str">
        <x:v>兴安灵湘路爆炸事件</x:v>
      </x:c>
      <x:c r="D184" s="2" t="str">
        <x:v>广西</x:v>
      </x:c>
      <x:c r="E184" s="2" t="str">
        <x:v>桂林</x:v>
      </x:c>
      <x:c r="F184" s="2" t="str">
        <x:v>pending</x:v>
      </x:c>
      <x:c r="G184" s="2" t="str">
        <x:v>街道交通</x:v>
      </x:c>
      <x:c r="H184" s="2" t="str">
        <x:v>爆炸</x:v>
      </x:c>
      <x:c r="I184" s="9" t="n">
        <x:v>7</x:v>
      </x:c>
      <x:c r="J184" s="9"/>
      <x:c r="K184" s="2"/>
      <x:c r="L184" s="9" t="n">
        <x:v>17</x:v>
      </x:c>
      <x:c r="M184" s="9"/>
      <x:c r="N184" s="10" t="n">
        <x:v>46184</x:v>
      </x:c>
      <x:c r="O184" s="7" t="str">
        <x:v>官方称7人死亡、17人送医；另有未计数轻伤人员，故17仅作为伤者下限，不写成完整受伤总数。</x:v>
      </x:c>
      <x:c r="P184" s="7" t="str">
        <x:v>官方确认爆炸和死伤，但未公布爆炸成因、是否人为及目标选择；商铺纠纷或报复社会等互相冲突的网传动机均未核实。</x:v>
      </x:c>
      <x:c r="Q184" s="2" t="str">
        <x:v>兴安县</x:v>
      </x:c>
      <x:c r="R184" s="2"/>
      <x:c r="S184" s="2" t="str">
        <x:v>day</x:v>
      </x:c>
      <x:c r="T184" s="2"/>
      <x:c r="U184" s="2"/>
      <x:c r="V184" s="9"/>
      <x:c r="W184" s="9"/>
      <x:c r="X184" s="9"/>
      <x:c r="Y184" s="2"/>
      <x:c r="Z184" s="2"/>
      <x:c r="AA184" s="9"/>
      <x:c r="AB184" s="2"/>
      <x:c r="AC184" s="2"/>
      <x:c r="AD184" s="7"/>
      <x:c r="AE184" s="2" t="str"/>
      <x:c r="AF184" s="2" t="str">
        <x:v>未知</x:v>
      </x:c>
      <x:c r="AG184" s="2"/>
      <x:c r="AH184" s="2"/>
      <x:c r="AI184" s="2"/>
      <x:c r="AJ184" s="2"/>
      <x:c r="AK184" s="2"/>
      <x:c r="AL184" s="10"/>
      <x:c r="AM184" s="10"/>
      <x:c r="AN184" s="10" t="n">
        <x:v>46184</x:v>
      </x:c>
      <x:c r="AO184" s="2" t="str">
        <x:v>官方转载</x:v>
      </x:c>
      <x:c r="AP184" s="7" t="str">
        <x:v>LXS26B10；LXS26B11</x:v>
      </x:c>
      <x:c r="AQ184" s="7" t="str">
        <x:v>{"date":["LXS26B10"],"location":["LXS26B10"],"casualties":["LXS26B10"],"classification":["LXS26B10","LXS26B11"],"motive":[],"outcome":[]}</x:v>
      </x:c>
      <x:c r="AR184" s="2"/>
      <x:c r="AS184" s="9"/>
      <x:c r="AT184" s="9"/>
      <x:c r="AU184" s="9"/>
      <x:c r="AV184" s="2"/>
      <x:c r="AW184" s="2" t="str">
        <x:v>2026-X补查</x:v>
      </x:c>
      <x:c r="AX184" s="9" t="n">
        <x:v>2026</x:v>
      </x:c>
      <x:c r="AY184" s="10"/>
      <x:c r="AZ184" s="7"/>
      <x:c r="BA184" s="7" t="str">
        <x:v>官方确认爆炸和死伤，但未公布爆炸成因、是否人为及目标选择；商铺纠纷或报复社会等互相冲突的网传动机均未核实。</x:v>
      </x:c>
      <x:c r="BB184" s="7" t="str"/>
      <x:c r="BC184" s="7"/>
      <x:c r="BD184" s="2" t="str">
        <x:v>是</x:v>
      </x:c>
      <x:c r="BE184" s="2" t="str">
        <x:v>否</x:v>
      </x:c>
      <x:c r="BF184" s="2" t="str">
        <x:v>媒体调查／研究推断</x:v>
      </x:c>
      <x:c r="BG184" s="2" t="str"/>
      <x:c r="BH184" s="9" t="n">
        <x:v>2026</x:v>
      </x:c>
      <x:c r="BI184" s="9" t="n">
        <x:v>7</x:v>
      </x:c>
      <x:c r="BJ184" s="9" t="n">
        <x:v>17</x:v>
      </x:c>
      <x:c r="BK184" s="9" t="n">
        <x:v>0</x:v>
      </x:c>
      <x:c r="BL184" s="9" t="n">
        <x:v>0</x:v>
      </x:c>
      <x:c r="BM184" s="9" t="n">
        <x:v>1</x:v>
      </x:c>
      <x:c r="BN184" s="9" t="n">
        <x:v>0</x:v>
      </x:c>
      <x:c r="BO184" s="9" t="n">
        <x:v>1</x:v>
      </x:c>
    </x:row>
    <x:row r="185" ht="38" customHeight="1">
      <x:c r="A185" s="2" t="str">
        <x:v>LX26B20</x:v>
      </x:c>
      <x:c r="B185" s="2" t="str">
        <x:v>2026-06-15</x:v>
      </x:c>
      <x:c r="C185" s="7" t="str">
        <x:v>如东倒车操作不当冲撞丧事现场事故</x:v>
      </x:c>
      <x:c r="D185" s="2" t="str">
        <x:v>江苏</x:v>
      </x:c>
      <x:c r="E185" s="2" t="str">
        <x:v>南通</x:v>
      </x:c>
      <x:c r="F185" s="2" t="str">
        <x:v>excluded</x:v>
      </x:c>
      <x:c r="G185" s="2" t="str">
        <x:v>其他</x:v>
      </x:c>
      <x:c r="H185" s="2" t="str">
        <x:v>驾车</x:v>
      </x:c>
      <x:c r="I185" s="9" t="n">
        <x:v>1</x:v>
      </x:c>
      <x:c r="J185" s="9" t="n">
        <x:v>7</x:v>
      </x:c>
      <x:c r="K185" s="2"/>
      <x:c r="L185" s="9"/>
      <x:c r="M185" s="9"/>
      <x:c r="N185" s="10" t="n">
        <x:v>46188</x:v>
      </x:c>
      <x:c r="O185" s="7" t="str">
        <x:v>截至当日18时1死7伤，其中1人伤势较重；未将伤势较重当作重伤鉴定。</x:v>
      </x:c>
      <x:c r="P185" s="7" t="str">
        <x:v>政府通报明确系倒车操作不当造成，未有主动攻击人群证据。</x:v>
      </x:c>
      <x:c r="Q185" s="2" t="str">
        <x:v>如东县</x:v>
      </x:c>
      <x:c r="R185" s="2"/>
      <x:c r="S185" s="2" t="str">
        <x:v>day</x:v>
      </x:c>
      <x:c r="T185" s="2"/>
      <x:c r="U185" s="2"/>
      <x:c r="V185" s="9"/>
      <x:c r="W185" s="9"/>
      <x:c r="X185" s="9"/>
      <x:c r="Y185" s="2"/>
      <x:c r="Z185" s="2"/>
      <x:c r="AA185" s="9"/>
      <x:c r="AB185" s="2"/>
      <x:c r="AC185" s="2"/>
      <x:c r="AD185" s="7"/>
      <x:c r="AE185" s="2" t="str"/>
      <x:c r="AF185" s="2" t="str">
        <x:v>未知</x:v>
      </x:c>
      <x:c r="AG185" s="2"/>
      <x:c r="AH185" s="2"/>
      <x:c r="AI185" s="2"/>
      <x:c r="AJ185" s="2"/>
      <x:c r="AK185" s="2" t="str">
        <x:v>涉事驾驶人被控制，事故调查及善后进行中。</x:v>
      </x:c>
      <x:c r="AL185" s="10"/>
      <x:c r="AM185" s="10"/>
      <x:c r="AN185" s="10" t="n">
        <x:v>46188</x:v>
      </x:c>
      <x:c r="AO185" s="2" t="str">
        <x:v>官方转载</x:v>
      </x:c>
      <x:c r="AP185" s="7" t="str">
        <x:v>LXS26B29</x:v>
      </x:c>
      <x:c r="AQ185" s="7" t="str">
        <x:v>{"date":["LXS26B29"],"location":["LXS26B29"],"casualties":["LXS26B29"],"classification":["LXS26B29"],"motive":[],"outcome":["LXS26B29"]}</x:v>
      </x:c>
      <x:c r="AR185" s="2"/>
      <x:c r="AS185" s="9"/>
      <x:c r="AT185" s="9"/>
      <x:c r="AU185" s="9"/>
      <x:c r="AV185" s="2"/>
      <x:c r="AW185" s="2" t="str">
        <x:v>2026-X补查</x:v>
      </x:c>
      <x:c r="AX185" s="9" t="n">
        <x:v>2026</x:v>
      </x:c>
      <x:c r="AY185" s="10"/>
      <x:c r="AZ185" s="7"/>
      <x:c r="BA185" s="7"/>
      <x:c r="BB185" s="7" t="str"/>
      <x:c r="BC185" s="7"/>
      <x:c r="BD185" s="2" t="str">
        <x:v>是</x:v>
      </x:c>
      <x:c r="BE185" s="2" t="str">
        <x:v>否</x:v>
      </x:c>
      <x:c r="BF185" s="2" t="str">
        <x:v>媒体调查／研究推断</x:v>
      </x:c>
      <x:c r="BG185" s="2" t="str"/>
      <x:c r="BH185" s="9" t="n">
        <x:v>2026</x:v>
      </x:c>
      <x:c r="BI185" s="9" t="n">
        <x:v>1</x:v>
      </x:c>
      <x:c r="BJ185" s="9" t="n">
        <x:v>7</x:v>
      </x:c>
      <x:c r="BK185" s="9" t="n">
        <x:v>0</x:v>
      </x:c>
      <x:c r="BL185" s="9" t="n">
        <x:v>0</x:v>
      </x:c>
      <x:c r="BM185" s="9" t="n">
        <x:v>1</x:v>
      </x:c>
      <x:c r="BN185" s="9" t="n">
        <x:v>0</x:v>
      </x:c>
      <x:c r="BO185" s="9" t="n">
        <x:v>0</x:v>
      </x:c>
    </x:row>
    <x:row r="186" ht="38" customHeight="1">
      <x:c r="A186" s="2" t="str">
        <x:v>LX26B21</x:v>
      </x:c>
      <x:c r="B186" s="2" t="str">
        <x:v>2026-06-15</x:v>
      </x:c>
      <x:c r="C186" s="7" t="str">
        <x:v>灌南醉驾碰撞环卫工人交通事故</x:v>
      </x:c>
      <x:c r="D186" s="2" t="str">
        <x:v>江苏</x:v>
      </x:c>
      <x:c r="E186" s="2" t="str">
        <x:v>连云港</x:v>
      </x:c>
      <x:c r="F186" s="2" t="str">
        <x:v>excluded</x:v>
      </x:c>
      <x:c r="G186" s="2" t="str">
        <x:v>街道交通</x:v>
      </x:c>
      <x:c r="H186" s="2" t="str">
        <x:v>驾车</x:v>
      </x:c>
      <x:c r="I186" s="9" t="n">
        <x:v>2</x:v>
      </x:c>
      <x:c r="J186" s="9" t="n">
        <x:v>1</x:v>
      </x:c>
      <x:c r="K186" s="2"/>
      <x:c r="L186" s="9"/>
      <x:c r="M186" s="9"/>
      <x:c r="N186" s="10" t="n">
        <x:v>46189</x:v>
      </x:c>
      <x:c r="O186" s="7" t="str">
        <x:v>两名环卫工死亡，受伤1人为肇事车辆同车人员；分别说明身份以免误当行人伤者。</x:v>
      </x:c>
      <x:c r="P186" s="7" t="str">
        <x:v>警方通报为醉酒驾驶导致道路交通事故，未见蓄意袭击公众的证据。</x:v>
      </x:c>
      <x:c r="Q186" s="2" t="str">
        <x:v>灌南县</x:v>
      </x:c>
      <x:c r="R186" s="2"/>
      <x:c r="S186" s="2" t="str">
        <x:v>day</x:v>
      </x:c>
      <x:c r="T186" s="2"/>
      <x:c r="U186" s="2"/>
      <x:c r="V186" s="9"/>
      <x:c r="W186" s="9"/>
      <x:c r="X186" s="9"/>
      <x:c r="Y186" s="2"/>
      <x:c r="Z186" s="2" t="str">
        <x:v>路边作业的环卫工及同车乘员</x:v>
      </x:c>
      <x:c r="AA186" s="9" t="n">
        <x:v>23</x:v>
      </x:c>
      <x:c r="AB186" s="2" t="str">
        <x:v>女</x:v>
      </x:c>
      <x:c r="AC186" s="2"/>
      <x:c r="AD186" s="7"/>
      <x:c r="AE186" s="2" t="str"/>
      <x:c r="AF186" s="2" t="str">
        <x:v>未知</x:v>
      </x:c>
      <x:c r="AG186" s="2"/>
      <x:c r="AH186" s="2"/>
      <x:c r="AI186" s="2"/>
      <x:c r="AJ186" s="2"/>
      <x:c r="AK186" s="2" t="str">
        <x:v>司机被依法刑事拘留。</x:v>
      </x:c>
      <x:c r="AL186" s="10"/>
      <x:c r="AM186" s="10"/>
      <x:c r="AN186" s="10" t="n">
        <x:v>46189</x:v>
      </x:c>
      <x:c r="AO186" s="2" t="str">
        <x:v>官方转载</x:v>
      </x:c>
      <x:c r="AP186" s="7" t="str">
        <x:v>LXS26B30</x:v>
      </x:c>
      <x:c r="AQ186" s="7" t="str">
        <x:v>{"date":["LXS26B30"],"location":["LXS26B30"],"casualties":["LXS26B30"],"classification":["LXS26B30"],"motive":[],"outcome":["LXS26B30"]}</x:v>
      </x:c>
      <x:c r="AR186" s="2"/>
      <x:c r="AS186" s="9"/>
      <x:c r="AT186" s="9"/>
      <x:c r="AU186" s="9"/>
      <x:c r="AV186" s="2"/>
      <x:c r="AW186" s="2" t="str">
        <x:v>2026-X补查</x:v>
      </x:c>
      <x:c r="AX186" s="9" t="n">
        <x:v>2026</x:v>
      </x:c>
      <x:c r="AY186" s="10"/>
      <x:c r="AZ186" s="7"/>
      <x:c r="BA186" s="7"/>
      <x:c r="BB186" s="7" t="str"/>
      <x:c r="BC186" s="7"/>
      <x:c r="BD186" s="2" t="str">
        <x:v>是</x:v>
      </x:c>
      <x:c r="BE186" s="2" t="str">
        <x:v>否</x:v>
      </x:c>
      <x:c r="BF186" s="2" t="str">
        <x:v>媒体调查／研究推断</x:v>
      </x:c>
      <x:c r="BG186" s="2" t="str"/>
      <x:c r="BH186" s="9" t="n">
        <x:v>2026</x:v>
      </x:c>
      <x:c r="BI186" s="9" t="n">
        <x:v>2</x:v>
      </x:c>
      <x:c r="BJ186" s="9" t="n">
        <x:v>1</x:v>
      </x:c>
      <x:c r="BK186" s="9" t="n">
        <x:v>0</x:v>
      </x:c>
      <x:c r="BL186" s="9" t="n">
        <x:v>0</x:v>
      </x:c>
      <x:c r="BM186" s="9" t="n">
        <x:v>1</x:v>
      </x:c>
      <x:c r="BN186" s="9" t="n">
        <x:v>0</x:v>
      </x:c>
      <x:c r="BO186" s="9" t="n">
        <x:v>0</x:v>
      </x:c>
    </x:row>
    <x:row r="187" ht="38" customHeight="1">
      <x:c r="A187" s="2" t="str">
        <x:v>LX26B06</x:v>
      </x:c>
      <x:c r="B187" s="2" t="str">
        <x:v>2026-06-19</x:v>
      </x:c>
      <x:c r="C187" s="7" t="str">
        <x:v>网传无锡车展模特遭持刀袭击事件</x:v>
      </x:c>
      <x:c r="D187" s="2" t="str">
        <x:v>江苏</x:v>
      </x:c>
      <x:c r="E187" s="2" t="str">
        <x:v>无锡</x:v>
      </x:c>
      <x:c r="F187" s="2" t="str">
        <x:v>pending</x:v>
      </x:c>
      <x:c r="G187" s="2" t="str">
        <x:v>商业场所</x:v>
      </x:c>
      <x:c r="H187" s="2" t="str">
        <x:v>持械</x:v>
      </x:c>
      <x:c r="I187" s="9"/>
      <x:c r="J187" s="9"/>
      <x:c r="K187" s="2"/>
      <x:c r="L187" s="9"/>
      <x:c r="M187" s="9"/>
      <x:c r="N187" s="10"/>
      <x:c r="O187" s="7"/>
      <x:c r="P187" s="7" t="str">
        <x:v>可检出的李老师帖文镜像摘要称车展发生持刀袭击，但原帖不可读、镜像正文访问失败，尚缺独立发生验证和袭击者与受害者关系。</x:v>
      </x:c>
      <x:c r="Q187" s="2"/>
      <x:c r="R187" s="2"/>
      <x:c r="S187" s="2" t="str">
        <x:v>day</x:v>
      </x:c>
      <x:c r="T187" s="2"/>
      <x:c r="U187" s="2"/>
      <x:c r="V187" s="9"/>
      <x:c r="W187" s="9"/>
      <x:c r="X187" s="9"/>
      <x:c r="Y187" s="2"/>
      <x:c r="Z187" s="2"/>
      <x:c r="AA187" s="9"/>
      <x:c r="AB187" s="2"/>
      <x:c r="AC187" s="2"/>
      <x:c r="AD187" s="7"/>
      <x:c r="AE187" s="2" t="str"/>
      <x:c r="AF187" s="2" t="str">
        <x:v>未知</x:v>
      </x:c>
      <x:c r="AG187" s="2"/>
      <x:c r="AH187" s="2"/>
      <x:c r="AI187" s="2"/>
      <x:c r="AJ187" s="2"/>
      <x:c r="AK187" s="2"/>
      <x:c r="AL187" s="10"/>
      <x:c r="AM187" s="10"/>
      <x:c r="AN187" s="10" t="n">
        <x:v>46194</x:v>
      </x:c>
      <x:c r="AO187" s="2" t="str">
        <x:v>网传待核</x:v>
      </x:c>
      <x:c r="AP187" s="7" t="str">
        <x:v>LXS26B06；LXS26B07</x:v>
      </x:c>
      <x:c r="AQ187" s="7" t="str">
        <x:v>{"date":["LXS26B06","LXS26B07"],"location":["LXS26B06","LXS26B07"],"casualties":[],"classification":["LXS26B06","LXS26B07"],"motive":[],"outcome":[]}</x:v>
      </x:c>
      <x:c r="AR187" s="2"/>
      <x:c r="AS187" s="9"/>
      <x:c r="AT187" s="9"/>
      <x:c r="AU187" s="9"/>
      <x:c r="AV187" s="2"/>
      <x:c r="AW187" s="2" t="str">
        <x:v>2026-X补查</x:v>
      </x:c>
      <x:c r="AX187" s="9" t="n">
        <x:v>2026</x:v>
      </x:c>
      <x:c r="AY187" s="10"/>
      <x:c r="AZ187" s="7"/>
      <x:c r="BA187" s="7" t="str">
        <x:v>可检出的李老师帖文镜像摘要称车展发生持刀袭击，但原帖不可读、镜像正文访问失败，尚缺独立发生验证和袭击者与受害者关系。</x:v>
      </x:c>
      <x:c r="BB187" s="7" t="str">
        <x:v>https://x.com/whyyoutouzhele/status/2068635036157644991</x:v>
      </x:c>
      <x:c r="BC187" s="7" t="str">
        <x:v>6月19日为摘要所述案发日，6月21日为发帖日；两者分开。仅社媒线索，不因场景公开就自动列核心。</x:v>
      </x:c>
      <x:c r="BD187" s="2" t="str">
        <x:v>否</x:v>
      </x:c>
      <x:c r="BE187" s="2" t="str">
        <x:v>否</x:v>
      </x:c>
      <x:c r="BF187" s="2" t="str">
        <x:v>媒体调查／研究推断</x:v>
      </x:c>
      <x:c r="BG187" s="2" t="str"/>
      <x:c r="BH187" s="9" t="n">
        <x:v>2026</x:v>
      </x:c>
      <x:c r="BI187" s="9" t="n">
        <x:v>0</x:v>
      </x:c>
      <x:c r="BJ187" s="9" t="n">
        <x:v>0</x:v>
      </x:c>
      <x:c r="BK187" s="9" t="n">
        <x:v>0</x:v>
      </x:c>
      <x:c r="BL187" s="9" t="n">
        <x:v>0</x:v>
      </x:c>
      <x:c r="BM187" s="9" t="n">
        <x:v>1</x:v>
      </x:c>
      <x:c r="BN187" s="9" t="n">
        <x:v>1</x:v>
      </x:c>
      <x:c r="BO187" s="9" t="n">
        <x:v>1</x:v>
      </x:c>
    </x:row>
    <x:row r="188" ht="38" customHeight="1">
      <x:c r="A188" s="2" t="str">
        <x:v>LX26B10</x:v>
      </x:c>
      <x:c r="B188" s="2" t="str">
        <x:v>2026-06-19</x:v>
      </x:c>
      <x:c r="C188" s="7" t="str">
        <x:v>郑州宏达国际车业广场经营纠纷放火案</x:v>
      </x:c>
      <x:c r="D188" s="2" t="str">
        <x:v>河南</x:v>
      </x:c>
      <x:c r="E188" s="2" t="str">
        <x:v>郑州</x:v>
      </x:c>
      <x:c r="F188" s="2" t="str">
        <x:v>pending</x:v>
      </x:c>
      <x:c r="G188" s="2" t="str">
        <x:v>商业场所</x:v>
      </x:c>
      <x:c r="H188" s="2" t="str">
        <x:v>纵火</x:v>
      </x:c>
      <x:c r="I188" s="9" t="n">
        <x:v>2</x:v>
      </x:c>
      <x:c r="J188" s="9" t="n">
        <x:v>2</x:v>
      </x:c>
      <x:c r="K188" s="2"/>
      <x:c r="L188" s="9"/>
      <x:c r="M188" s="9"/>
      <x:c r="N188" s="10" t="n">
        <x:v>46225</x:v>
      </x:c>
      <x:c r="O188" s="7"/>
      <x:c r="P188" s="7" t="str">
        <x:v>7月22日警方确认因经营纠纷纵火，但未披露死伤者与嫌疑人关系、原纠纷目标和起火时人员分布；商场受损及多人死伤本身不足以证明攻击无关公众。</x:v>
      </x:c>
      <x:c r="Q188" s="2" t="str">
        <x:v>金水区</x:v>
      </x:c>
      <x:c r="R188" s="2"/>
      <x:c r="S188" s="2" t="str">
        <x:v>day</x:v>
      </x:c>
      <x:c r="T188" s="2"/>
      <x:c r="U188" s="2"/>
      <x:c r="V188" s="9"/>
      <x:c r="W188" s="9"/>
      <x:c r="X188" s="9"/>
      <x:c r="Y188" s="2"/>
      <x:c r="Z188" s="2"/>
      <x:c r="AA188" s="9"/>
      <x:c r="AB188" s="2"/>
      <x:c r="AC188" s="2"/>
      <x:c r="AD188" s="7" t="str">
        <x:v>警方查明因经营纠纷实施放火。</x:v>
      </x:c>
      <x:c r="AE188" s="2" t="str">
        <x:v>经营纠纷</x:v>
      </x:c>
      <x:c r="AF188" s="2" t="str">
        <x:v>警方初步通报</x:v>
      </x:c>
      <x:c r="AG188" s="2"/>
      <x:c r="AH188" s="2"/>
      <x:c r="AI188" s="2"/>
      <x:c r="AJ188" s="2"/>
      <x:c r="AK188" s="2" t="str">
        <x:v>涉嫌放火罪被检察机关批准逮捕。</x:v>
      </x:c>
      <x:c r="AL188" s="10"/>
      <x:c r="AM188" s="10"/>
      <x:c r="AN188" s="10" t="n">
        <x:v>46225</x:v>
      </x:c>
      <x:c r="AO188" s="2" t="str">
        <x:v>官方转载</x:v>
      </x:c>
      <x:c r="AP188" s="7" t="str">
        <x:v>LXS26B12；LXS26B13</x:v>
      </x:c>
      <x:c r="AQ188" s="7" t="str">
        <x:v>{"date":["LXS26B12","LXS26B13"],"location":["LXS26B12","LXS26B13"],"casualties":["LXS26B12","LXS26B13"],"classification":["LXS26B12","LXS26B13"],"motive":["LXS26B12","LXS26B13"],"outcome":["LXS26B12","LXS26B13"]}</x:v>
      </x:c>
      <x:c r="AR188" s="2"/>
      <x:c r="AS188" s="9"/>
      <x:c r="AT188" s="9"/>
      <x:c r="AU188" s="9"/>
      <x:c r="AV188" s="2"/>
      <x:c r="AW188" s="2" t="str">
        <x:v>2026-X补查</x:v>
      </x:c>
      <x:c r="AX188" s="9" t="n">
        <x:v>2026</x:v>
      </x:c>
      <x:c r="AY188" s="10"/>
      <x:c r="AZ188" s="7"/>
      <x:c r="BA188" s="7" t="str">
        <x:v>7月22日警方确认因经营纠纷纵火，但未披露死伤者与嫌疑人关系、原纠纷目标和起火时人员分布；商场受损及多人死伤本身不足以证明攻击无关公众。</x:v>
      </x:c>
      <x:c r="BB188" s="7" t="str"/>
      <x:c r="BC188" s="7" t="str">
        <x:v>可确认主动纵火，不足以确定核心或扩展类别；本条待核针对关系而非否认发生。</x:v>
      </x:c>
      <x:c r="BD188" s="2" t="str">
        <x:v>是</x:v>
      </x:c>
      <x:c r="BE188" s="2" t="str">
        <x:v>否</x:v>
      </x:c>
      <x:c r="BF188" s="2" t="str">
        <x:v>媒体调查／研究推断</x:v>
      </x:c>
      <x:c r="BG188" s="2" t="str">
        <x:v>其他已披露背景</x:v>
      </x:c>
      <x:c r="BH188" s="9" t="n">
        <x:v>2026</x:v>
      </x:c>
      <x:c r="BI188" s="9" t="n">
        <x:v>2</x:v>
      </x:c>
      <x:c r="BJ188" s="9" t="n">
        <x:v>2</x:v>
      </x:c>
      <x:c r="BK188" s="9" t="n">
        <x:v>0</x:v>
      </x:c>
      <x:c r="BL188" s="9" t="n">
        <x:v>1</x:v>
      </x:c>
      <x:c r="BM188" s="9" t="n">
        <x:v>1</x:v>
      </x:c>
      <x:c r="BN188" s="9" t="n">
        <x:v>0</x:v>
      </x:c>
      <x:c r="BO188" s="9" t="n">
        <x:v>0</x:v>
      </x:c>
    </x:row>
    <x:row r="189" ht="38" customHeight="1">
      <x:c r="A189" s="2" t="str">
        <x:v>LX26B22</x:v>
      </x:c>
      <x:c r="B189" s="2" t="str">
        <x:v>2026-06-26</x:v>
      </x:c>
      <x:c r="C189" s="7" t="str">
        <x:v>网传天津津南广场附近持刀斗殴线索</x:v>
      </x:c>
      <x:c r="D189" s="2" t="str">
        <x:v>天津</x:v>
      </x:c>
      <x:c r="E189" s="2" t="str">
        <x:v>天津</x:v>
      </x:c>
      <x:c r="F189" s="2" t="str">
        <x:v>pending</x:v>
      </x:c>
      <x:c r="G189" s="2" t="str">
        <x:v>街道交通</x:v>
      </x:c>
      <x:c r="H189" s="2" t="str">
        <x:v>持械</x:v>
      </x:c>
      <x:c r="I189" s="9"/>
      <x:c r="J189" s="9"/>
      <x:c r="K189" s="2"/>
      <x:c r="L189" s="9"/>
      <x:c r="M189" s="9"/>
      <x:c r="N189" s="10"/>
      <x:c r="O189" s="7"/>
      <x:c r="P189" s="7" t="str">
        <x:v>单一社媒帖文描述多人相互冲突及疑似持刀，没有独立发生验证，也未说明是否涉及原纠纷之外的旁人。</x:v>
      </x:c>
      <x:c r="Q189" s="2" t="str">
        <x:v>津南区</x:v>
      </x:c>
      <x:c r="R189" s="2"/>
      <x:c r="S189" s="2" t="str">
        <x:v>day</x:v>
      </x:c>
      <x:c r="T189" s="2"/>
      <x:c r="U189" s="2"/>
      <x:c r="V189" s="9"/>
      <x:c r="W189" s="9"/>
      <x:c r="X189" s="9"/>
      <x:c r="Y189" s="2"/>
      <x:c r="Z189" s="2"/>
      <x:c r="AA189" s="9"/>
      <x:c r="AB189" s="2"/>
      <x:c r="AC189" s="2"/>
      <x:c r="AD189" s="7"/>
      <x:c r="AE189" s="2" t="str"/>
      <x:c r="AF189" s="2" t="str">
        <x:v>未知</x:v>
      </x:c>
      <x:c r="AG189" s="2"/>
      <x:c r="AH189" s="2"/>
      <x:c r="AI189" s="2"/>
      <x:c r="AJ189" s="2"/>
      <x:c r="AK189" s="2"/>
      <x:c r="AL189" s="10"/>
      <x:c r="AM189" s="10"/>
      <x:c r="AN189" s="10" t="n">
        <x:v>46200</x:v>
      </x:c>
      <x:c r="AO189" s="2" t="str">
        <x:v>网传待核</x:v>
      </x:c>
      <x:c r="AP189" s="7" t="str">
        <x:v>LXS26B33</x:v>
      </x:c>
      <x:c r="AQ189" s="7" t="str">
        <x:v>{"date":["LXS26B33"],"location":["LXS26B33"],"casualties":[],"classification":["LXS26B33"],"motive":[],"outcome":[]}</x:v>
      </x:c>
      <x:c r="AR189" s="2"/>
      <x:c r="AS189" s="9"/>
      <x:c r="AT189" s="9"/>
      <x:c r="AU189" s="9"/>
      <x:c r="AV189" s="2"/>
      <x:c r="AW189" s="2" t="str">
        <x:v>2026-X补查</x:v>
      </x:c>
      <x:c r="AX189" s="9" t="n">
        <x:v>2026</x:v>
      </x:c>
      <x:c r="AY189" s="10"/>
      <x:c r="AZ189" s="7"/>
      <x:c r="BA189" s="7" t="str">
        <x:v>单一社媒帖文描述多人相互冲突及疑似持刀，没有独立发生验证，也未说明是否涉及原纠纷之外的旁人。</x:v>
      </x:c>
      <x:c r="BB189" s="7" t="str">
        <x:v>https://x.com/whyyoutouzhele/status/2070839570053095833</x:v>
      </x:c>
      <x:c r="BC189" s="7" t="str">
        <x:v>保留为社媒待核；不能把街头斗殴自动视为无差别攻击。</x:v>
      </x:c>
      <x:c r="BD189" s="2" t="str">
        <x:v>否</x:v>
      </x:c>
      <x:c r="BE189" s="2" t="str">
        <x:v>否</x:v>
      </x:c>
      <x:c r="BF189" s="2" t="str">
        <x:v>媒体调查／研究推断</x:v>
      </x:c>
      <x:c r="BG189" s="2" t="str"/>
      <x:c r="BH189" s="9" t="n">
        <x:v>2026</x:v>
      </x:c>
      <x:c r="BI189" s="9" t="n">
        <x:v>0</x:v>
      </x:c>
      <x:c r="BJ189" s="9" t="n">
        <x:v>0</x:v>
      </x:c>
      <x:c r="BK189" s="9" t="n">
        <x:v>0</x:v>
      </x:c>
      <x:c r="BL189" s="9" t="n">
        <x:v>0</x:v>
      </x:c>
      <x:c r="BM189" s="9" t="n">
        <x:v>1</x:v>
      </x:c>
      <x:c r="BN189" s="9" t="n">
        <x:v>1</x:v>
      </x:c>
      <x:c r="BO189" s="9" t="n">
        <x:v>1</x:v>
      </x:c>
    </x:row>
    <x:row r="190" ht="38" customHeight="1">
      <x:c r="A190" s="2" t="str">
        <x:v>LX26B23</x:v>
      </x:c>
      <x:c r="B190" s="2" t="str">
        <x:v>2026-06-26</x:v>
      </x:c>
      <x:c r="C190" s="7" t="str">
        <x:v>北京中信大厦轻型飞机撞楼事件</x:v>
      </x:c>
      <x:c r="D190" s="2" t="str">
        <x:v>北京</x:v>
      </x:c>
      <x:c r="E190" s="2" t="str">
        <x:v>北京</x:v>
      </x:c>
      <x:c r="F190" s="2" t="str">
        <x:v>pending</x:v>
      </x:c>
      <x:c r="G190" s="2" t="str">
        <x:v>商业场所</x:v>
      </x:c>
      <x:c r="H190" s="2" t="str">
        <x:v>其他</x:v>
      </x:c>
      <x:c r="I190" s="9" t="n">
        <x:v>0</x:v>
      </x:c>
      <x:c r="J190" s="9" t="n">
        <x:v>13</x:v>
      </x:c>
      <x:c r="K190" s="2"/>
      <x:c r="L190" s="9"/>
      <x:c r="M190" s="9"/>
      <x:c r="N190" s="10" t="n">
        <x:v>46200</x:v>
      </x:c>
      <x:c r="O190" s="7" t="str">
        <x:v>官方公布唯一死亡者为驾驶员，单列在行为人死亡字段；其余现场13人受伤。行为人是否构成主动袭击者仍待分类核实。</x:v>
      </x:c>
      <x:c r="P190" s="7" t="str">
        <x:v>官方确认危害公共安全案件并披露自杀意念，未充分说明驾驶者是否主动以楼内公众为攻击对象。自杀故意不等于伤人故意，保留待核。</x:v>
      </x:c>
      <x:c r="Q190" s="2" t="str">
        <x:v>朝阳区</x:v>
      </x:c>
      <x:c r="R190" s="2"/>
      <x:c r="S190" s="2" t="str">
        <x:v>day</x:v>
      </x:c>
      <x:c r="T190" s="2"/>
      <x:c r="U190" s="2"/>
      <x:c r="V190" s="9"/>
      <x:c r="W190" s="9" t="n">
        <x:v>1</x:v>
      </x:c>
      <x:c r="X190" s="9"/>
      <x:c r="Y190" s="2"/>
      <x:c r="Z190" s="2"/>
      <x:c r="AA190" s="9" t="n">
        <x:v>66</x:v>
      </x:c>
      <x:c r="AB190" s="2" t="str">
        <x:v>男</x:v>
      </x:c>
      <x:c r="AC190" s="2" t="str">
        <x:v>自由职业者</x:v>
      </x:c>
      <x:c r="AD190" s="7" t="str">
        <x:v>官方调查指个人原因，并称日记多次表露自杀想法；未据此认定报复社会。</x:v>
      </x:c>
      <x:c r="AE190" s="2" t="str"/>
      <x:c r="AF190" s="2" t="str">
        <x:v>警方初步通报</x:v>
      </x:c>
      <x:c r="AG190" s="2" t="str">
        <x:v>官方通报描述长期失眠焦虑，未见疾病诊断结论。</x:v>
      </x:c>
      <x:c r="AH190" s="2"/>
      <x:c r="AI190" s="2"/>
      <x:c r="AJ190" s="2"/>
      <x:c r="AK190" s="2" t="str">
        <x:v>驾驶员死亡；官方调查认定为危害公共安全案件。</x:v>
      </x:c>
      <x:c r="AL190" s="10"/>
      <x:c r="AM190" s="10"/>
      <x:c r="AN190" s="10" t="n">
        <x:v>46205</x:v>
      </x:c>
      <x:c r="AO190" s="2" t="str">
        <x:v>官方转载</x:v>
      </x:c>
      <x:c r="AP190" s="7" t="str">
        <x:v>LXS26B34；LXS26B35；LXS26B36</x:v>
      </x:c>
      <x:c r="AQ190" s="7" t="str">
        <x:v>{"date":["LXS26B35"],"location":["LXS26B34","LXS26B35"],"casualties":["LXS26B35"],"classification":["LXS26B34","LXS26B35"],"motive":["LXS26B34"],"outcome":["LXS26B34"]}</x:v>
      </x:c>
      <x:c r="AR190" s="2"/>
      <x:c r="AS190" s="9"/>
      <x:c r="AT190" s="9"/>
      <x:c r="AU190" s="9"/>
      <x:c r="AV190" s="2"/>
      <x:c r="AW190" s="2" t="str">
        <x:v>2026-X补查</x:v>
      </x:c>
      <x:c r="AX190" s="9" t="n">
        <x:v>2026</x:v>
      </x:c>
      <x:c r="AY190" s="10"/>
      <x:c r="AZ190" s="7"/>
      <x:c r="BA190" s="7" t="str">
        <x:v>官方确认危害公共安全案件并披露自杀意念，未充分说明驾驶者是否主动以楼内公众为攻击对象。自杀故意不等于伤人故意，保留待核。</x:v>
      </x:c>
      <x:c r="BB190" s="7" t="str">
        <x:v>https://x.com/whyyoutouzhele/status/2070491014016520660</x:v>
      </x:c>
      <x:c r="BC190" s="7" t="str">
        <x:v>网络关于驾驶员与中信雇佣或纠纷关系没有可核来源，不纳入事实。</x:v>
      </x:c>
      <x:c r="BD190" s="2" t="str">
        <x:v>是</x:v>
      </x:c>
      <x:c r="BE190" s="2" t="str">
        <x:v>否</x:v>
      </x:c>
      <x:c r="BF190" s="2" t="str">
        <x:v>媒体调查／研究推断</x:v>
      </x:c>
      <x:c r="BG190" s="2" t="str"/>
      <x:c r="BH190" s="9" t="n">
        <x:v>2026</x:v>
      </x:c>
      <x:c r="BI190" s="9" t="n">
        <x:v>0</x:v>
      </x:c>
      <x:c r="BJ190" s="9" t="n">
        <x:v>13</x:v>
      </x:c>
      <x:c r="BK190" s="9" t="n">
        <x:v>0</x:v>
      </x:c>
      <x:c r="BL190" s="9" t="n">
        <x:v>1</x:v>
      </x:c>
      <x:c r="BM190" s="9" t="n">
        <x:v>1</x:v>
      </x:c>
      <x:c r="BN190" s="9" t="n">
        <x:v>0</x:v>
      </x:c>
      <x:c r="BO190" s="9" t="n">
        <x:v>0</x:v>
      </x:c>
    </x:row>
    <x:row r="191" ht="38" customHeight="1">
      <x:c r="A191" s="2" t="str">
        <x:v>LX26B24</x:v>
      </x:c>
      <x:c r="B191" s="2" t="str">
        <x:v>2026-06-27</x:v>
      </x:c>
      <x:c r="C191" s="7" t="str">
        <x:v>网传寿县京师幼儿园遭袭线索</x:v>
      </x:c>
      <x:c r="D191" s="2" t="str">
        <x:v>安徽</x:v>
      </x:c>
      <x:c r="E191" s="2" t="str">
        <x:v>淮南</x:v>
      </x:c>
      <x:c r="F191" s="2" t="str">
        <x:v>pending</x:v>
      </x:c>
      <x:c r="G191" s="2" t="str">
        <x:v>校园及周边</x:v>
      </x:c>
      <x:c r="H191" s="2" t="str">
        <x:v>其他</x:v>
      </x:c>
      <x:c r="I191" s="9"/>
      <x:c r="J191" s="9"/>
      <x:c r="K191" s="2"/>
      <x:c r="L191" s="9"/>
      <x:c r="M191" s="9"/>
      <x:c r="N191" s="10"/>
      <x:c r="O191" s="7"/>
      <x:c r="P191" s="7" t="str">
        <x:v>只检出论坛标题，发生本身、作案方式、伤亡和受害对象均不可核实；学校名称不能代替发生或随机性证据。</x:v>
      </x:c>
      <x:c r="Q191" s="2" t="str">
        <x:v>寿县</x:v>
      </x:c>
      <x:c r="R191" s="2"/>
      <x:c r="S191" s="2" t="str">
        <x:v>day</x:v>
      </x:c>
      <x:c r="T191" s="2"/>
      <x:c r="U191" s="2"/>
      <x:c r="V191" s="9"/>
      <x:c r="W191" s="9"/>
      <x:c r="X191" s="9"/>
      <x:c r="Y191" s="2"/>
      <x:c r="Z191" s="2"/>
      <x:c r="AA191" s="9"/>
      <x:c r="AB191" s="2"/>
      <x:c r="AC191" s="2"/>
      <x:c r="AD191" s="7"/>
      <x:c r="AE191" s="2" t="str"/>
      <x:c r="AF191" s="2" t="str">
        <x:v>未知</x:v>
      </x:c>
      <x:c r="AG191" s="2"/>
      <x:c r="AH191" s="2"/>
      <x:c r="AI191" s="2"/>
      <x:c r="AJ191" s="2"/>
      <x:c r="AK191" s="2"/>
      <x:c r="AL191" s="10"/>
      <x:c r="AM191" s="10"/>
      <x:c r="AN191" s="10" t="n">
        <x:v>46201</x:v>
      </x:c>
      <x:c r="AO191" s="2" t="str">
        <x:v>网传待核</x:v>
      </x:c>
      <x:c r="AP191" s="7" t="str">
        <x:v>LXS26B37</x:v>
      </x:c>
      <x:c r="AQ191" s="7" t="str">
        <x:v>{"date":["LXS26B37"],"location":["LXS26B37"],"casualties":[],"classification":["LXS26B37"],"motive":[],"outcome":[]}</x:v>
      </x:c>
      <x:c r="AR191" s="2"/>
      <x:c r="AS191" s="9"/>
      <x:c r="AT191" s="9"/>
      <x:c r="AU191" s="9"/>
      <x:c r="AV191" s="2"/>
      <x:c r="AW191" s="2" t="str">
        <x:v>2026-X补查</x:v>
      </x:c>
      <x:c r="AX191" s="9" t="n">
        <x:v>2026</x:v>
      </x:c>
      <x:c r="AY191" s="10"/>
      <x:c r="AZ191" s="7"/>
      <x:c r="BA191" s="7" t="str">
        <x:v>只检出论坛标题，发生本身、作案方式、伤亡和受害对象均不可核实；学校名称不能代替发生或随机性证据。</x:v>
      </x:c>
      <x:c r="BB191" s="7" t="str"/>
      <x:c r="BC191" s="7" t="str">
        <x:v>补查命中2025年2月另一幼儿园校车起火旧案，时间和地点不符，未用旧案充当本条证据。</x:v>
      </x:c>
      <x:c r="BD191" s="2" t="str">
        <x:v>否</x:v>
      </x:c>
      <x:c r="BE191" s="2" t="str">
        <x:v>否</x:v>
      </x:c>
      <x:c r="BF191" s="2" t="str">
        <x:v>媒体调查／研究推断</x:v>
      </x:c>
      <x:c r="BG191" s="2" t="str"/>
      <x:c r="BH191" s="9" t="n">
        <x:v>2026</x:v>
      </x:c>
      <x:c r="BI191" s="9" t="n">
        <x:v>0</x:v>
      </x:c>
      <x:c r="BJ191" s="9" t="n">
        <x:v>0</x:v>
      </x:c>
      <x:c r="BK191" s="9" t="n">
        <x:v>0</x:v>
      </x:c>
      <x:c r="BL191" s="9" t="n">
        <x:v>0</x:v>
      </x:c>
      <x:c r="BM191" s="9" t="n">
        <x:v>1</x:v>
      </x:c>
      <x:c r="BN191" s="9" t="n">
        <x:v>1</x:v>
      </x:c>
      <x:c r="BO191" s="9" t="n">
        <x:v>1</x:v>
      </x:c>
    </x:row>
    <x:row r="192" ht="38" customHeight="1">
      <x:c r="A192" s="2" t="str">
        <x:v>LX26B07</x:v>
      </x:c>
      <x:c r="B192" s="2" t="str">
        <x:v>2026-06-28</x:v>
      </x:c>
      <x:c r="C192" s="7" t="str">
        <x:v>网传滕州和馨园及世茂商城附近持刀伤人线索</x:v>
      </x:c>
      <x:c r="D192" s="2" t="str">
        <x:v>山东</x:v>
      </x:c>
      <x:c r="E192" s="2" t="str">
        <x:v>枣庄</x:v>
      </x:c>
      <x:c r="F192" s="2" t="str">
        <x:v>pending</x:v>
      </x:c>
      <x:c r="G192" s="2" t="str">
        <x:v>街道交通</x:v>
      </x:c>
      <x:c r="H192" s="2" t="str">
        <x:v>持械</x:v>
      </x:c>
      <x:c r="I192" s="9"/>
      <x:c r="J192" s="9"/>
      <x:c r="K192" s="2"/>
      <x:c r="L192" s="9"/>
      <x:c r="M192" s="9"/>
      <x:c r="N192" s="10"/>
      <x:c r="O192" s="7"/>
      <x:c r="P192" s="7" t="str">
        <x:v>报道仅汇总网传影像和说法，家庭纠纷、继续攻击街头旁人及伤亡均没有独立证实；缺足以确定是否同一连续案件的证据。</x:v>
      </x:c>
      <x:c r="Q192" s="2" t="str">
        <x:v>滕州市</x:v>
      </x:c>
      <x:c r="R192" s="2"/>
      <x:c r="S192" s="2" t="str">
        <x:v>day</x:v>
      </x:c>
      <x:c r="T192" s="2"/>
      <x:c r="U192" s="2"/>
      <x:c r="V192" s="9"/>
      <x:c r="W192" s="9"/>
      <x:c r="X192" s="9"/>
      <x:c r="Y192" s="2"/>
      <x:c r="Z192" s="2"/>
      <x:c r="AA192" s="9"/>
      <x:c r="AB192" s="2"/>
      <x:c r="AC192" s="2"/>
      <x:c r="AD192" s="7"/>
      <x:c r="AE192" s="2" t="str"/>
      <x:c r="AF192" s="2" t="str">
        <x:v>未知</x:v>
      </x:c>
      <x:c r="AG192" s="2"/>
      <x:c r="AH192" s="2"/>
      <x:c r="AI192" s="2"/>
      <x:c r="AJ192" s="2"/>
      <x:c r="AK192" s="2"/>
      <x:c r="AL192" s="10"/>
      <x:c r="AM192" s="10"/>
      <x:c r="AN192" s="10" t="n">
        <x:v>46206</x:v>
      </x:c>
      <x:c r="AO192" s="2" t="str">
        <x:v>网传待核</x:v>
      </x:c>
      <x:c r="AP192" s="7" t="str">
        <x:v>LXS26B08</x:v>
      </x:c>
      <x:c r="AQ192" s="7" t="str">
        <x:v>{"date":["LXS26B08"],"location":["LXS26B08"],"casualties":[],"classification":["LXS26B08"],"motive":[],"outcome":[]}</x:v>
      </x:c>
      <x:c r="AR192" s="2"/>
      <x:c r="AS192" s="9"/>
      <x:c r="AT192" s="9"/>
      <x:c r="AU192" s="9"/>
      <x:c r="AV192" s="2"/>
      <x:c r="AW192" s="2" t="str">
        <x:v>2026-X补查</x:v>
      </x:c>
      <x:c r="AX192" s="9" t="n">
        <x:v>2026</x:v>
      </x:c>
      <x:c r="AY192" s="10"/>
      <x:c r="AZ192" s="7"/>
      <x:c r="BA192" s="7" t="str">
        <x:v>报道仅汇总网传影像和说法，家庭纠纷、继续攻击街头旁人及伤亡均没有独立证实；缺足以确定是否同一连续案件的证据。</x:v>
      </x:c>
      <x:c r="BB192" s="7" t="str"/>
      <x:c r="BC192" s="7" t="str">
        <x:v>有关先杀家人后伤路人的说法只作为待查方向；日期、地点亦依单源报道保留，不能纳入已核实统计。</x:v>
      </x:c>
      <x:c r="BD192" s="2" t="str">
        <x:v>否</x:v>
      </x:c>
      <x:c r="BE192" s="2" t="str">
        <x:v>否</x:v>
      </x:c>
      <x:c r="BF192" s="2" t="str">
        <x:v>媒体调查／研究推断</x:v>
      </x:c>
      <x:c r="BG192" s="2" t="str"/>
      <x:c r="BH192" s="9" t="n">
        <x:v>2026</x:v>
      </x:c>
      <x:c r="BI192" s="9" t="n">
        <x:v>0</x:v>
      </x:c>
      <x:c r="BJ192" s="9" t="n">
        <x:v>0</x:v>
      </x:c>
      <x:c r="BK192" s="9" t="n">
        <x:v>0</x:v>
      </x:c>
      <x:c r="BL192" s="9" t="n">
        <x:v>0</x:v>
      </x:c>
      <x:c r="BM192" s="9" t="n">
        <x:v>1</x:v>
      </x:c>
      <x:c r="BN192" s="9" t="n">
        <x:v>1</x:v>
      </x:c>
      <x:c r="BO192" s="9" t="n">
        <x:v>1</x:v>
      </x:c>
    </x:row>
    <x:row r="193" ht="38" customHeight="1">
      <x:c r="A193" s="2" t="str">
        <x:v>LX26C08</x:v>
      </x:c>
      <x:c r="B193" s="2" t="str">
        <x:v>2026-07-09</x:v>
      </x:c>
      <x:c r="C193" s="7" t="str">
        <x:v>晋江辉腾鞋业厂房火灾及纵火传言</x:v>
      </x:c>
      <x:c r="D193" s="2" t="str">
        <x:v>福建</x:v>
      </x:c>
      <x:c r="E193" s="2" t="str">
        <x:v>泉州</x:v>
      </x:c>
      <x:c r="F193" s="2" t="str">
        <x:v>pending</x:v>
      </x:c>
      <x:c r="G193" s="2" t="str">
        <x:v>其他</x:v>
      </x:c>
      <x:c r="H193" s="2"/>
      <x:c r="I193" s="9" t="n">
        <x:v>28</x:v>
      </x:c>
      <x:c r="J193" s="9"/>
      <x:c r="K193" s="2"/>
      <x:c r="L193" s="9"/>
      <x:c r="M193" s="9"/>
      <x:c r="N193" s="10" t="n">
        <x:v>46213</x:v>
      </x:c>
      <x:c r="O193" s="7" t="str">
        <x:v>28名死者包含送医后不治的2人，未另列受伤存活者人数；不采用社媒夸大数字。</x:v>
      </x:c>
      <x:c r="P193" s="7" t="str">
        <x:v>政府发布会确认重大厂房火灾及伤亡，但起火原因尚未查清；网上纵火／报复说法缺少可验证行为人、起火过程或调查结论。只列待核火灾线索。</x:v>
      </x:c>
      <x:c r="Q193" s="2" t="str">
        <x:v>晋江市</x:v>
      </x:c>
      <x:c r="R193" s="2"/>
      <x:c r="S193" s="2" t="str">
        <x:v>day</x:v>
      </x:c>
      <x:c r="T193" s="2"/>
      <x:c r="U193" s="2"/>
      <x:c r="V193" s="9"/>
      <x:c r="W193" s="9"/>
      <x:c r="X193" s="9"/>
      <x:c r="Y193" s="2"/>
      <x:c r="Z193" s="2" t="str">
        <x:v>厂内人员；没有已认定的袭击者</x:v>
      </x:c>
      <x:c r="AA193" s="9"/>
      <x:c r="AB193" s="2"/>
      <x:c r="AC193" s="2"/>
      <x:c r="AD193" s="7"/>
      <x:c r="AE193" s="2" t="str"/>
      <x:c r="AF193" s="2" t="str">
        <x:v>未知</x:v>
      </x:c>
      <x:c r="AG193" s="2"/>
      <x:c r="AH193" s="2"/>
      <x:c r="AI193" s="2"/>
      <x:c r="AJ193" s="2" t="str">
        <x:v>消防疏散及救援</x:v>
      </x:c>
      <x:c r="AK193" s="2" t="str">
        <x:v>政府启动事故调查和善后。</x:v>
      </x:c>
      <x:c r="AL193" s="10"/>
      <x:c r="AM193" s="10"/>
      <x:c r="AN193" s="10" t="n">
        <x:v>46220</x:v>
      </x:c>
      <x:c r="AO193" s="2" t="str">
        <x:v>官方原文</x:v>
      </x:c>
      <x:c r="AP193" s="7" t="str">
        <x:v>LXS26C18；LXS26C20</x:v>
      </x:c>
      <x:c r="AQ193" s="7" t="str">
        <x:v>{"date":["LXS26C18"],"location":["LXS26C18"],"casualties":["LXS26C18"],"classification":["LXS26C18","LXS26C20"],"motive":[],"outcome":["LXS26C18"]}</x:v>
      </x:c>
      <x:c r="AR193" s="2"/>
      <x:c r="AS193" s="9"/>
      <x:c r="AT193" s="9"/>
      <x:c r="AU193" s="9"/>
      <x:c r="AV193" s="2"/>
      <x:c r="AW193" s="2" t="str">
        <x:v>2026-X补查</x:v>
      </x:c>
      <x:c r="AX193" s="9" t="n">
        <x:v>2026</x:v>
      </x:c>
      <x:c r="AY193" s="10"/>
      <x:c r="AZ193" s="7"/>
      <x:c r="BA193" s="7" t="str">
        <x:v>政府发布会确认重大厂房火灾及伤亡，但起火原因尚未查清；网上纵火／报复说法缺少可验证行为人、起火过程或调查结论。只列待核火灾线索。</x:v>
      </x:c>
      <x:c r="BB193" s="7" t="str"/>
      <x:c r="BC193" s="7" t="str">
        <x:v>method留空表示没有证实纵火，不将报道火灾直接编码为主动攻击。</x:v>
      </x:c>
      <x:c r="BD193" s="2" t="str">
        <x:v>是</x:v>
      </x:c>
      <x:c r="BE193" s="2" t="str">
        <x:v>否</x:v>
      </x:c>
      <x:c r="BF193" s="2" t="str">
        <x:v>火灾事实官方／主动袭击待核</x:v>
      </x:c>
      <x:c r="BG193" s="2" t="str"/>
      <x:c r="BH193" s="9" t="n">
        <x:v>2026</x:v>
      </x:c>
      <x:c r="BI193" s="9" t="n">
        <x:v>28</x:v>
      </x:c>
      <x:c r="BJ193" s="9" t="n">
        <x:v>0</x:v>
      </x:c>
      <x:c r="BK193" s="9" t="n">
        <x:v>0</x:v>
      </x:c>
      <x:c r="BL193" s="9" t="n">
        <x:v>0</x:v>
      </x:c>
      <x:c r="BM193" s="9" t="n">
        <x:v>1</x:v>
      </x:c>
      <x:c r="BN193" s="9" t="n">
        <x:v>0</x:v>
      </x:c>
      <x:c r="BO193" s="9" t="n">
        <x:v>1</x:v>
      </x:c>
    </x:row>
    <x:row r="194" ht="38" customHeight="1">
      <x:c r="A194" s="2" t="str">
        <x:v>LX26C01</x:v>
      </x:c>
      <x:c r="B194" s="2" t="str">
        <x:v>2026-07-11</x:v>
      </x:c>
      <x:c r="C194" s="7" t="str">
        <x:v>网传厦门东浦路持刀伤人事件</x:v>
      </x:c>
      <x:c r="D194" s="2" t="str">
        <x:v>福建</x:v>
      </x:c>
      <x:c r="E194" s="2" t="str">
        <x:v>厦门</x:v>
      </x:c>
      <x:c r="F194" s="2" t="str">
        <x:v>pending</x:v>
      </x:c>
      <x:c r="G194" s="2" t="str">
        <x:v>街道交通</x:v>
      </x:c>
      <x:c r="H194" s="2" t="str">
        <x:v>持械</x:v>
      </x:c>
      <x:c r="I194" s="9"/>
      <x:c r="J194" s="9"/>
      <x:c r="K194" s="2"/>
      <x:c r="L194" s="9"/>
      <x:c r="M194" s="9"/>
      <x:c r="N194" s="10"/>
      <x:c r="O194" s="7" t="str">
        <x:v>不采用网传死亡或多人行凶人数。</x:v>
      </x:c>
      <x:c r="P194" s="7" t="str">
        <x:v>只有网络影像汇编可见；影像拍摄日期、袭击经过、攻击对象关系和伤亡均无官方或独立采集材料印证。</x:v>
      </x:c>
      <x:c r="Q194" s="2" t="str">
        <x:v>思明区</x:v>
      </x:c>
      <x:c r="R194" s="2" t="str">
        <x:v>城市</x:v>
      </x:c>
      <x:c r="S194" s="2" t="str">
        <x:v>day</x:v>
      </x:c>
      <x:c r="T194" s="2"/>
      <x:c r="U194" s="2"/>
      <x:c r="V194" s="9"/>
      <x:c r="W194" s="9"/>
      <x:c r="X194" s="9"/>
      <x:c r="Y194" s="2"/>
      <x:c r="Z194" s="2"/>
      <x:c r="AA194" s="9"/>
      <x:c r="AB194" s="2" t="str">
        <x:v>男</x:v>
      </x:c>
      <x:c r="AC194" s="2"/>
      <x:c r="AD194" s="7"/>
      <x:c r="AE194" s="2" t="str"/>
      <x:c r="AF194" s="2" t="str">
        <x:v>未知</x:v>
      </x:c>
      <x:c r="AG194" s="2"/>
      <x:c r="AH194" s="2"/>
      <x:c r="AI194" s="2"/>
      <x:c r="AJ194" s="2"/>
      <x:c r="AK194" s="2"/>
      <x:c r="AL194" s="10"/>
      <x:c r="AM194" s="10"/>
      <x:c r="AN194" s="10" t="n">
        <x:v>46217</x:v>
      </x:c>
      <x:c r="AO194" s="2" t="str">
        <x:v>网传待核</x:v>
      </x:c>
      <x:c r="AP194" s="7" t="str">
        <x:v>LXS26C08</x:v>
      </x:c>
      <x:c r="AQ194" s="7" t="str">
        <x:v>{"date":["LXS26C08"],"location":["LXS26C08"],"casualties":[],"classification":["LXS26C08"],"motive":[],"outcome":[]}</x:v>
      </x:c>
      <x:c r="AR194" s="2"/>
      <x:c r="AS194" s="9"/>
      <x:c r="AT194" s="9"/>
      <x:c r="AU194" s="9"/>
      <x:c r="AV194" s="2"/>
      <x:c r="AW194" s="2" t="str">
        <x:v>2026-X补查</x:v>
      </x:c>
      <x:c r="AX194" s="9" t="n">
        <x:v>2026</x:v>
      </x:c>
      <x:c r="AY194" s="10"/>
      <x:c r="AZ194" s="7"/>
      <x:c r="BA194" s="7" t="str">
        <x:v>只有网络影像汇编可见；影像拍摄日期、袭击经过、攻击对象关系和伤亡均无官方或独立采集材料印证。</x:v>
      </x:c>
      <x:c r="BB194" s="7" t="str"/>
      <x:c r="BC194" s="7" t="str">
        <x:v>案发日采用文中网传7月11日，未经独立验证；7月14日是文章发布时间。</x:v>
      </x:c>
      <x:c r="BD194" s="2" t="str">
        <x:v>否</x:v>
      </x:c>
      <x:c r="BE194" s="2" t="str">
        <x:v>否</x:v>
      </x:c>
      <x:c r="BF194" s="2" t="str">
        <x:v>网传／待核</x:v>
      </x:c>
      <x:c r="BG194" s="2" t="str"/>
      <x:c r="BH194" s="9" t="n">
        <x:v>2026</x:v>
      </x:c>
      <x:c r="BI194" s="9" t="n">
        <x:v>0</x:v>
      </x:c>
      <x:c r="BJ194" s="9" t="n">
        <x:v>0</x:v>
      </x:c>
      <x:c r="BK194" s="9" t="n">
        <x:v>0</x:v>
      </x:c>
      <x:c r="BL194" s="9" t="n">
        <x:v>0</x:v>
      </x:c>
      <x:c r="BM194" s="9" t="n">
        <x:v>1</x:v>
      </x:c>
      <x:c r="BN194" s="9" t="n">
        <x:v>1</x:v>
      </x:c>
      <x:c r="BO194" s="9" t="n">
        <x:v>1</x:v>
      </x:c>
    </x:row>
    <x:row r="195" ht="38" customHeight="1">
      <x:c r="A195" s="2" t="str">
        <x:v>C028</x:v>
      </x:c>
      <x:c r="B195" s="2" t="str">
        <x:v>2026-07-13</x:v>
      </x:c>
      <x:c r="C195" s="7" t="str">
        <x:v>杭州钱塘甜品店门口持刀杀人案</x:v>
      </x:c>
      <x:c r="D195" s="2" t="str">
        <x:v>浙江</x:v>
      </x:c>
      <x:c r="E195" s="2" t="str">
        <x:v>杭州</x:v>
      </x:c>
      <x:c r="F195" s="2" t="str">
        <x:v>pending</x:v>
      </x:c>
      <x:c r="G195" s="2" t="str">
        <x:v>商业场所</x:v>
      </x:c>
      <x:c r="H195" s="2" t="str">
        <x:v>持械</x:v>
      </x:c>
      <x:c r="I195" s="9" t="n">
        <x:v>1</x:v>
      </x:c>
      <x:c r="J195" s="9"/>
      <x:c r="K195" s="2"/>
      <x:c r="L195" s="9"/>
      <x:c r="M195" s="9"/>
      <x:c r="N195" s="10" t="n">
        <x:v>46216</x:v>
      </x:c>
      <x:c r="O195" s="7" t="str">
        <x:v>警方确认甜品店店主死亡1人；未单列其他非致命伤人数，injured由0改为null。</x:v>
      </x:c>
      <x:c r="P195" s="7" t="str">
        <x:v>确认店主遇害，但双方关系与攻击选择机制未披露；暂不能认定随机或特定纠纷。</x:v>
      </x:c>
      <x:c r="Q195" s="2" t="str">
        <x:v>钱塘区</x:v>
      </x:c>
      <x:c r="R195" s="2" t="str">
        <x:v>城市</x:v>
      </x:c>
      <x:c r="S195" s="2" t="str">
        <x:v>day</x:v>
      </x:c>
      <x:c r="T195" s="2"/>
      <x:c r="U195" s="2"/>
      <x:c r="V195" s="9"/>
      <x:c r="W195" s="9"/>
      <x:c r="X195" s="9"/>
      <x:c r="Y195" s="2"/>
      <x:c r="Z195" s="2"/>
      <x:c r="AA195" s="9" t="n">
        <x:v>54</x:v>
      </x:c>
      <x:c r="AB195" s="2" t="str">
        <x:v>男</x:v>
      </x:c>
      <x:c r="AC195" s="2" t="str">
        <x:v>纺织厂员工</x:v>
      </x:c>
      <x:c r="AD195" s="7"/>
      <x:c r="AE195" s="2" t="str"/>
      <x:c r="AF195" s="2" t="str">
        <x:v>未知</x:v>
      </x:c>
      <x:c r="AG195" s="2"/>
      <x:c r="AH195" s="2"/>
      <x:c r="AI195" s="2"/>
      <x:c r="AJ195" s="2"/>
      <x:c r="AK195" s="2" t="str">
        <x:v>金某某当日上午被抓获并刑拘。</x:v>
      </x:c>
      <x:c r="AL195" s="10"/>
      <x:c r="AM195" s="10"/>
      <x:c r="AN195" s="10" t="n">
        <x:v>46216</x:v>
      </x:c>
      <x:c r="AO195" s="2" t="str">
        <x:v>官方转载</x:v>
      </x:c>
      <x:c r="AP195" s="7" t="str">
        <x:v>CS038；LXS26C08</x:v>
      </x:c>
      <x:c r="AQ195" s="7" t="str">
        <x:v>{"date":["CS038"],"location":["CS038"],"casualties":["CS038"],"classification":["CS038"],"motive":[],"outcome":["CS038"]}</x:v>
      </x:c>
      <x:c r="AR195" s="2"/>
      <x:c r="AS195" s="9"/>
      <x:c r="AT195" s="9"/>
      <x:c r="AU195" s="9"/>
      <x:c r="AV195" s="2"/>
      <x:c r="AW195" s="2" t="str">
        <x:v>2026-X补查</x:v>
      </x:c>
      <x:c r="AX195" s="9"/>
      <x:c r="AY195" s="10"/>
      <x:c r="AZ195" s="7"/>
      <x:c r="BA195" s="7" t="str">
        <x:v>确认店主遇害，但双方关系与攻击选择机制未披露；暂不能认定随机或特定纠纷。</x:v>
      </x:c>
      <x:c r="BB195" s="7" t="str"/>
      <x:c r="BC195" s="7" t="str">
        <x:v>同日网传叙述误称外卖员冲突及有人在逃，与警方公布54岁纺织厂员工当日上午被抓不符；这些传言不用于关系、职业或结局认定。现场为商业场所本身不足证明随机。</x:v>
      </x:c>
      <x:c r="BD195" s="2" t="str">
        <x:v>是</x:v>
      </x:c>
      <x:c r="BE195" s="2" t="str">
        <x:v>否</x:v>
      </x:c>
      <x:c r="BF195" s="2" t="str">
        <x:v>媒体调查／研究推断</x:v>
      </x:c>
      <x:c r="BG195" s="2" t="str"/>
      <x:c r="BH195" s="9" t="n">
        <x:v>2026</x:v>
      </x:c>
      <x:c r="BI195" s="9" t="n">
        <x:v>1</x:v>
      </x:c>
      <x:c r="BJ195" s="9" t="n">
        <x:v>0</x:v>
      </x:c>
      <x:c r="BK195" s="9" t="n">
        <x:v>0</x:v>
      </x:c>
      <x:c r="BL195" s="9" t="n">
        <x:v>0</x:v>
      </x:c>
      <x:c r="BM195" s="9" t="n">
        <x:v>1</x:v>
      </x:c>
      <x:c r="BN195" s="9" t="n">
        <x:v>0</x:v>
      </x:c>
      <x:c r="BO195" s="9" t="n">
        <x:v>1</x:v>
      </x:c>
    </x:row>
    <x:row r="196" ht="38" customHeight="1">
      <x:c r="A196" s="2" t="str">
        <x:v>LX26C15</x:v>
      </x:c>
      <x:c r="B196" s="2" t="str">
        <x:v>2026-07-14</x:v>
      </x:c>
      <x:c r="C196" s="7" t="str">
        <x:v>漳州古雷新港城拾荒老人被殴打案</x:v>
      </x:c>
      <x:c r="D196" s="2" t="str">
        <x:v>福建</x:v>
      </x:c>
      <x:c r="E196" s="2" t="str">
        <x:v>漳州</x:v>
      </x:c>
      <x:c r="F196" s="2" t="str">
        <x:v>pending</x:v>
      </x:c>
      <x:c r="G196" s="2" t="str">
        <x:v>社区住宅</x:v>
      </x:c>
      <x:c r="H196" s="2" t="str">
        <x:v>持械</x:v>
      </x:c>
      <x:c r="I196" s="9"/>
      <x:c r="J196" s="9" t="n">
        <x:v>1</x:v>
      </x:c>
      <x:c r="K196" s="2"/>
      <x:c r="L196" s="9"/>
      <x:c r="M196" s="9"/>
      <x:c r="N196" s="10" t="n">
        <x:v>46220</x:v>
      </x:c>
      <x:c r="O196" s="7" t="str">
        <x:v>警方称伤情稳定，未给法定重伤鉴定。</x:v>
      </x:c>
      <x:c r="P196" s="7" t="str">
        <x:v>警方确认殴打及一名伤者；尚无可读材料说明施暴者与老人此前关系、起因及选择机制，不能仅因老人弱势而认定随机。</x:v>
      </x:c>
      <x:c r="Q196" s="2" t="str">
        <x:v>古雷港经济开发区</x:v>
      </x:c>
      <x:c r="R196" s="2"/>
      <x:c r="S196" s="2" t="str">
        <x:v>day</x:v>
      </x:c>
      <x:c r="T196" s="2"/>
      <x:c r="U196" s="2"/>
      <x:c r="V196" s="9"/>
      <x:c r="W196" s="9"/>
      <x:c r="X196" s="9"/>
      <x:c r="Y196" s="2"/>
      <x:c r="Z196" s="2" t="str">
        <x:v>87岁拾荒老人，与施暴者关系未知</x:v>
      </x:c>
      <x:c r="AA196" s="9" t="n">
        <x:v>35</x:v>
      </x:c>
      <x:c r="AB196" s="2" t="str">
        <x:v>女</x:v>
      </x:c>
      <x:c r="AC196" s="2"/>
      <x:c r="AD196" s="7"/>
      <x:c r="AE196" s="2" t="str"/>
      <x:c r="AF196" s="2" t="str">
        <x:v>未知</x:v>
      </x:c>
      <x:c r="AG196" s="2"/>
      <x:c r="AH196" s="2"/>
      <x:c r="AI196" s="2"/>
      <x:c r="AJ196" s="2" t="str">
        <x:v>警方到场控制嫌疑人、安排送医</x:v>
      </x:c>
      <x:c r="AK196" s="2" t="str">
        <x:v>案件办理中。</x:v>
      </x:c>
      <x:c r="AL196" s="10"/>
      <x:c r="AM196" s="10"/>
      <x:c r="AN196" s="10" t="n">
        <x:v>46220</x:v>
      </x:c>
      <x:c r="AO196" s="2" t="str">
        <x:v>官方转载</x:v>
      </x:c>
      <x:c r="AP196" s="7" t="str">
        <x:v>LXS26C26</x:v>
      </x:c>
      <x:c r="AQ196" s="7" t="str">
        <x:v>{"date":["LXS26C26"],"location":["LXS26C26"],"casualties":["LXS26C26"],"classification":["LXS26C26"],"motive":[],"outcome":["LXS26C26"]}</x:v>
      </x:c>
      <x:c r="AR196" s="2"/>
      <x:c r="AS196" s="9"/>
      <x:c r="AT196" s="9"/>
      <x:c r="AU196" s="9"/>
      <x:c r="AV196" s="2"/>
      <x:c r="AW196" s="2" t="str">
        <x:v>2026-X补查</x:v>
      </x:c>
      <x:c r="AX196" s="9" t="n">
        <x:v>2026</x:v>
      </x:c>
      <x:c r="AY196" s="10"/>
      <x:c r="AZ196" s="7"/>
      <x:c r="BA196" s="7" t="str">
        <x:v>警方确认殴打及一名伤者；尚无可读材料说明施暴者与老人此前关系、起因及选择机制，不能仅因老人弱势而认定随机。</x:v>
      </x:c>
      <x:c r="BB196" s="7" t="str"/>
      <x:c r="BC196" s="7"/>
      <x:c r="BD196" s="2" t="str">
        <x:v>是</x:v>
      </x:c>
      <x:c r="BE196" s="2" t="str">
        <x:v>否</x:v>
      </x:c>
      <x:c r="BF196" s="2" t="str">
        <x:v>警方确认发生／对象关系待核</x:v>
      </x:c>
      <x:c r="BG196" s="2" t="str"/>
      <x:c r="BH196" s="9" t="n">
        <x:v>2026</x:v>
      </x:c>
      <x:c r="BI196" s="9" t="n">
        <x:v>0</x:v>
      </x:c>
      <x:c r="BJ196" s="9" t="n">
        <x:v>1</x:v>
      </x:c>
      <x:c r="BK196" s="9" t="n">
        <x:v>0</x:v>
      </x:c>
      <x:c r="BL196" s="9" t="n">
        <x:v>0</x:v>
      </x:c>
      <x:c r="BM196" s="9" t="n">
        <x:v>1</x:v>
      </x:c>
      <x:c r="BN196" s="9" t="n">
        <x:v>1</x:v>
      </x:c>
      <x:c r="BO196" s="9" t="n">
        <x:v>0</x:v>
      </x:c>
    </x:row>
    <x:row r="197" ht="38" customHeight="1">
      <x:c r="A197" s="2" t="str">
        <x:v>LX26C10</x:v>
      </x:c>
      <x:c r="B197" s="2" t="str">
        <x:v>2026-07-15</x:v>
      </x:c>
      <x:c r="C197" s="7" t="str">
        <x:v>莆田灵川镇烟花爆竹仓库纵火线索</x:v>
      </x:c>
      <x:c r="D197" s="2" t="str">
        <x:v>福建</x:v>
      </x:c>
      <x:c r="E197" s="2" t="str">
        <x:v>莆田</x:v>
      </x:c>
      <x:c r="F197" s="2" t="str">
        <x:v>pending</x:v>
      </x:c>
      <x:c r="G197" s="2" t="str">
        <x:v>其他</x:v>
      </x:c>
      <x:c r="H197" s="2" t="str">
        <x:v>纵火</x:v>
      </x:c>
      <x:c r="I197" s="9" t="n">
        <x:v>0</x:v>
      </x:c>
      <x:c r="J197" s="9" t="n">
        <x:v>0</x:v>
      </x:c>
      <x:c r="K197" s="2"/>
      <x:c r="L197" s="9"/>
      <x:c r="M197" s="9"/>
      <x:c r="N197" s="10" t="n">
        <x:v>46218</x:v>
      </x:c>
      <x:c r="O197" s="7" t="str">
        <x:v>缓存稿引当地政府称无人员伤亡；需在可访问正文再次核对。</x:v>
      </x:c>
      <x:c r="P197" s="7" t="str">
        <x:v>新京报采访部门称人为纵火，但本轮只读取到搜索缓存完整短稿，原文访问失败；是否以现场人员或无关公众为攻击对象亦不明，暂列待核。</x:v>
      </x:c>
      <x:c r="Q197" s="2" t="str">
        <x:v>城厢区</x:v>
      </x:c>
      <x:c r="R197" s="2"/>
      <x:c r="S197" s="2" t="str">
        <x:v>day</x:v>
      </x:c>
      <x:c r="T197" s="2"/>
      <x:c r="U197" s="2"/>
      <x:c r="V197" s="9"/>
      <x:c r="W197" s="9"/>
      <x:c r="X197" s="9"/>
      <x:c r="Y197" s="2"/>
      <x:c r="Z197" s="2"/>
      <x:c r="AA197" s="9"/>
      <x:c r="AB197" s="2"/>
      <x:c r="AC197" s="2"/>
      <x:c r="AD197" s="7"/>
      <x:c r="AE197" s="2" t="str"/>
      <x:c r="AF197" s="2" t="str">
        <x:v>未知</x:v>
      </x:c>
      <x:c r="AG197" s="2"/>
      <x:c r="AH197" s="2"/>
      <x:c r="AI197" s="2"/>
      <x:c r="AJ197" s="2"/>
      <x:c r="AK197" s="2" t="str">
        <x:v>缓存稿称嫌疑人已被警方控制。</x:v>
      </x:c>
      <x:c r="AL197" s="10"/>
      <x:c r="AM197" s="10"/>
      <x:c r="AN197" s="10" t="n">
        <x:v>46218</x:v>
      </x:c>
      <x:c r="AO197" s="2" t="str">
        <x:v>单一媒体</x:v>
      </x:c>
      <x:c r="AP197" s="7" t="str">
        <x:v>LXS26C21</x:v>
      </x:c>
      <x:c r="AQ197" s="7" t="str">
        <x:v>{"date":["LXS26C21"],"location":["LXS26C21"],"casualties":["LXS26C21"],"classification":["LXS26C21"],"motive":[],"outcome":["LXS26C21"]}</x:v>
      </x:c>
      <x:c r="AR197" s="2"/>
      <x:c r="AS197" s="9"/>
      <x:c r="AT197" s="9"/>
      <x:c r="AU197" s="9"/>
      <x:c r="AV197" s="2"/>
      <x:c r="AW197" s="2" t="str">
        <x:v>2026-X补查</x:v>
      </x:c>
      <x:c r="AX197" s="9" t="n">
        <x:v>2026</x:v>
      </x:c>
      <x:c r="AY197" s="10"/>
      <x:c r="AZ197" s="7"/>
      <x:c r="BA197" s="7" t="str">
        <x:v>新京报采访部门称人为纵火，但本轮只读取到搜索缓存完整短稿，原文访问失败；是否以现场人员或无关公众为攻击对象亦不明，暂列待核。</x:v>
      </x:c>
      <x:c r="BB197" s="7" t="str"/>
      <x:c r="BC197" s="7" t="str">
        <x:v>爆燃是纵火的据报后果，未推断另有独立爆炸装置；不将财产纵火自动纳为针对不特定公众的袭击。</x:v>
      </x:c>
      <x:c r="BD197" s="2" t="str">
        <x:v>否</x:v>
      </x:c>
      <x:c r="BE197" s="2" t="str">
        <x:v>否</x:v>
      </x:c>
      <x:c r="BF197" s="2" t="str">
        <x:v>单一媒体缓存／攻击对象待核</x:v>
      </x:c>
      <x:c r="BG197" s="2" t="str"/>
      <x:c r="BH197" s="9" t="n">
        <x:v>2026</x:v>
      </x:c>
      <x:c r="BI197" s="9" t="n">
        <x:v>0</x:v>
      </x:c>
      <x:c r="BJ197" s="9" t="n">
        <x:v>0</x:v>
      </x:c>
      <x:c r="BK197" s="9" t="n">
        <x:v>0</x:v>
      </x:c>
      <x:c r="BL197" s="9" t="n">
        <x:v>0</x:v>
      </x:c>
      <x:c r="BM197" s="9" t="n">
        <x:v>1</x:v>
      </x:c>
      <x:c r="BN197" s="9" t="n">
        <x:v>0</x:v>
      </x:c>
      <x:c r="BO197" s="9" t="n">
        <x:v>0</x:v>
      </x:c>
    </x:row>
    <x:row r="198" ht="38" customHeight="1">
      <x:c r="A198" s="2" t="str">
        <x:v>LX26C09</x:v>
      </x:c>
      <x:c r="B198" s="2" t="str">
        <x:v>2026-07-16</x:v>
      </x:c>
      <x:c r="C198" s="7" t="str">
        <x:v>晋江池店唐厝废品收购站火灾及纵火传言</x:v>
      </x:c>
      <x:c r="D198" s="2" t="str">
        <x:v>福建</x:v>
      </x:c>
      <x:c r="E198" s="2" t="str">
        <x:v>泉州</x:v>
      </x:c>
      <x:c r="F198" s="2" t="str">
        <x:v>pending</x:v>
      </x:c>
      <x:c r="G198" s="2" t="str">
        <x:v>其他</x:v>
      </x:c>
      <x:c r="H198" s="2"/>
      <x:c r="I198" s="9" t="n">
        <x:v>0</x:v>
      </x:c>
      <x:c r="J198" s="9" t="n">
        <x:v>0</x:v>
      </x:c>
      <x:c r="K198" s="2"/>
      <x:c r="L198" s="9"/>
      <x:c r="M198" s="9"/>
      <x:c r="N198" s="10" t="n">
        <x:v>46219</x:v>
      </x:c>
      <x:c r="O198" s="7" t="str">
        <x:v>仅初报“暂无人员被困或受伤”，非最终事故结案人数。</x:v>
      </x:c>
      <x:c r="P198" s="7" t="str">
        <x:v>官方可确认废品站火灾；将其称工厂遭报复的社交说法未给可查证纵火证据，主动袭击性质未知。</x:v>
      </x:c>
      <x:c r="Q198" s="2" t="str">
        <x:v>晋江市</x:v>
      </x:c>
      <x:c r="R198" s="2"/>
      <x:c r="S198" s="2" t="str">
        <x:v>day</x:v>
      </x:c>
      <x:c r="T198" s="2"/>
      <x:c r="U198" s="2"/>
      <x:c r="V198" s="9"/>
      <x:c r="W198" s="9"/>
      <x:c r="X198" s="9"/>
      <x:c r="Y198" s="2"/>
      <x:c r="Z198" s="2"/>
      <x:c r="AA198" s="9"/>
      <x:c r="AB198" s="2"/>
      <x:c r="AC198" s="2"/>
      <x:c r="AD198" s="7"/>
      <x:c r="AE198" s="2" t="str"/>
      <x:c r="AF198" s="2" t="str">
        <x:v>未知</x:v>
      </x:c>
      <x:c r="AG198" s="2"/>
      <x:c r="AH198" s="2"/>
      <x:c r="AI198" s="2"/>
      <x:c r="AJ198" s="2"/>
      <x:c r="AK198" s="2" t="str">
        <x:v>消防扑救。</x:v>
      </x:c>
      <x:c r="AL198" s="10"/>
      <x:c r="AM198" s="10"/>
      <x:c r="AN198" s="10" t="n">
        <x:v>46220</x:v>
      </x:c>
      <x:c r="AO198" s="2" t="str">
        <x:v>官方转载</x:v>
      </x:c>
      <x:c r="AP198" s="7" t="str">
        <x:v>LXS26C19；LXS26C20</x:v>
      </x:c>
      <x:c r="AQ198" s="7" t="str">
        <x:v>{"date":["LXS26C19"],"location":["LXS26C19"],"casualties":["LXS26C19"],"classification":["LXS26C19","LXS26C20"],"motive":[],"outcome":["LXS26C19"]}</x:v>
      </x:c>
      <x:c r="AR198" s="2"/>
      <x:c r="AS198" s="9"/>
      <x:c r="AT198" s="9"/>
      <x:c r="AU198" s="9"/>
      <x:c r="AV198" s="2"/>
      <x:c r="AW198" s="2" t="str">
        <x:v>2026-X补查</x:v>
      </x:c>
      <x:c r="AX198" s="9" t="n">
        <x:v>2026</x:v>
      </x:c>
      <x:c r="AY198" s="10"/>
      <x:c r="AZ198" s="7"/>
      <x:c r="BA198" s="7" t="str">
        <x:v>官方可确认废品站火灾；将其称工厂遭报复的社交说法未给可查证纵火证据，主动袭击性质未知。</x:v>
      </x:c>
      <x:c r="BB198" s="7" t="str"/>
      <x:c r="BC198" s="7"/>
      <x:c r="BD198" s="2" t="str">
        <x:v>是</x:v>
      </x:c>
      <x:c r="BE198" s="2" t="str">
        <x:v>否</x:v>
      </x:c>
      <x:c r="BF198" s="2" t="str">
        <x:v>火灾事实官方／主动袭击待核</x:v>
      </x:c>
      <x:c r="BG198" s="2" t="str"/>
      <x:c r="BH198" s="9" t="n">
        <x:v>2026</x:v>
      </x:c>
      <x:c r="BI198" s="9" t="n">
        <x:v>0</x:v>
      </x:c>
      <x:c r="BJ198" s="9" t="n">
        <x:v>0</x:v>
      </x:c>
      <x:c r="BK198" s="9" t="n">
        <x:v>0</x:v>
      </x:c>
      <x:c r="BL198" s="9" t="n">
        <x:v>0</x:v>
      </x:c>
      <x:c r="BM198" s="9" t="n">
        <x:v>1</x:v>
      </x:c>
      <x:c r="BN198" s="9" t="n">
        <x:v>0</x:v>
      </x:c>
      <x:c r="BO198" s="9" t="n">
        <x:v>0</x:v>
      </x:c>
    </x:row>
    <x:row r="199" ht="38" customHeight="1">
      <x:c r="A199" s="2" t="str">
        <x:v>LX26C05</x:v>
      </x:c>
      <x:c r="B199" s="2" t="str">
        <x:v>2026-07-17</x:v>
      </x:c>
      <x:c r="C199" s="7" t="str">
        <x:v>湖南平江老城区店铺纵火案</x:v>
      </x:c>
      <x:c r="D199" s="2" t="str">
        <x:v>湖南</x:v>
      </x:c>
      <x:c r="E199" s="2" t="str">
        <x:v>岳阳</x:v>
      </x:c>
      <x:c r="F199" s="2" t="str">
        <x:v>pending</x:v>
      </x:c>
      <x:c r="G199" s="2" t="str">
        <x:v>商业场所</x:v>
      </x:c>
      <x:c r="H199" s="2" t="str">
        <x:v>纵火</x:v>
      </x:c>
      <x:c r="I199" s="9" t="n">
        <x:v>2</x:v>
      </x:c>
      <x:c r="J199" s="9"/>
      <x:c r="K199" s="2"/>
      <x:c r="L199" s="9"/>
      <x:c r="M199" s="9"/>
      <x:c r="N199" s="10" t="n">
        <x:v>46220</x:v>
      </x:c>
      <x:c r="O199" s="7" t="str">
        <x:v>两名店内死者与一名纵火嫌疑人分列，不能把总死亡3人当作受害者死亡3人；未给非致命伤人数。</x:v>
      </x:c>
      <x:c r="P199" s="7" t="str">
        <x:v>警方确认店主纠纷引发纵火并造成店内两人死亡；通报未说明两人与原纠纷关系。儿女被害说法仅有网传，尚不足确认扩及无关人员。</x:v>
      </x:c>
      <x:c r="Q199" s="2" t="str">
        <x:v>平江县</x:v>
      </x:c>
      <x:c r="R199" s="2"/>
      <x:c r="S199" s="2" t="str">
        <x:v>day</x:v>
      </x:c>
      <x:c r="T199" s="2"/>
      <x:c r="U199" s="2"/>
      <x:c r="V199" s="9"/>
      <x:c r="W199" s="9" t="n">
        <x:v>1</x:v>
      </x:c>
      <x:c r="X199" s="9"/>
      <x:c r="Y199" s="2"/>
      <x:c r="Z199" s="2" t="str">
        <x:v>店内两人，身份及与纠纷关系未披露</x:v>
      </x:c>
      <x:c r="AA199" s="9" t="n">
        <x:v>42</x:v>
      </x:c>
      <x:c r="AB199" s="2" t="str">
        <x:v>男</x:v>
      </x:c>
      <x:c r="AC199" s="2"/>
      <x:c r="AD199" s="7" t="str">
        <x:v>警方初查称与店主存在矛盾纠纷后纵火，细节未知。</x:v>
      </x:c>
      <x:c r="AE199" s="2" t="str">
        <x:v>商业纠纷</x:v>
      </x:c>
      <x:c r="AF199" s="2" t="str">
        <x:v>警方初步通报</x:v>
      </x:c>
      <x:c r="AG199" s="2"/>
      <x:c r="AH199" s="2"/>
      <x:c r="AI199" s="2"/>
      <x:c r="AJ199" s="2" t="str">
        <x:v>民警与消防赶赴灭火</x:v>
      </x:c>
      <x:c r="AK199" s="2" t="str">
        <x:v>嫌疑人寻某当场死亡；侦办中。</x:v>
      </x:c>
      <x:c r="AL199" s="10"/>
      <x:c r="AM199" s="10"/>
      <x:c r="AN199" s="10" t="n">
        <x:v>46220</x:v>
      </x:c>
      <x:c r="AO199" s="2" t="str">
        <x:v>官方转载</x:v>
      </x:c>
      <x:c r="AP199" s="7" t="str">
        <x:v>LXS26C14；LXS26C34</x:v>
      </x:c>
      <x:c r="AQ199" s="7" t="str">
        <x:v>{"date":["LXS26C14"],"location":["LXS26C14"],"casualties":["LXS26C14"],"classification":["LXS26C14","LXS26C34"],"motive":["LXS26C14"],"outcome":["LXS26C14"]}</x:v>
      </x:c>
      <x:c r="AR199" s="2"/>
      <x:c r="AS199" s="9"/>
      <x:c r="AT199" s="9"/>
      <x:c r="AU199" s="9"/>
      <x:c r="AV199" s="2"/>
      <x:c r="AW199" s="2" t="str">
        <x:v>2026-X补查</x:v>
      </x:c>
      <x:c r="AX199" s="9" t="n">
        <x:v>2026</x:v>
      </x:c>
      <x:c r="AY199" s="10"/>
      <x:c r="AZ199" s="7"/>
      <x:c r="BA199" s="7" t="str">
        <x:v>警方确认店主纠纷引发纵火并造成店内两人死亡；通报未说明两人与原纠纷关系。儿女被害说法仅有网传，尚不足确认扩及无关人员。</x:v>
      </x:c>
      <x:c r="BB199" s="7" t="str"/>
      <x:c r="BC199" s="7" t="str">
        <x:v>不采信来源时间异常的内部通报截图作为两位受害者身份结论。</x:v>
      </x:c>
      <x:c r="BD199" s="2" t="str">
        <x:v>是</x:v>
      </x:c>
      <x:c r="BE199" s="2" t="str">
        <x:v>否</x:v>
      </x:c>
      <x:c r="BF199" s="2" t="str">
        <x:v>警方确认纵火／受害关系待核</x:v>
      </x:c>
      <x:c r="BG199" s="2" t="str">
        <x:v>其他已披露背景</x:v>
      </x:c>
      <x:c r="BH199" s="9" t="n">
        <x:v>2026</x:v>
      </x:c>
      <x:c r="BI199" s="9" t="n">
        <x:v>2</x:v>
      </x:c>
      <x:c r="BJ199" s="9" t="n">
        <x:v>0</x:v>
      </x:c>
      <x:c r="BK199" s="9" t="n">
        <x:v>0</x:v>
      </x:c>
      <x:c r="BL199" s="9" t="n">
        <x:v>1</x:v>
      </x:c>
      <x:c r="BM199" s="9" t="n">
        <x:v>1</x:v>
      </x:c>
      <x:c r="BN199" s="9" t="n">
        <x:v>0</x:v>
      </x:c>
      <x:c r="BO199" s="9" t="n">
        <x:v>1</x:v>
      </x:c>
    </x:row>
    <x:row r="200" ht="38" customHeight="1">
      <x:c r="A200" s="2" t="str">
        <x:v>LX26C18</x:v>
      </x:c>
      <x:c r="B200" s="2" t="str">
        <x:v>2026-07-26</x:v>
      </x:c>
      <x:c r="C200" s="7" t="str">
        <x:v>洪雅玉屏山森林火灾及讨薪纵火传言</x:v>
      </x:c>
      <x:c r="D200" s="2" t="str">
        <x:v>四川</x:v>
      </x:c>
      <x:c r="E200" s="2" t="str">
        <x:v>眉山</x:v>
      </x:c>
      <x:c r="F200" s="2" t="str">
        <x:v>pending</x:v>
      </x:c>
      <x:c r="G200" s="2" t="str">
        <x:v>公园广场</x:v>
      </x:c>
      <x:c r="H200" s="2"/>
      <x:c r="I200" s="9" t="n">
        <x:v>0</x:v>
      </x:c>
      <x:c r="J200" s="9" t="n">
        <x:v>0</x:v>
      </x:c>
      <x:c r="K200" s="2"/>
      <x:c r="L200" s="9"/>
      <x:c r="M200" s="9"/>
      <x:c r="N200" s="10" t="n">
        <x:v>46229</x:v>
      </x:c>
      <x:c r="O200" s="7" t="str">
        <x:v>数字来自媒体搜索缓存转述无人员被困伤亡，标记原文待复核。</x:v>
      </x:c>
      <x:c r="P200" s="7" t="str">
        <x:v>媒体缓存转述管护站火情通报，但原文访问失败；网传欠薪聊天截图不能独立确认行为人、纵火行为或对公众攻击目标。</x:v>
      </x:c>
      <x:c r="Q200" s="2" t="str">
        <x:v>洪雅县</x:v>
      </x:c>
      <x:c r="R200" s="2"/>
      <x:c r="S200" s="2" t="str">
        <x:v>day</x:v>
      </x:c>
      <x:c r="T200" s="2"/>
      <x:c r="U200" s="2"/>
      <x:c r="V200" s="9"/>
      <x:c r="W200" s="9"/>
      <x:c r="X200" s="9"/>
      <x:c r="Y200" s="2"/>
      <x:c r="Z200" s="2"/>
      <x:c r="AA200" s="9"/>
      <x:c r="AB200" s="2"/>
      <x:c r="AC200" s="2"/>
      <x:c r="AD200" s="7"/>
      <x:c r="AE200" s="2" t="str"/>
      <x:c r="AF200" s="2" t="str">
        <x:v>未知</x:v>
      </x:c>
      <x:c r="AG200" s="2"/>
      <x:c r="AH200" s="2"/>
      <x:c r="AI200" s="2"/>
      <x:c r="AJ200" s="2"/>
      <x:c r="AK200" s="2"/>
      <x:c r="AL200" s="10"/>
      <x:c r="AM200" s="10"/>
      <x:c r="AN200" s="10" t="n">
        <x:v>46274</x:v>
      </x:c>
      <x:c r="AO200" s="2" t="str">
        <x:v>单一媒体</x:v>
      </x:c>
      <x:c r="AP200" s="7" t="str">
        <x:v>LXS26C27；LXS26C30</x:v>
      </x:c>
      <x:c r="AQ200" s="7" t="str">
        <x:v>{"date":["LXS26C30"],"location":["LXS26C30"],"casualties":["LXS26C30"],"classification":["LXS26C27","LXS26C30"],"motive":[],"outcome":[]}</x:v>
      </x:c>
      <x:c r="AR200" s="2"/>
      <x:c r="AS200" s="9"/>
      <x:c r="AT200" s="9"/>
      <x:c r="AU200" s="9"/>
      <x:c r="AV200" s="2"/>
      <x:c r="AW200" s="2" t="str">
        <x:v>2026-X补查</x:v>
      </x:c>
      <x:c r="AX200" s="9" t="n">
        <x:v>2026</x:v>
      </x:c>
      <x:c r="AY200" s="10"/>
      <x:c r="AZ200" s="7"/>
      <x:c r="BA200" s="7" t="str">
        <x:v>媒体缓存转述管护站火情通报，但原文访问失败；网传欠薪聊天截图不能独立确认行为人、纵火行为或对公众攻击目标。</x:v>
      </x:c>
      <x:c r="BB200" s="7" t="str"/>
      <x:c r="BC200" s="7" t="str">
        <x:v>没有将未经核实的欠薪年限、金额及人数写入事实字段。</x:v>
      </x:c>
      <x:c r="BD200" s="2" t="str">
        <x:v>否</x:v>
      </x:c>
      <x:c r="BE200" s="2" t="str">
        <x:v>否</x:v>
      </x:c>
      <x:c r="BF200" s="2" t="str">
        <x:v>官方报道缓存／主动袭击待核</x:v>
      </x:c>
      <x:c r="BG200" s="2" t="str"/>
      <x:c r="BH200" s="9" t="n">
        <x:v>2026</x:v>
      </x:c>
      <x:c r="BI200" s="9" t="n">
        <x:v>0</x:v>
      </x:c>
      <x:c r="BJ200" s="9" t="n">
        <x:v>0</x:v>
      </x:c>
      <x:c r="BK200" s="9" t="n">
        <x:v>0</x:v>
      </x:c>
      <x:c r="BL200" s="9" t="n">
        <x:v>0</x:v>
      </x:c>
      <x:c r="BM200" s="9" t="n">
        <x:v>1</x:v>
      </x:c>
      <x:c r="BN200" s="9" t="n">
        <x:v>0</x:v>
      </x:c>
      <x:c r="BO200" s="9" t="n">
        <x:v>0</x:v>
      </x:c>
    </x:row>
    <x:row r="201" ht="38" customHeight="1">
      <x:c r="A201" s="2" t="str">
        <x:v>LX26C13</x:v>
      </x:c>
      <x:c r="B201" s="2" t="str">
        <x:v>2026-07-27</x:v>
      </x:c>
      <x:c r="C201" s="7" t="str">
        <x:v>江苏青少年乒乓球选拔赛赛后殴打对手线索</x:v>
      </x:c>
      <x:c r="D201" s="2" t="str">
        <x:v>江苏</x:v>
      </x:c>
      <x:c r="E201" s="2"/>
      <x:c r="F201" s="2" t="str">
        <x:v>excluded</x:v>
      </x:c>
      <x:c r="G201" s="2" t="str">
        <x:v>其他</x:v>
      </x:c>
      <x:c r="H201" s="2" t="str">
        <x:v>其他</x:v>
      </x:c>
      <x:c r="I201" s="9"/>
      <x:c r="J201" s="9"/>
      <x:c r="K201" s="2"/>
      <x:c r="L201" s="9"/>
      <x:c r="M201" s="9"/>
      <x:c r="N201" s="10"/>
      <x:c r="O201" s="7"/>
      <x:c r="P201" s="7" t="str">
        <x:v>可读转载描述赛后失利选手攻击获胜对手，属于特定比赛冲突，没有伤及无关人员线索。</x:v>
      </x:c>
      <x:c r="Q201" s="2"/>
      <x:c r="R201" s="2"/>
      <x:c r="S201" s="2" t="str">
        <x:v>day</x:v>
      </x:c>
      <x:c r="T201" s="2"/>
      <x:c r="U201" s="2"/>
      <x:c r="V201" s="9"/>
      <x:c r="W201" s="9"/>
      <x:c r="X201" s="9"/>
      <x:c r="Y201" s="2"/>
      <x:c r="Z201" s="2" t="str">
        <x:v>比赛对手</x:v>
      </x:c>
      <x:c r="AA201" s="9"/>
      <x:c r="AB201" s="2"/>
      <x:c r="AC201" s="2"/>
      <x:c r="AD201" s="7"/>
      <x:c r="AE201" s="2" t="str"/>
      <x:c r="AF201" s="2" t="str">
        <x:v>未知</x:v>
      </x:c>
      <x:c r="AG201" s="2"/>
      <x:c r="AH201" s="2"/>
      <x:c r="AI201" s="2"/>
      <x:c r="AJ201" s="2"/>
      <x:c r="AK201" s="2"/>
      <x:c r="AL201" s="10"/>
      <x:c r="AM201" s="10"/>
      <x:c r="AN201" s="10" t="n">
        <x:v>46232</x:v>
      </x:c>
      <x:c r="AO201" s="2" t="str">
        <x:v>网传待核</x:v>
      </x:c>
      <x:c r="AP201" s="7" t="str">
        <x:v>LXS26C24</x:v>
      </x:c>
      <x:c r="AQ201" s="7" t="str">
        <x:v>{"date":["LXS26C24"],"location":["LXS26C24"],"casualties":[],"classification":["LXS26C24"],"motive":[],"outcome":[]}</x:v>
      </x:c>
      <x:c r="AR201" s="2"/>
      <x:c r="AS201" s="9"/>
      <x:c r="AT201" s="9"/>
      <x:c r="AU201" s="9"/>
      <x:c r="AV201" s="2"/>
      <x:c r="AW201" s="2" t="str">
        <x:v>2026-X补查</x:v>
      </x:c>
      <x:c r="AX201" s="9" t="n">
        <x:v>2026</x:v>
      </x:c>
      <x:c r="AY201" s="10"/>
      <x:c r="AZ201" s="7"/>
      <x:c r="BA201" s="7"/>
      <x:c r="BB201" s="7" t="str"/>
      <x:c r="BC201" s="7" t="str">
        <x:v>保留李老师帖的转载线索；不公开未成年选手姓名，未以网友标签认定随机袭击，处罚内容尚待协会原通报。</x:v>
      </x:c>
      <x:c r="BD201" s="2" t="str">
        <x:v>否</x:v>
      </x:c>
      <x:c r="BE201" s="2" t="str">
        <x:v>否</x:v>
      </x:c>
      <x:c r="BF201" s="2" t="str">
        <x:v>网传／待核</x:v>
      </x:c>
      <x:c r="BG201" s="2" t="str"/>
      <x:c r="BH201" s="9" t="n">
        <x:v>2026</x:v>
      </x:c>
      <x:c r="BI201" s="9" t="n">
        <x:v>0</x:v>
      </x:c>
      <x:c r="BJ201" s="9" t="n">
        <x:v>0</x:v>
      </x:c>
      <x:c r="BK201" s="9" t="n">
        <x:v>0</x:v>
      </x:c>
      <x:c r="BL201" s="9" t="n">
        <x:v>0</x:v>
      </x:c>
      <x:c r="BM201" s="9" t="n">
        <x:v>1</x:v>
      </x:c>
      <x:c r="BN201" s="9" t="n">
        <x:v>1</x:v>
      </x:c>
      <x:c r="BO201" s="9" t="n">
        <x:v>1</x:v>
      </x:c>
    </x:row>
    <x:row r="202" ht="38" customHeight="1">
      <x:c r="A202" s="2" t="str">
        <x:v>LX26C06</x:v>
      </x:c>
      <x:c r="B202" s="2" t="str">
        <x:v>2026-07-30</x:v>
      </x:c>
      <x:c r="C202" s="7" t="str">
        <x:v>河南西平西关社区邻里纠纷持刀案</x:v>
      </x:c>
      <x:c r="D202" s="2" t="str">
        <x:v>河南</x:v>
      </x:c>
      <x:c r="E202" s="2" t="str">
        <x:v>驻马店</x:v>
      </x:c>
      <x:c r="F202" s="2" t="str">
        <x:v>excluded</x:v>
      </x:c>
      <x:c r="G202" s="2" t="str">
        <x:v>社区住宅</x:v>
      </x:c>
      <x:c r="H202" s="2" t="str">
        <x:v>持械</x:v>
      </x:c>
      <x:c r="I202" s="9" t="n">
        <x:v>1</x:v>
      </x:c>
      <x:c r="J202" s="9"/>
      <x:c r="K202" s="2"/>
      <x:c r="L202" s="9"/>
      <x:c r="M202" s="9"/>
      <x:c r="N202" s="10" t="n">
        <x:v>46236</x:v>
      </x:c>
      <x:c r="O202" s="7" t="str">
        <x:v>警方称邻居死亡、亲属伤情稳定，未给受伤亲属人数，故injured留空。</x:v>
      </x:c>
      <x:c r="P202" s="7" t="str">
        <x:v>警方描述因邻里矛盾针对邻居及其亲属，现有材料未显示攻击与该纠纷无关公众。</x:v>
      </x:c>
      <x:c r="Q202" s="2" t="str">
        <x:v>西平县</x:v>
      </x:c>
      <x:c r="R202" s="2"/>
      <x:c r="S202" s="2" t="str">
        <x:v>day</x:v>
      </x:c>
      <x:c r="T202" s="2"/>
      <x:c r="U202" s="2"/>
      <x:c r="V202" s="9"/>
      <x:c r="W202" s="9"/>
      <x:c r="X202" s="9"/>
      <x:c r="Y202" s="2"/>
      <x:c r="Z202" s="2" t="str">
        <x:v>邻居及其亲属，邻里纠纷对象</x:v>
      </x:c>
      <x:c r="AA202" s="9" t="n">
        <x:v>51</x:v>
      </x:c>
      <x:c r="AB202" s="2" t="str">
        <x:v>男</x:v>
      </x:c>
      <x:c r="AC202" s="2"/>
      <x:c r="AD202" s="7" t="str">
        <x:v>警方初查为邻里矛盾引发争执。</x:v>
      </x:c>
      <x:c r="AE202" s="2" t="str">
        <x:v>邻里纠纷</x:v>
      </x:c>
      <x:c r="AF202" s="2" t="str">
        <x:v>警方初步通报</x:v>
      </x:c>
      <x:c r="AG202" s="2"/>
      <x:c r="AH202" s="2"/>
      <x:c r="AI202" s="2"/>
      <x:c r="AJ202" s="2"/>
      <x:c r="AK202" s="2" t="str">
        <x:v>央视网8月8日标题确认嫌疑人已抓获。</x:v>
      </x:c>
      <x:c r="AL202" s="10"/>
      <x:c r="AM202" s="10"/>
      <x:c r="AN202" s="10" t="n">
        <x:v>46242</x:v>
      </x:c>
      <x:c r="AO202" s="2" t="str">
        <x:v>官方转载</x:v>
      </x:c>
      <x:c r="AP202" s="7" t="str">
        <x:v>LXS26C15；LXS26C16</x:v>
      </x:c>
      <x:c r="AQ202" s="7" t="str">
        <x:v>{"date":["LXS26C15"],"location":["LXS26C15"],"casualties":["LXS26C15"],"classification":["LXS26C15","LXS26C16"],"motive":["LXS26C15"],"outcome":["LXS26C16"]}</x:v>
      </x:c>
      <x:c r="AR202" s="2"/>
      <x:c r="AS202" s="9"/>
      <x:c r="AT202" s="9"/>
      <x:c r="AU202" s="9"/>
      <x:c r="AV202" s="2"/>
      <x:c r="AW202" s="2" t="str">
        <x:v>2026-X补查</x:v>
      </x:c>
      <x:c r="AX202" s="9" t="n">
        <x:v>2026</x:v>
      </x:c>
      <x:c r="AY202" s="10"/>
      <x:c r="AZ202" s="7"/>
      <x:c r="BA202" s="7"/>
      <x:c r="BB202" s="7" t="str"/>
      <x:c r="BC202" s="7"/>
      <x:c r="BD202" s="2" t="str">
        <x:v>是</x:v>
      </x:c>
      <x:c r="BE202" s="2" t="str">
        <x:v>是</x:v>
      </x:c>
      <x:c r="BF202" s="2" t="str">
        <x:v>警方初步通报</x:v>
      </x:c>
      <x:c r="BG202" s="2" t="str">
        <x:v>其他已披露背景</x:v>
      </x:c>
      <x:c r="BH202" s="9" t="n">
        <x:v>2026</x:v>
      </x:c>
      <x:c r="BI202" s="9" t="n">
        <x:v>1</x:v>
      </x:c>
      <x:c r="BJ202" s="9" t="n">
        <x:v>0</x:v>
      </x:c>
      <x:c r="BK202" s="9" t="n">
        <x:v>1</x:v>
      </x:c>
      <x:c r="BL202" s="9" t="n">
        <x:v>1</x:v>
      </x:c>
      <x:c r="BM202" s="9" t="n">
        <x:v>1</x:v>
      </x:c>
      <x:c r="BN202" s="9" t="n">
        <x:v>0</x:v>
      </x:c>
      <x:c r="BO202" s="9" t="n">
        <x:v>1</x:v>
      </x:c>
    </x:row>
    <x:row r="203" ht="38" customHeight="1">
      <x:c r="A203" s="2" t="str">
        <x:v>LX26C19</x:v>
      </x:c>
      <x:c r="B203" s="2" t="str">
        <x:v>2026-08-02</x:v>
      </x:c>
      <x:c r="C203" s="7" t="str">
        <x:v>青岛象屿速传仓库火灾及讨薪纵火传言</x:v>
      </x:c>
      <x:c r="D203" s="2" t="str">
        <x:v>山东</x:v>
      </x:c>
      <x:c r="E203" s="2" t="str">
        <x:v>青岛</x:v>
      </x:c>
      <x:c r="F203" s="2" t="str">
        <x:v>pending</x:v>
      </x:c>
      <x:c r="G203" s="2" t="str">
        <x:v>其他</x:v>
      </x:c>
      <x:c r="H203" s="2"/>
      <x:c r="I203" s="9" t="n">
        <x:v>0</x:v>
      </x:c>
      <x:c r="J203" s="9" t="n">
        <x:v>0</x:v>
      </x:c>
      <x:c r="K203" s="2"/>
      <x:c r="L203" s="9"/>
      <x:c r="M203" s="9"/>
      <x:c r="N203" s="10" t="n">
        <x:v>46236</x:v>
      </x:c>
      <x:c r="O203" s="7"/>
      <x:c r="P203" s="7" t="str">
        <x:v>地方发布通报确认仓库火灾且原因调查中；员工讨薪纵火传言无独立核实，不以燃烧规模或爆燃声推定主动袭击。</x:v>
      </x:c>
      <x:c r="Q203" s="2" t="str">
        <x:v>黄岛区</x:v>
      </x:c>
      <x:c r="R203" s="2"/>
      <x:c r="S203" s="2" t="str">
        <x:v>day</x:v>
      </x:c>
      <x:c r="T203" s="2"/>
      <x:c r="U203" s="2"/>
      <x:c r="V203" s="9"/>
      <x:c r="W203" s="9"/>
      <x:c r="X203" s="9"/>
      <x:c r="Y203" s="2"/>
      <x:c r="Z203" s="2"/>
      <x:c r="AA203" s="9"/>
      <x:c r="AB203" s="2"/>
      <x:c r="AC203" s="2"/>
      <x:c r="AD203" s="7"/>
      <x:c r="AE203" s="2" t="str"/>
      <x:c r="AF203" s="2" t="str">
        <x:v>未知</x:v>
      </x:c>
      <x:c r="AG203" s="2"/>
      <x:c r="AH203" s="2"/>
      <x:c r="AI203" s="2"/>
      <x:c r="AJ203" s="2"/>
      <x:c r="AK203" s="2" t="str">
        <x:v>消防等部门扑救，原因调查。</x:v>
      </x:c>
      <x:c r="AL203" s="10"/>
      <x:c r="AM203" s="10"/>
      <x:c r="AN203" s="10" t="n">
        <x:v>46274</x:v>
      </x:c>
      <x:c r="AO203" s="2" t="str">
        <x:v>官方转载</x:v>
      </x:c>
      <x:c r="AP203" s="7" t="str">
        <x:v>LXS26C27；LXS26C31</x:v>
      </x:c>
      <x:c r="AQ203" s="7" t="str">
        <x:v>{"date":["LXS26C31"],"location":["LXS26C31"],"casualties":["LXS26C31"],"classification":["LXS26C27","LXS26C31"],"motive":[],"outcome":["LXS26C31"]}</x:v>
      </x:c>
      <x:c r="AR203" s="2"/>
      <x:c r="AS203" s="9"/>
      <x:c r="AT203" s="9"/>
      <x:c r="AU203" s="9"/>
      <x:c r="AV203" s="2"/>
      <x:c r="AW203" s="2" t="str">
        <x:v>2026-X补查</x:v>
      </x:c>
      <x:c r="AX203" s="9" t="n">
        <x:v>2026</x:v>
      </x:c>
      <x:c r="AY203" s="10"/>
      <x:c r="AZ203" s="7"/>
      <x:c r="BA203" s="7" t="str">
        <x:v>地方发布通报确认仓库火灾且原因调查中；员工讨薪纵火传言无独立核实，不以燃烧规模或爆燃声推定主动袭击。</x:v>
      </x:c>
      <x:c r="BB203" s="7" t="str"/>
      <x:c r="BC203" s="7" t="str">
        <x:v>初期网传称轮胎厂，实际通报主体为供应链企业仓库。</x:v>
      </x:c>
      <x:c r="BD203" s="2" t="str">
        <x:v>是</x:v>
      </x:c>
      <x:c r="BE203" s="2" t="str">
        <x:v>否</x:v>
      </x:c>
      <x:c r="BF203" s="2" t="str">
        <x:v>火灾事实官方／主动袭击待核</x:v>
      </x:c>
      <x:c r="BG203" s="2" t="str"/>
      <x:c r="BH203" s="9" t="n">
        <x:v>2026</x:v>
      </x:c>
      <x:c r="BI203" s="9" t="n">
        <x:v>0</x:v>
      </x:c>
      <x:c r="BJ203" s="9" t="n">
        <x:v>0</x:v>
      </x:c>
      <x:c r="BK203" s="9" t="n">
        <x:v>0</x:v>
      </x:c>
      <x:c r="BL203" s="9" t="n">
        <x:v>0</x:v>
      </x:c>
      <x:c r="BM203" s="9" t="n">
        <x:v>1</x:v>
      </x:c>
      <x:c r="BN203" s="9" t="n">
        <x:v>0</x:v>
      </x:c>
      <x:c r="BO203" s="9" t="n">
        <x:v>0</x:v>
      </x:c>
    </x:row>
    <x:row r="204" ht="38" customHeight="1">
      <x:c r="A204" s="2" t="str">
        <x:v>LX26C04</x:v>
      </x:c>
      <x:c r="B204" s="2" t="str">
        <x:v>2026-08-10</x:v>
      </x:c>
      <x:c r="C204" s="7" t="str">
        <x:v>南宁民族大道商场旁纠纷持刀伤人案</x:v>
      </x:c>
      <x:c r="D204" s="2" t="str">
        <x:v>广西</x:v>
      </x:c>
      <x:c r="E204" s="2" t="str">
        <x:v>南宁</x:v>
      </x:c>
      <x:c r="F204" s="2" t="str">
        <x:v>excluded</x:v>
      </x:c>
      <x:c r="G204" s="2" t="str">
        <x:v>商业场所</x:v>
      </x:c>
      <x:c r="H204" s="2" t="str">
        <x:v>持械</x:v>
      </x:c>
      <x:c r="I204" s="9"/>
      <x:c r="J204" s="9" t="n">
        <x:v>1</x:v>
      </x:c>
      <x:c r="K204" s="2"/>
      <x:c r="L204" s="9"/>
      <x:c r="M204" s="9"/>
      <x:c r="N204" s="10" t="n">
        <x:v>46245</x:v>
      </x:c>
      <x:c r="O204" s="7" t="str">
        <x:v>伤者当时暂无生命危险；未报最终伤情。</x:v>
      </x:c>
      <x:c r="P204" s="7" t="str">
        <x:v>警方初查明确因纠纷针对一名特定女子，未披露扩大到无关旁人的伤害。</x:v>
      </x:c>
      <x:c r="Q204" s="2" t="str">
        <x:v>青秀区</x:v>
      </x:c>
      <x:c r="R204" s="2" t="str">
        <x:v>城市</x:v>
      </x:c>
      <x:c r="S204" s="2" t="str">
        <x:v>day</x:v>
      </x:c>
      <x:c r="T204" s="2"/>
      <x:c r="U204" s="2"/>
      <x:c r="V204" s="9"/>
      <x:c r="W204" s="9"/>
      <x:c r="X204" s="9"/>
      <x:c r="Y204" s="2"/>
      <x:c r="Z204" s="2" t="str">
        <x:v>纠纷对象</x:v>
      </x:c>
      <x:c r="AA204" s="9" t="n">
        <x:v>39</x:v>
      </x:c>
      <x:c r="AB204" s="2" t="str">
        <x:v>男</x:v>
      </x:c>
      <x:c r="AC204" s="2"/>
      <x:c r="AD204" s="7" t="str">
        <x:v>警方初查：因纠纷伤害特定女子，纠纷内容未公布。</x:v>
      </x:c>
      <x:c r="AE204" s="2" t="str">
        <x:v>人际纠纷</x:v>
      </x:c>
      <x:c r="AF204" s="2" t="str">
        <x:v>警方初步通报</x:v>
      </x:c>
      <x:c r="AG204" s="2"/>
      <x:c r="AH204" s="2"/>
      <x:c r="AI204" s="2"/>
      <x:c r="AJ204" s="2"/>
      <x:c r="AK204" s="2" t="str">
        <x:v>8月11日凌晨3时许抓获嫌疑人。</x:v>
      </x:c>
      <x:c r="AL204" s="10"/>
      <x:c r="AM204" s="10"/>
      <x:c r="AN204" s="10" t="n">
        <x:v>46245</x:v>
      </x:c>
      <x:c r="AO204" s="2" t="str">
        <x:v>官方转载</x:v>
      </x:c>
      <x:c r="AP204" s="7" t="str">
        <x:v>LXS26C13</x:v>
      </x:c>
      <x:c r="AQ204" s="7" t="str">
        <x:v>{"date":["LXS26C13"],"location":["LXS26C13"],"casualties":["LXS26C13"],"classification":["LXS26C13"],"motive":["LXS26C13"],"outcome":["LXS26C13"]}</x:v>
      </x:c>
      <x:c r="AR204" s="2"/>
      <x:c r="AS204" s="9"/>
      <x:c r="AT204" s="9"/>
      <x:c r="AU204" s="9"/>
      <x:c r="AV204" s="2"/>
      <x:c r="AW204" s="2" t="str">
        <x:v>2026-X补查</x:v>
      </x:c>
      <x:c r="AX204" s="9" t="n">
        <x:v>2026</x:v>
      </x:c>
      <x:c r="AY204" s="10"/>
      <x:c r="AZ204" s="7"/>
      <x:c r="BA204" s="7"/>
      <x:c r="BB204" s="7" t="str"/>
      <x:c r="BC204" s="7"/>
      <x:c r="BD204" s="2" t="str">
        <x:v>是</x:v>
      </x:c>
      <x:c r="BE204" s="2" t="str">
        <x:v>是</x:v>
      </x:c>
      <x:c r="BF204" s="2" t="str">
        <x:v>警方初步通报</x:v>
      </x:c>
      <x:c r="BG204" s="2" t="str">
        <x:v>其他已披露背景</x:v>
      </x:c>
      <x:c r="BH204" s="9" t="n">
        <x:v>2026</x:v>
      </x:c>
      <x:c r="BI204" s="9" t="n">
        <x:v>0</x:v>
      </x:c>
      <x:c r="BJ204" s="9" t="n">
        <x:v>1</x:v>
      </x:c>
      <x:c r="BK204" s="9" t="n">
        <x:v>1</x:v>
      </x:c>
      <x:c r="BL204" s="9" t="n">
        <x:v>1</x:v>
      </x:c>
      <x:c r="BM204" s="9" t="n">
        <x:v>1</x:v>
      </x:c>
      <x:c r="BN204" s="9" t="n">
        <x:v>1</x:v>
      </x:c>
      <x:c r="BO204" s="9" t="n">
        <x:v>0</x:v>
      </x:c>
    </x:row>
    <x:row r="205" ht="38" customHeight="1">
      <x:c r="A205" s="2" t="str">
        <x:v>LX26C11</x:v>
      </x:c>
      <x:c r="B205" s="2" t="str">
        <x:v>2026-08-16</x:v>
      </x:c>
      <x:c r="C205" s="7" t="str">
        <x:v>网传南京地铁3号线男子拉制动及威胁事件</x:v>
      </x:c>
      <x:c r="D205" s="2" t="str">
        <x:v>江苏</x:v>
      </x:c>
      <x:c r="E205" s="2" t="str">
        <x:v>南京</x:v>
      </x:c>
      <x:c r="F205" s="2" t="str">
        <x:v>excluded</x:v>
      </x:c>
      <x:c r="G205" s="2" t="str">
        <x:v>公共交通</x:v>
      </x:c>
      <x:c r="H205" s="2" t="str">
        <x:v>其他</x:v>
      </x:c>
      <x:c r="I205" s="9"/>
      <x:c r="J205" s="9"/>
      <x:c r="K205" s="2"/>
      <x:c r="L205" s="9"/>
      <x:c r="M205" s="9"/>
      <x:c r="N205" s="10"/>
      <x:c r="O205" s="7"/>
      <x:c r="P205" s="7" t="str">
        <x:v>现有网传内容为拉紧急制动、踹门及威胁喊话，没有已实施针对他人的主动袭击；按未实施伤人威胁排除，保留来源供后续修订。</x:v>
      </x:c>
      <x:c r="Q205" s="2"/>
      <x:c r="R205" s="2" t="str">
        <x:v>城市</x:v>
      </x:c>
      <x:c r="S205" s="2" t="str">
        <x:v>day</x:v>
      </x:c>
      <x:c r="T205" s="2"/>
      <x:c r="U205" s="2"/>
      <x:c r="V205" s="9"/>
      <x:c r="W205" s="9"/>
      <x:c r="X205" s="9"/>
      <x:c r="Y205" s="2"/>
      <x:c r="Z205" s="2"/>
      <x:c r="AA205" s="9"/>
      <x:c r="AB205" s="2"/>
      <x:c r="AC205" s="2"/>
      <x:c r="AD205" s="7"/>
      <x:c r="AE205" s="2" t="str"/>
      <x:c r="AF205" s="2" t="str">
        <x:v>未知</x:v>
      </x:c>
      <x:c r="AG205" s="2"/>
      <x:c r="AH205" s="2"/>
      <x:c r="AI205" s="2"/>
      <x:c r="AJ205" s="2"/>
      <x:c r="AK205" s="2" t="str">
        <x:v>据网传乘客控制后警方到场。</x:v>
      </x:c>
      <x:c r="AL205" s="10"/>
      <x:c r="AM205" s="10"/>
      <x:c r="AN205" s="10" t="n">
        <x:v>46252</x:v>
      </x:c>
      <x:c r="AO205" s="2" t="str">
        <x:v>网传待核</x:v>
      </x:c>
      <x:c r="AP205" s="7" t="str">
        <x:v>LXS26C22</x:v>
      </x:c>
      <x:c r="AQ205" s="7" t="str">
        <x:v>{"date":["LXS26C22"],"location":["LXS26C22"],"casualties":[],"classification":["LXS26C22"],"motive":[],"outcome":["LXS26C22"]}</x:v>
      </x:c>
      <x:c r="AR205" s="2"/>
      <x:c r="AS205" s="9"/>
      <x:c r="AT205" s="9"/>
      <x:c r="AU205" s="9"/>
      <x:c r="AV205" s="2"/>
      <x:c r="AW205" s="2" t="str">
        <x:v>2026-X补查</x:v>
      </x:c>
      <x:c r="AX205" s="9" t="n">
        <x:v>2026</x:v>
      </x:c>
      <x:c r="AY205" s="10"/>
      <x:c r="AZ205" s="7"/>
      <x:c r="BA205" s="7"/>
      <x:c r="BB205" s="7" t="str"/>
      <x:c r="BC205" s="7" t="str">
        <x:v>不把喊话等同确定动机，不依据网友猜测填写精神健康诊断。</x:v>
      </x:c>
      <x:c r="BD205" s="2" t="str">
        <x:v>否</x:v>
      </x:c>
      <x:c r="BE205" s="2" t="str">
        <x:v>否</x:v>
      </x:c>
      <x:c r="BF205" s="2" t="str">
        <x:v>网传／待核</x:v>
      </x:c>
      <x:c r="BG205" s="2" t="str"/>
      <x:c r="BH205" s="9" t="n">
        <x:v>2026</x:v>
      </x:c>
      <x:c r="BI205" s="9" t="n">
        <x:v>0</x:v>
      </x:c>
      <x:c r="BJ205" s="9" t="n">
        <x:v>0</x:v>
      </x:c>
      <x:c r="BK205" s="9" t="n">
        <x:v>0</x:v>
      </x:c>
      <x:c r="BL205" s="9" t="n">
        <x:v>0</x:v>
      </x:c>
      <x:c r="BM205" s="9" t="n">
        <x:v>1</x:v>
      </x:c>
      <x:c r="BN205" s="9" t="n">
        <x:v>1</x:v>
      </x:c>
      <x:c r="BO205" s="9" t="n">
        <x:v>1</x:v>
      </x:c>
    </x:row>
    <x:row r="206" ht="38" customHeight="1">
      <x:c r="A206" s="2" t="str">
        <x:v>LX26C07</x:v>
      </x:c>
      <x:c r="B206" s="2" t="str">
        <x:v>2026-08-17</x:v>
      </x:c>
      <x:c r="C206" s="7" t="str">
        <x:v>贵州锦屏三江镇越野车失控伤人事故</x:v>
      </x:c>
      <x:c r="D206" s="2" t="str">
        <x:v>贵州</x:v>
      </x:c>
      <x:c r="E206" s="2" t="str">
        <x:v>黔东南</x:v>
      </x:c>
      <x:c r="F206" s="2" t="str">
        <x:v>excluded</x:v>
      </x:c>
      <x:c r="G206" s="2" t="str">
        <x:v>街道交通</x:v>
      </x:c>
      <x:c r="H206" s="2" t="str">
        <x:v>驾车</x:v>
      </x:c>
      <x:c r="I206" s="9"/>
      <x:c r="J206" s="9"/>
      <x:c r="K206" s="2"/>
      <x:c r="L206" s="9"/>
      <x:c r="M206" s="9"/>
      <x:c r="N206" s="10" t="n">
        <x:v>46251</x:v>
      </x:c>
      <x:c r="O206" s="7" t="str">
        <x:v>仅通报伤者均送医且无生命危险，未公布人数。</x:v>
      </x:c>
      <x:c r="P206" s="7" t="str">
        <x:v>警方初步核查为车辆失控导致道路交通事故；未发现主动选择人群撞击的可靠证据，不能凭多人倒地影像认定故意袭击。</x:v>
      </x:c>
      <x:c r="Q206" s="2" t="str">
        <x:v>锦屏县</x:v>
      </x:c>
      <x:c r="R206" s="2"/>
      <x:c r="S206" s="2" t="str">
        <x:v>day</x:v>
      </x:c>
      <x:c r="T206" s="2"/>
      <x:c r="U206" s="2"/>
      <x:c r="V206" s="9"/>
      <x:c r="W206" s="9"/>
      <x:c r="X206" s="9"/>
      <x:c r="Y206" s="2"/>
      <x:c r="Z206" s="2"/>
      <x:c r="AA206" s="9"/>
      <x:c r="AB206" s="2"/>
      <x:c r="AC206" s="2"/>
      <x:c r="AD206" s="7"/>
      <x:c r="AE206" s="2" t="str"/>
      <x:c r="AF206" s="2" t="str">
        <x:v>未知</x:v>
      </x:c>
      <x:c r="AG206" s="2"/>
      <x:c r="AH206" s="2"/>
      <x:c r="AI206" s="2"/>
      <x:c r="AJ206" s="2"/>
      <x:c r="AK206" s="2" t="str">
        <x:v>警方调查交通事故。</x:v>
      </x:c>
      <x:c r="AL206" s="10"/>
      <x:c r="AM206" s="10"/>
      <x:c r="AN206" s="10" t="n">
        <x:v>46251</x:v>
      </x:c>
      <x:c r="AO206" s="2" t="str">
        <x:v>官方转载</x:v>
      </x:c>
      <x:c r="AP206" s="7" t="str">
        <x:v>LXS26C17</x:v>
      </x:c>
      <x:c r="AQ206" s="7" t="str">
        <x:v>{"date":["LXS26C17"],"location":["LXS26C17"],"casualties":["LXS26C17"],"classification":["LXS26C17"],"motive":[],"outcome":["LXS26C17"]}</x:v>
      </x:c>
      <x:c r="AR206" s="2"/>
      <x:c r="AS206" s="9"/>
      <x:c r="AT206" s="9"/>
      <x:c r="AU206" s="9"/>
      <x:c r="AV206" s="2"/>
      <x:c r="AW206" s="2" t="str">
        <x:v>2026-X补查</x:v>
      </x:c>
      <x:c r="AX206" s="9" t="n">
        <x:v>2026</x:v>
      </x:c>
      <x:c r="AY206" s="10"/>
      <x:c r="AZ206" s="7"/>
      <x:c r="BA206" s="7"/>
      <x:c r="BB206" s="7" t="str"/>
      <x:c r="BC206" s="7"/>
      <x:c r="BD206" s="2" t="str">
        <x:v>是</x:v>
      </x:c>
      <x:c r="BE206" s="2" t="str">
        <x:v>是</x:v>
      </x:c>
      <x:c r="BF206" s="2" t="str">
        <x:v>警方初步通报</x:v>
      </x:c>
      <x:c r="BG206" s="2" t="str"/>
      <x:c r="BH206" s="9" t="n">
        <x:v>2026</x:v>
      </x:c>
      <x:c r="BI206" s="9" t="n">
        <x:v>0</x:v>
      </x:c>
      <x:c r="BJ206" s="9" t="n">
        <x:v>0</x:v>
      </x:c>
      <x:c r="BK206" s="9" t="n">
        <x:v>1</x:v>
      </x:c>
      <x:c r="BL206" s="9" t="n">
        <x:v>0</x:v>
      </x:c>
      <x:c r="BM206" s="9" t="n">
        <x:v>1</x:v>
      </x:c>
      <x:c r="BN206" s="9" t="n">
        <x:v>1</x:v>
      </x:c>
      <x:c r="BO206" s="9" t="n">
        <x:v>1</x:v>
      </x:c>
    </x:row>
    <x:row r="207" ht="38" customHeight="1">
      <x:c r="A207" s="2" t="str">
        <x:v>C041</x:v>
      </x:c>
      <x:c r="B207" s="2" t="str">
        <x:v>2026-08-18</x:v>
      </x:c>
      <x:c r="C207" s="7" t="str">
        <x:v>西宁街头持刀伤人及群众制止事件</x:v>
      </x:c>
      <x:c r="D207" s="2" t="str">
        <x:v>青海</x:v>
      </x:c>
      <x:c r="E207" s="2" t="str">
        <x:v>西宁</x:v>
      </x:c>
      <x:c r="F207" s="2" t="str">
        <x:v>expanded</x:v>
      </x:c>
      <x:c r="G207" s="2" t="str">
        <x:v>街道交通</x:v>
      </x:c>
      <x:c r="H207" s="2" t="str">
        <x:v>持械</x:v>
      </x:c>
      <x:c r="I207" s="9"/>
      <x:c r="J207" s="9" t="n">
        <x:v>2</x:v>
      </x:c>
      <x:c r="K207" s="2"/>
      <x:c r="L207" s="9"/>
      <x:c r="M207" s="9"/>
      <x:c r="N207" s="10" t="n">
        <x:v>46254</x:v>
      </x:c>
      <x:c r="O207" s="7" t="str">
        <x:v>新京报报道两人被划伤；人数由可靠媒体转引警方处置报道，非完整最终伤情鉴定。死亡、重伤及嫌疑人是否受伤仍未知；网传十余或二十余伤未采用。</x:v>
      </x:c>
      <x:c r="P207" s="7" t="str">
        <x:v>华商报大风新闻采访多名目击者称，持刀者先与摊主冲突并将其刺伤，又刺伤随后前来劝架的人。人民日报、极目等对制止者的采访及新京报引警方资料核实该次持刀伤人；原纠纷扩大到劝架者，符合expanded。此为依据媒体调查的研究分类，非官方随机袭击定性。</x:v>
      </x:c>
      <x:c r="Q207" s="2" t="str">
        <x:v>城东区</x:v>
      </x:c>
      <x:c r="R207" s="2" t="str">
        <x:v>城市</x:v>
      </x:c>
      <x:c r="S207" s="2" t="str">
        <x:v>day</x:v>
      </x:c>
      <x:c r="T207" s="2"/>
      <x:c r="U207" s="2"/>
      <x:c r="V207" s="9"/>
      <x:c r="W207" s="9"/>
      <x:c r="X207" s="9"/>
      <x:c r="Y207" s="2"/>
      <x:c r="Z207" s="2" t="str">
        <x:v>最初为发生冲突的摊主，随后为前来劝架者。</x:v>
      </x:c>
      <x:c r="AA207" s="9"/>
      <x:c r="AB207" s="2"/>
      <x:c r="AC207" s="2"/>
      <x:c r="AD207" s="7" t="str">
        <x:v>目击者采访称与摊主冲突，进一步起因未披露。</x:v>
      </x:c>
      <x:c r="AE207" s="2" t="str">
        <x:v>人际纠纷</x:v>
      </x:c>
      <x:c r="AF207" s="2" t="str">
        <x:v>媒体调查</x:v>
      </x:c>
      <x:c r="AG207" s="2"/>
      <x:c r="AH207" s="2"/>
      <x:c r="AI207" s="2"/>
      <x:c r="AJ207" s="2" t="str">
        <x:v>外卖骑手于荣先放置餐品后用电动车撞倒持刀者，群众合力控制并报警急救。</x:v>
      </x:c>
      <x:c r="AK207" s="2" t="str">
        <x:v>警方采取强制措施并立案；于荣先获见义勇为认定的后续官方媒体报道可检索。</x:v>
      </x:c>
      <x:c r="AL207" s="10"/>
      <x:c r="AM207" s="10"/>
      <x:c r="AN207" s="10" t="n">
        <x:v>46260</x:v>
      </x:c>
      <x:c r="AO207" s="2" t="str">
        <x:v>多源媒体</x:v>
      </x:c>
      <x:c r="AP207" s="7" t="str">
        <x:v>CS052；CS053；LXS26C04；LXS26C05；LXS26C06；LXS26C07；LXS26C33；LXS26C35</x:v>
      </x:c>
      <x:c r="AQ207" s="7" t="str">
        <x:v>{"date":["LXS26C04","LXS26C05","LXS26C07"],"location":["LXS26C04","LXS26C05","LXS26C07"],"casualties":["LXS26C06"],"classification":["LXS26C07","LXS26C04","LXS26C05","LXS26C06"],"motive":["LXS26C07"],"outcome":["LXS26C04","LXS26C06","LXS26C35"]}</x:v>
      </x:c>
      <x:c r="AR207" s="2"/>
      <x:c r="AS207" s="9"/>
      <x:c r="AT207" s="9"/>
      <x:c r="AU207" s="9"/>
      <x:c r="AV207" s="2" t="str">
        <x:v>华商报大风新闻目击者采访</x:v>
      </x:c>
      <x:c r="AW207" s="2" t="str">
        <x:v>2026-X补查</x:v>
      </x:c>
      <x:c r="AX207" s="9"/>
      <x:c r="AY207" s="10"/>
      <x:c r="AZ207" s="7" t="str">
        <x:v>当事人与目击者采访为2026-08-18约21时；不是精确时间。19日凌晨为视频上传时间。</x:v>
      </x:c>
      <x:c r="BA207" s="7"/>
      <x:c r="BB207" s="7" t="str">
        <x:v>https://x.com/MIYESAC/status/2089830704477548850</x:v>
      </x:c>
      <x:c r="BC207" s="7" t="str">
        <x:v>8月18日晚案发、19日凌晨上传视频：人民日报采访解释了早期日期冲突。两伤采用新京报报道，不采用同源社媒夸大数字。没有把骑手或其他未报告受伤的制止者算入伤者；其职业与年龄不填入袭击者字段。青海日报认定报道本轮原文重定向失败，只有摘要可见。</x:v>
      </x:c>
      <x:c r="BD207" s="2" t="str">
        <x:v>是</x:v>
      </x:c>
      <x:c r="BE207" s="2" t="str">
        <x:v>否</x:v>
      </x:c>
      <x:c r="BF207" s="2" t="str">
        <x:v>媒体调查：原纠纷扩大至劝架者</x:v>
      </x:c>
      <x:c r="BG207" s="2" t="str">
        <x:v>其他已披露背景</x:v>
      </x:c>
      <x:c r="BH207" s="9" t="n">
        <x:v>2026</x:v>
      </x:c>
      <x:c r="BI207" s="9" t="n">
        <x:v>0</x:v>
      </x:c>
      <x:c r="BJ207" s="9" t="n">
        <x:v>2</x:v>
      </x:c>
      <x:c r="BK207" s="9" t="n">
        <x:v>0</x:v>
      </x:c>
      <x:c r="BL207" s="9" t="n">
        <x:v>1</x:v>
      </x:c>
      <x:c r="BM207" s="9" t="n">
        <x:v>1</x:v>
      </x:c>
      <x:c r="BN207" s="9" t="n">
        <x:v>1</x:v>
      </x:c>
      <x:c r="BO207" s="9" t="n">
        <x:v>0</x:v>
      </x:c>
    </x:row>
    <x:row r="208" ht="38" customHeight="1">
      <x:c r="A208" s="2" t="str">
        <x:v>C042</x:v>
      </x:c>
      <x:c r="B208" s="2" t="str">
        <x:v>2026-08-18</x:v>
      </x:c>
      <x:c r="C208" s="7" t="str">
        <x:v>网传汕头陈厝合持刀伤人事件</x:v>
      </x:c>
      <x:c r="D208" s="2" t="str">
        <x:v>广东</x:v>
      </x:c>
      <x:c r="E208" s="2" t="str">
        <x:v>汕头</x:v>
      </x:c>
      <x:c r="F208" s="2" t="str">
        <x:v>pending</x:v>
      </x:c>
      <x:c r="G208" s="2" t="str">
        <x:v>社区住宅</x:v>
      </x:c>
      <x:c r="H208" s="2" t="str">
        <x:v>持械</x:v>
      </x:c>
      <x:c r="I208" s="9"/>
      <x:c r="J208" s="9"/>
      <x:c r="K208" s="2"/>
      <x:c r="L208" s="9"/>
      <x:c r="M208" s="9"/>
      <x:c r="N208" s="10"/>
      <x:c r="O208" s="7"/>
      <x:c r="P208" s="7" t="str">
        <x:v>现有材料仍为同一组社交视频及转载，可见有人受伤和现场处置的报道，但拍摄日期、被害关系及人数未独立确认；不采用十余伤传言。</x:v>
      </x:c>
      <x:c r="Q208" s="2"/>
      <x:c r="R208" s="2"/>
      <x:c r="S208" s="2" t="str">
        <x:v>day</x:v>
      </x:c>
      <x:c r="T208" s="2"/>
      <x:c r="U208" s="2"/>
      <x:c r="V208" s="9"/>
      <x:c r="W208" s="9"/>
      <x:c r="X208" s="9"/>
      <x:c r="Y208" s="2"/>
      <x:c r="Z208" s="2"/>
      <x:c r="AA208" s="9"/>
      <x:c r="AB208" s="2"/>
      <x:c r="AC208" s="2"/>
      <x:c r="AD208" s="7"/>
      <x:c r="AE208" s="2" t="str"/>
      <x:c r="AF208" s="2" t="str">
        <x:v>未知</x:v>
      </x:c>
      <x:c r="AG208" s="2"/>
      <x:c r="AH208" s="2"/>
      <x:c r="AI208" s="2"/>
      <x:c r="AJ208" s="2"/>
      <x:c r="AK208" s="2"/>
      <x:c r="AL208" s="10"/>
      <x:c r="AM208" s="10"/>
      <x:c r="AN208" s="10" t="n">
        <x:v>46254</x:v>
      </x:c>
      <x:c r="AO208" s="2" t="str">
        <x:v>网传待核</x:v>
      </x:c>
      <x:c r="AP208" s="7" t="str">
        <x:v>CS053；LXS26C32</x:v>
      </x:c>
      <x:c r="AQ208" s="7" t="str">
        <x:v>{"date":["CS053","LXS26C32"],"location":["CS053"],"casualties":[],"classification":["CS053","LXS26C32"],"motive":[],"outcome":[]}</x:v>
      </x:c>
      <x:c r="AR208" s="2"/>
      <x:c r="AS208" s="9"/>
      <x:c r="AT208" s="9"/>
      <x:c r="AU208" s="9"/>
      <x:c r="AV208" s="2"/>
      <x:c r="AW208" s="2" t="str">
        <x:v>2026-X补查</x:v>
      </x:c>
      <x:c r="AX208" s="9"/>
      <x:c r="AY208" s="10"/>
      <x:c r="AZ208" s="7"/>
      <x:c r="BA208" s="7" t="str">
        <x:v>现有材料仍为同一组社交视频及转载，可见有人受伤和现场处置的报道，但拍摄日期、被害关系及人数未独立确认；不采用十余伤传言。</x:v>
      </x:c>
      <x:c r="BB208" s="7" t="str">
        <x:v>https://x.com/MKBKCOM/status/2090022453246382399</x:v>
      </x:c>
      <x:c r="BC208" s="7" t="str">
        <x:v>原X status URL已从新唐人嵌入链接恢复，原站返回空正文；镜像与转载不算第二独立来源。</x:v>
      </x:c>
      <x:c r="BD208" s="2" t="str">
        <x:v>否</x:v>
      </x:c>
      <x:c r="BE208" s="2" t="str">
        <x:v>否</x:v>
      </x:c>
      <x:c r="BF208" s="2" t="str">
        <x:v>媒体调查／研究推断</x:v>
      </x:c>
      <x:c r="BG208" s="2" t="str"/>
      <x:c r="BH208" s="9" t="n">
        <x:v>2026</x:v>
      </x:c>
      <x:c r="BI208" s="9" t="n">
        <x:v>0</x:v>
      </x:c>
      <x:c r="BJ208" s="9" t="n">
        <x:v>0</x:v>
      </x:c>
      <x:c r="BK208" s="9" t="n">
        <x:v>0</x:v>
      </x:c>
      <x:c r="BL208" s="9" t="n">
        <x:v>0</x:v>
      </x:c>
      <x:c r="BM208" s="9" t="n">
        <x:v>1</x:v>
      </x:c>
      <x:c r="BN208" s="9" t="n">
        <x:v>1</x:v>
      </x:c>
      <x:c r="BO208" s="9" t="n">
        <x:v>1</x:v>
      </x:c>
    </x:row>
    <x:row r="209" ht="38" customHeight="1">
      <x:c r="A209" s="2" t="str">
        <x:v>LX26C14</x:v>
      </x:c>
      <x:c r="B209" s="2" t="str">
        <x:v>2026-08-19</x:v>
      </x:c>
      <x:c r="C209" s="7" t="str">
        <x:v>网传茂名电城海景明珠持刀伤人事件</x:v>
      </x:c>
      <x:c r="D209" s="2" t="str">
        <x:v>广东</x:v>
      </x:c>
      <x:c r="E209" s="2" t="str">
        <x:v>茂名</x:v>
      </x:c>
      <x:c r="F209" s="2" t="str">
        <x:v>pending</x:v>
      </x:c>
      <x:c r="G209" s="2" t="str">
        <x:v>社区住宅</x:v>
      </x:c>
      <x:c r="H209" s="2" t="str">
        <x:v>持械</x:v>
      </x:c>
      <x:c r="I209" s="9"/>
      <x:c r="J209" s="9"/>
      <x:c r="K209" s="2"/>
      <x:c r="L209" s="9"/>
      <x:c r="M209" s="9"/>
      <x:c r="N209" s="10"/>
      <x:c r="O209" s="7"/>
      <x:c r="P209" s="7" t="str">
        <x:v>仅有网络影像及转述；一名男子攻击女子的日期、伤亡及双方关系未独立核实；情感纠纷传言不能直接作为排除或核心认定。</x:v>
      </x:c>
      <x:c r="Q209" s="2" t="str">
        <x:v>电白区</x:v>
      </x:c>
      <x:c r="R209" s="2"/>
      <x:c r="S209" s="2" t="str">
        <x:v>day</x:v>
      </x:c>
      <x:c r="T209" s="2"/>
      <x:c r="U209" s="2"/>
      <x:c r="V209" s="9"/>
      <x:c r="W209" s="9"/>
      <x:c r="X209" s="9"/>
      <x:c r="Y209" s="2"/>
      <x:c r="Z209" s="2"/>
      <x:c r="AA209" s="9"/>
      <x:c r="AB209" s="2" t="str">
        <x:v>男</x:v>
      </x:c>
      <x:c r="AC209" s="2"/>
      <x:c r="AD209" s="7"/>
      <x:c r="AE209" s="2" t="str"/>
      <x:c r="AF209" s="2" t="str">
        <x:v>未知</x:v>
      </x:c>
      <x:c r="AG209" s="2"/>
      <x:c r="AH209" s="2"/>
      <x:c r="AI209" s="2"/>
      <x:c r="AJ209" s="2"/>
      <x:c r="AK209" s="2"/>
      <x:c r="AL209" s="10"/>
      <x:c r="AM209" s="10"/>
      <x:c r="AN209" s="10" t="n">
        <x:v>46254</x:v>
      </x:c>
      <x:c r="AO209" s="2" t="str">
        <x:v>网传待核</x:v>
      </x:c>
      <x:c r="AP209" s="7" t="str">
        <x:v>LXS26C25；CS053</x:v>
      </x:c>
      <x:c r="AQ209" s="7" t="str">
        <x:v>{"date":["CS053"],"location":["CS053"],"casualties":[],"classification":["LXS26C25","CS053"],"motive":[],"outcome":[]}</x:v>
      </x:c>
      <x:c r="AR209" s="2"/>
      <x:c r="AS209" s="9"/>
      <x:c r="AT209" s="9"/>
      <x:c r="AU209" s="9"/>
      <x:c r="AV209" s="2"/>
      <x:c r="AW209" s="2" t="str">
        <x:v>2026-X补查</x:v>
      </x:c>
      <x:c r="AX209" s="9" t="n">
        <x:v>2026</x:v>
      </x:c>
      <x:c r="AY209" s="10"/>
      <x:c r="AZ209" s="7"/>
      <x:c r="BA209" s="7" t="str">
        <x:v>仅有网络影像及转述；一名男子攻击女子的日期、伤亡及双方关系未独立核实；情感纠纷传言不能直接作为排除或核心认定。</x:v>
      </x:c>
      <x:c r="BB209" s="7" t="str">
        <x:v>https://x.com/newszg_official/status/2090085905876795776</x:v>
      </x:c>
      <x:c r="BC209" s="7" t="str">
        <x:v>8月19日采用既有CS053叙述，尚未取得当地官方通报；不录入未核钱款或私生活指控。</x:v>
      </x:c>
      <x:c r="BD209" s="2" t="str">
        <x:v>否</x:v>
      </x:c>
      <x:c r="BE209" s="2" t="str">
        <x:v>否</x:v>
      </x:c>
      <x:c r="BF209" s="2" t="str">
        <x:v>网传／待核</x:v>
      </x:c>
      <x:c r="BG209" s="2" t="str"/>
      <x:c r="BH209" s="9" t="n">
        <x:v>2026</x:v>
      </x:c>
      <x:c r="BI209" s="9" t="n">
        <x:v>0</x:v>
      </x:c>
      <x:c r="BJ209" s="9" t="n">
        <x:v>0</x:v>
      </x:c>
      <x:c r="BK209" s="9" t="n">
        <x:v>0</x:v>
      </x:c>
      <x:c r="BL209" s="9" t="n">
        <x:v>0</x:v>
      </x:c>
      <x:c r="BM209" s="9" t="n">
        <x:v>1</x:v>
      </x:c>
      <x:c r="BN209" s="9" t="n">
        <x:v>1</x:v>
      </x:c>
      <x:c r="BO209" s="9" t="n">
        <x:v>1</x:v>
      </x:c>
    </x:row>
    <x:row r="210" ht="38" customHeight="1">
      <x:c r="A210" s="2" t="str">
        <x:v>LX26C03</x:v>
      </x:c>
      <x:c r="B210" s="2" t="str">
        <x:v>2026-08-20</x:v>
      </x:c>
      <x:c r="C210" s="7" t="str">
        <x:v>玉林玉州路女子遇袭案</x:v>
      </x:c>
      <x:c r="D210" s="2" t="str">
        <x:v>广西</x:v>
      </x:c>
      <x:c r="E210" s="2" t="str">
        <x:v>玉林</x:v>
      </x:c>
      <x:c r="F210" s="2" t="str">
        <x:v>pending</x:v>
      </x:c>
      <x:c r="G210" s="2" t="str">
        <x:v>街道交通</x:v>
      </x:c>
      <x:c r="H210" s="2" t="str">
        <x:v>持械</x:v>
      </x:c>
      <x:c r="I210" s="9"/>
      <x:c r="J210" s="9" t="n">
        <x:v>1</x:v>
      </x:c>
      <x:c r="K210" s="2"/>
      <x:c r="L210" s="9"/>
      <x:c r="M210" s="9"/>
      <x:c r="N210" s="10" t="n">
        <x:v>46255</x:v>
      </x:c>
      <x:c r="O210" s="7" t="str">
        <x:v>采用警方一人受伤、无生命危险口径；网传带孩子同行不等于儿童受伤。</x:v>
      </x:c>
      <x:c r="P210" s="7" t="str">
        <x:v>警方确认故意伤害、一人受伤；社媒称从背后袭击扫车女子且双方不识，但材料为同一网民／截图链条，未核实身份关系及完整攻击前因。</x:v>
      </x:c>
      <x:c r="Q210" s="2" t="str">
        <x:v>玉州区</x:v>
      </x:c>
      <x:c r="R210" s="2" t="str">
        <x:v>城市</x:v>
      </x:c>
      <x:c r="S210" s="2" t="str">
        <x:v>day</x:v>
      </x:c>
      <x:c r="T210" s="2"/>
      <x:c r="U210" s="2"/>
      <x:c r="V210" s="9"/>
      <x:c r="W210" s="9"/>
      <x:c r="X210" s="9"/>
      <x:c r="Y210" s="2"/>
      <x:c r="Z210" s="2" t="str">
        <x:v>网传陌生女子，关系尚未独立核实</x:v>
      </x:c>
      <x:c r="AA210" s="9"/>
      <x:c r="AB210" s="2"/>
      <x:c r="AC210" s="2"/>
      <x:c r="AD210" s="7"/>
      <x:c r="AE210" s="2" t="str"/>
      <x:c r="AF210" s="2" t="str">
        <x:v>未知</x:v>
      </x:c>
      <x:c r="AG210" s="2"/>
      <x:c r="AH210" s="2"/>
      <x:c r="AI210" s="2"/>
      <x:c r="AJ210" s="2" t="str">
        <x:v>现场控制嫌疑人</x:v>
      </x:c>
      <x:c r="AK210" s="2" t="str">
        <x:v>韦某被当场控制，案件进一步侦办中；未见通报说明具体强制措施。</x:v>
      </x:c>
      <x:c r="AL210" s="10"/>
      <x:c r="AM210" s="10"/>
      <x:c r="AN210" s="10" t="n">
        <x:v>46256</x:v>
      </x:c>
      <x:c r="AO210" s="2" t="str">
        <x:v>官方转载</x:v>
      </x:c>
      <x:c r="AP210" s="7" t="str">
        <x:v>LXS26C11；LXS26C12；LXS26C36</x:v>
      </x:c>
      <x:c r="AQ210" s="7" t="str">
        <x:v>{"date":["LXS26C11"],"location":["LXS26C11"],"casualties":["LXS26C11"],"classification":["LXS26C11","LXS26C12","LXS26C36"],"motive":[],"outcome":["LXS26C11"]}</x:v>
      </x:c>
      <x:c r="AR210" s="2"/>
      <x:c r="AS210" s="9"/>
      <x:c r="AT210" s="9"/>
      <x:c r="AU210" s="9"/>
      <x:c r="AV210" s="2"/>
      <x:c r="AW210" s="2" t="str">
        <x:v>2026-X补查</x:v>
      </x:c>
      <x:c r="AX210" s="9" t="n">
        <x:v>2026</x:v>
      </x:c>
      <x:c r="AY210" s="10"/>
      <x:c r="AZ210" s="7"/>
      <x:c r="BA210" s="7" t="str">
        <x:v>警方确认故意伤害、一人受伤；社媒称从背后袭击扫车女子且双方不识，但材料为同一网民／截图链条，未核实身份关系及完整攻击前因。</x:v>
      </x:c>
      <x:c r="BB210" s="7" t="str"/>
      <x:c r="BC210" s="7" t="str">
        <x:v>MNewsTV与新唐人共享同组图像和说法，不作为第二独立证据；儿童是否直接被袭未知。</x:v>
      </x:c>
      <x:c r="BD210" s="2" t="str">
        <x:v>是</x:v>
      </x:c>
      <x:c r="BE210" s="2" t="str">
        <x:v>否</x:v>
      </x:c>
      <x:c r="BF210" s="2" t="str">
        <x:v>警方确认发生／对象关系待核</x:v>
      </x:c>
      <x:c r="BG210" s="2" t="str"/>
      <x:c r="BH210" s="9" t="n">
        <x:v>2026</x:v>
      </x:c>
      <x:c r="BI210" s="9" t="n">
        <x:v>0</x:v>
      </x:c>
      <x:c r="BJ210" s="9" t="n">
        <x:v>1</x:v>
      </x:c>
      <x:c r="BK210" s="9" t="n">
        <x:v>0</x:v>
      </x:c>
      <x:c r="BL210" s="9" t="n">
        <x:v>0</x:v>
      </x:c>
      <x:c r="BM210" s="9" t="n">
        <x:v>1</x:v>
      </x:c>
      <x:c r="BN210" s="9" t="n">
        <x:v>1</x:v>
      </x:c>
      <x:c r="BO210" s="9" t="n">
        <x:v>0</x:v>
      </x:c>
    </x:row>
    <x:row r="211" ht="38" customHeight="1">
      <x:c r="A211" s="2" t="str">
        <x:v>LX26C02</x:v>
      </x:c>
      <x:c r="B211" s="2" t="str">
        <x:v>2026-09-04</x:v>
      </x:c>
      <x:c r="C211" s="7" t="str">
        <x:v>贵阳贵州中医大二附院红岩院区医生遇刺案</x:v>
      </x:c>
      <x:c r="D211" s="2" t="str">
        <x:v>贵州</x:v>
      </x:c>
      <x:c r="E211" s="2" t="str">
        <x:v>贵阳</x:v>
      </x:c>
      <x:c r="F211" s="2" t="str">
        <x:v>pending</x:v>
      </x:c>
      <x:c r="G211" s="2" t="str">
        <x:v>医疗机构</x:v>
      </x:c>
      <x:c r="H211" s="2" t="str">
        <x:v>持械</x:v>
      </x:c>
      <x:c r="I211" s="9"/>
      <x:c r="J211" s="9" t="n">
        <x:v>1</x:v>
      </x:c>
      <x:c r="K211" s="2"/>
      <x:c r="L211" s="9"/>
      <x:c r="M211" s="9"/>
      <x:c r="N211" s="10" t="n">
        <x:v>46271</x:v>
      </x:c>
      <x:c r="O211" s="7" t="str">
        <x:v>警方称唯一公开伤者病情稳定、无生命危险；没有最终伤情鉴定。</x:v>
      </x:c>
      <x:c r="P211" s="7" t="str">
        <x:v>警方及记者联系院方、卫健委可确认伤医事件；患者找不到原诊疗医生转刺其他科医生的说法尚停留在稿件转引网传，未核实原医患关系和替代攻击经过，因此暂不升为expanded。</x:v>
      </x:c>
      <x:c r="Q211" s="2" t="str">
        <x:v>南明区</x:v>
      </x:c>
      <x:c r="R211" s="2"/>
      <x:c r="S211" s="2" t="str">
        <x:v>day</x:v>
      </x:c>
      <x:c r="T211" s="2"/>
      <x:c r="U211" s="2"/>
      <x:c r="V211" s="9"/>
      <x:c r="W211" s="9"/>
      <x:c r="X211" s="9"/>
      <x:c r="Y211" s="2"/>
      <x:c r="Z211" s="2" t="str">
        <x:v>医生；是否曾与袭击者存在诊疗关系待核</x:v>
      </x:c>
      <x:c r="AA211" s="9"/>
      <x:c r="AB211" s="2"/>
      <x:c r="AC211" s="2"/>
      <x:c r="AD211" s="7" t="str">
        <x:v>网传患者不满诊疗、寻找另一名医生未果；尚无可核实动机结论。</x:v>
      </x:c>
      <x:c r="AE211" s="2" t="str"/>
      <x:c r="AF211" s="2" t="str">
        <x:v>未知</x:v>
      </x:c>
      <x:c r="AG211" s="2"/>
      <x:c r="AH211" s="2"/>
      <x:c r="AI211" s="2"/>
      <x:c r="AJ211" s="2" t="str">
        <x:v>警方现场控制嫌疑人</x:v>
      </x:c>
      <x:c r="AK211" s="2" t="str">
        <x:v>胡某被刑事拘留，案件办理中。</x:v>
      </x:c>
      <x:c r="AL211" s="10"/>
      <x:c r="AM211" s="10"/>
      <x:c r="AN211" s="10" t="n">
        <x:v>46271</x:v>
      </x:c>
      <x:c r="AO211" s="2" t="str">
        <x:v>官方转载</x:v>
      </x:c>
      <x:c r="AP211" s="7" t="str">
        <x:v>LXS26C09；LXS26C10</x:v>
      </x:c>
      <x:c r="AQ211" s="7" t="str">
        <x:v>{"date":["LXS26C09"],"location":["LXS26C09"],"casualties":["LXS26C09"],"classification":["LXS26C09","LXS26C10"],"motive":["LXS26C10"],"outcome":["LXS26C09"]}</x:v>
      </x:c>
      <x:c r="AR211" s="2"/>
      <x:c r="AS211" s="9"/>
      <x:c r="AT211" s="9"/>
      <x:c r="AU211" s="9"/>
      <x:c r="AV211" s="2" t="str">
        <x:v>网传待核</x:v>
      </x:c>
      <x:c r="AW211" s="2" t="str">
        <x:v>2026-X补查</x:v>
      </x:c>
      <x:c r="AX211" s="9" t="n">
        <x:v>2026</x:v>
      </x:c>
      <x:c r="AY211" s="10"/>
      <x:c r="AZ211" s="7"/>
      <x:c r="BA211" s="7" t="str">
        <x:v>警方及记者联系院方、卫健委可确认伤医事件；患者找不到原诊疗医生转刺其他科医生的说法尚停留在稿件转引网传，未核实原医患关系和替代攻击经过，因此暂不升为expanded。</x:v>
      </x:c>
      <x:c r="BB211" s="7" t="str"/>
      <x:c r="BC211" s="7" t="str">
        <x:v>不因媒体称伤势重而填写法定重伤人数。</x:v>
      </x:c>
      <x:c r="BD211" s="2" t="str">
        <x:v>是</x:v>
      </x:c>
      <x:c r="BE211" s="2" t="str">
        <x:v>否</x:v>
      </x:c>
      <x:c r="BF211" s="2" t="str">
        <x:v>警方确认发生／对象关系待核</x:v>
      </x:c>
      <x:c r="BG211" s="2" t="str"/>
      <x:c r="BH211" s="9" t="n">
        <x:v>2026</x:v>
      </x:c>
      <x:c r="BI211" s="9" t="n">
        <x:v>0</x:v>
      </x:c>
      <x:c r="BJ211" s="9" t="n">
        <x:v>1</x:v>
      </x:c>
      <x:c r="BK211" s="9" t="n">
        <x:v>0</x:v>
      </x:c>
      <x:c r="BL211" s="9" t="n">
        <x:v>0</x:v>
      </x:c>
      <x:c r="BM211" s="9" t="n">
        <x:v>1</x:v>
      </x:c>
      <x:c r="BN211" s="9" t="n">
        <x:v>1</x:v>
      </x:c>
      <x:c r="BO211" s="9" t="n">
        <x:v>0</x:v>
      </x:c>
    </x:row>
    <x:row r="212" ht="38" customHeight="1">
      <x:c r="A212" s="2" t="str">
        <x:v>LX26C16</x:v>
      </x:c>
      <x:c r="B212" s="2" t="str">
        <x:v>2026-09-08</x:v>
      </x:c>
      <x:c r="C212" s="7" t="str">
        <x:v>合肥包河仓库火灾及报复纵火传言</x:v>
      </x:c>
      <x:c r="D212" s="2" t="str">
        <x:v>安徽</x:v>
      </x:c>
      <x:c r="E212" s="2" t="str">
        <x:v>合肥</x:v>
      </x:c>
      <x:c r="F212" s="2" t="str">
        <x:v>pending</x:v>
      </x:c>
      <x:c r="G212" s="2" t="str">
        <x:v>其他</x:v>
      </x:c>
      <x:c r="H212" s="2"/>
      <x:c r="I212" s="9" t="n">
        <x:v>0</x:v>
      </x:c>
      <x:c r="J212" s="9" t="n">
        <x:v>0</x:v>
      </x:c>
      <x:c r="K212" s="2"/>
      <x:c r="L212" s="9"/>
      <x:c r="M212" s="9"/>
      <x:c r="N212" s="10" t="n">
        <x:v>46274</x:v>
      </x:c>
      <x:c r="O212" s="7"/>
      <x:c r="P212" s="7" t="str">
        <x:v>消防确认火灾，尚未披露起因；报复纵火说法来自未核实社媒，缺少行为人、行为及攻击目标证据。</x:v>
      </x:c>
      <x:c r="Q212" s="2" t="str">
        <x:v>包河区</x:v>
      </x:c>
      <x:c r="R212" s="2"/>
      <x:c r="S212" s="2" t="str">
        <x:v>day</x:v>
      </x:c>
      <x:c r="T212" s="2"/>
      <x:c r="U212" s="2"/>
      <x:c r="V212" s="9"/>
      <x:c r="W212" s="9"/>
      <x:c r="X212" s="9"/>
      <x:c r="Y212" s="2"/>
      <x:c r="Z212" s="2"/>
      <x:c r="AA212" s="9"/>
      <x:c r="AB212" s="2"/>
      <x:c r="AC212" s="2"/>
      <x:c r="AD212" s="7"/>
      <x:c r="AE212" s="2" t="str"/>
      <x:c r="AF212" s="2" t="str">
        <x:v>未知</x:v>
      </x:c>
      <x:c r="AG212" s="2"/>
      <x:c r="AH212" s="2"/>
      <x:c r="AI212" s="2"/>
      <x:c r="AJ212" s="2"/>
      <x:c r="AK212" s="2" t="str">
        <x:v>9月9日0:40火势受控。</x:v>
      </x:c>
      <x:c r="AL212" s="10"/>
      <x:c r="AM212" s="10"/>
      <x:c r="AN212" s="10" t="n">
        <x:v>46274</x:v>
      </x:c>
      <x:c r="AO212" s="2" t="str">
        <x:v>官方转载</x:v>
      </x:c>
      <x:c r="AP212" s="7" t="str">
        <x:v>LXS26C27；LXS26C28</x:v>
      </x:c>
      <x:c r="AQ212" s="7" t="str">
        <x:v>{"date":["LXS26C28"],"location":["LXS26C28"],"casualties":["LXS26C28"],"classification":["LXS26C27","LXS26C28"],"motive":[],"outcome":["LXS26C28"]}</x:v>
      </x:c>
      <x:c r="AR212" s="2"/>
      <x:c r="AS212" s="9"/>
      <x:c r="AT212" s="9"/>
      <x:c r="AU212" s="9"/>
      <x:c r="AV212" s="2"/>
      <x:c r="AW212" s="2" t="str">
        <x:v>2026-X补查</x:v>
      </x:c>
      <x:c r="AX212" s="9" t="n">
        <x:v>2026</x:v>
      </x:c>
      <x:c r="AY212" s="10"/>
      <x:c r="AZ212" s="7"/>
      <x:c r="BA212" s="7" t="str">
        <x:v>消防确认火灾，尚未披露起因；报复纵火说法来自未核实社媒，缺少行为人、行为及攻击目标证据。</x:v>
      </x:c>
      <x:c r="BB212" s="7" t="str"/>
      <x:c r="BC212" s="7" t="str">
        <x:v>案发采用消防报警日9月8日，非报道9月9日，更不采用社交帖的9月10日。</x:v>
      </x:c>
      <x:c r="BD212" s="2" t="str">
        <x:v>是</x:v>
      </x:c>
      <x:c r="BE212" s="2" t="str">
        <x:v>否</x:v>
      </x:c>
      <x:c r="BF212" s="2" t="str">
        <x:v>火灾事实官方／主动袭击待核</x:v>
      </x:c>
      <x:c r="BG212" s="2" t="str"/>
      <x:c r="BH212" s="9" t="n">
        <x:v>2026</x:v>
      </x:c>
      <x:c r="BI212" s="9" t="n">
        <x:v>0</x:v>
      </x:c>
      <x:c r="BJ212" s="9" t="n">
        <x:v>0</x:v>
      </x:c>
      <x:c r="BK212" s="9" t="n">
        <x:v>0</x:v>
      </x:c>
      <x:c r="BL212" s="9" t="n">
        <x:v>0</x:v>
      </x:c>
      <x:c r="BM212" s="9" t="n">
        <x:v>1</x:v>
      </x:c>
      <x:c r="BN212" s="9" t="n">
        <x:v>0</x:v>
      </x:c>
      <x:c r="BO212" s="9" t="n">
        <x:v>0</x:v>
      </x:c>
    </x:row>
    <x:row r="213" ht="38" customHeight="1">
      <x:c r="A213" s="2" t="str">
        <x:v>LX26C17</x:v>
      </x:c>
      <x:c r="B213" s="2" t="str">
        <x:v>2026-09-08</x:v>
      </x:c>
      <x:c r="C213" s="7" t="str">
        <x:v>蚌埠高华电子厂房火灾及讨薪纵火传言</x:v>
      </x:c>
      <x:c r="D213" s="2" t="str">
        <x:v>安徽</x:v>
      </x:c>
      <x:c r="E213" s="2" t="str">
        <x:v>蚌埠</x:v>
      </x:c>
      <x:c r="F213" s="2" t="str">
        <x:v>pending</x:v>
      </x:c>
      <x:c r="G213" s="2" t="str">
        <x:v>其他</x:v>
      </x:c>
      <x:c r="H213" s="2"/>
      <x:c r="I213" s="9" t="n">
        <x:v>0</x:v>
      </x:c>
      <x:c r="J213" s="9" t="n">
        <x:v>0</x:v>
      </x:c>
      <x:c r="K213" s="2"/>
      <x:c r="L213" s="9"/>
      <x:c r="M213" s="9"/>
      <x:c r="N213" s="10" t="n">
        <x:v>46273</x:v>
      </x:c>
      <x:c r="O213" s="7" t="str">
        <x:v>截至早间消防初报暂未发现人员伤亡，不能解释为最终结案统计。</x:v>
      </x:c>
      <x:c r="P213" s="7" t="str">
        <x:v>消防确认高新区厂房火灾，但原因未公布；讨薪员工纵火说法只在社媒汇编出现，无可核实行为人及调查结论。</x:v>
      </x:c>
      <x:c r="Q213" s="2"/>
      <x:c r="R213" s="2"/>
      <x:c r="S213" s="2" t="str">
        <x:v>day</x:v>
      </x:c>
      <x:c r="T213" s="2"/>
      <x:c r="U213" s="2"/>
      <x:c r="V213" s="9"/>
      <x:c r="W213" s="9"/>
      <x:c r="X213" s="9"/>
      <x:c r="Y213" s="2"/>
      <x:c r="Z213" s="2"/>
      <x:c r="AA213" s="9"/>
      <x:c r="AB213" s="2"/>
      <x:c r="AC213" s="2"/>
      <x:c r="AD213" s="7"/>
      <x:c r="AE213" s="2" t="str"/>
      <x:c r="AF213" s="2" t="str">
        <x:v>未知</x:v>
      </x:c>
      <x:c r="AG213" s="2"/>
      <x:c r="AH213" s="2"/>
      <x:c r="AI213" s="2"/>
      <x:c r="AJ213" s="2"/>
      <x:c r="AK213" s="2" t="str">
        <x:v>消防称火势得到有效控制。</x:v>
      </x:c>
      <x:c r="AL213" s="10"/>
      <x:c r="AM213" s="10"/>
      <x:c r="AN213" s="10" t="n">
        <x:v>46274</x:v>
      </x:c>
      <x:c r="AO213" s="2" t="str">
        <x:v>官方转载</x:v>
      </x:c>
      <x:c r="AP213" s="7" t="str">
        <x:v>LXS26C27；LXS26C29</x:v>
      </x:c>
      <x:c r="AQ213" s="7" t="str">
        <x:v>{"date":["LXS26C29"],"location":["LXS26C29"],"casualties":["LXS26C29"],"classification":["LXS26C27","LXS26C29"],"motive":[],"outcome":["LXS26C29"]}</x:v>
      </x:c>
      <x:c r="AR213" s="2"/>
      <x:c r="AS213" s="9"/>
      <x:c r="AT213" s="9"/>
      <x:c r="AU213" s="9"/>
      <x:c r="AV213" s="2"/>
      <x:c r="AW213" s="2" t="str">
        <x:v>2026-X补查</x:v>
      </x:c>
      <x:c r="AX213" s="9" t="n">
        <x:v>2026</x:v>
      </x:c>
      <x:c r="AY213" s="10"/>
      <x:c r="AZ213" s="7"/>
      <x:c r="BA213" s="7" t="str">
        <x:v>消防确认高新区厂房火灾，但原因未公布；讨薪员工纵火说法只在社媒汇编出现，无可核实行为人及调查结论。</x:v>
      </x:c>
      <x:c r="BB213" s="7" t="str"/>
      <x:c r="BC213" s="7"/>
      <x:c r="BD213" s="2" t="str">
        <x:v>是</x:v>
      </x:c>
      <x:c r="BE213" s="2" t="str">
        <x:v>否</x:v>
      </x:c>
      <x:c r="BF213" s="2" t="str">
        <x:v>火灾事实官方／主动袭击待核</x:v>
      </x:c>
      <x:c r="BG213" s="2" t="str"/>
      <x:c r="BH213" s="9" t="n">
        <x:v>2026</x:v>
      </x:c>
      <x:c r="BI213" s="9" t="n">
        <x:v>0</x:v>
      </x:c>
      <x:c r="BJ213" s="9" t="n">
        <x:v>0</x:v>
      </x:c>
      <x:c r="BK213" s="9" t="n">
        <x:v>0</x:v>
      </x:c>
      <x:c r="BL213" s="9" t="n">
        <x:v>0</x:v>
      </x:c>
      <x:c r="BM213" s="9" t="n">
        <x:v>1</x:v>
      </x:c>
      <x:c r="BN213" s="9" t="n">
        <x:v>0</x:v>
      </x:c>
      <x:c r="BO213" s="9" t="n">
        <x:v>0</x:v>
      </x:c>
    </x:row>
    <x:row r="214" ht="38" customHeight="1">
      <x:c r="A214" s="2" t="str">
        <x:v>LX26C12</x:v>
      </x:c>
      <x:c r="B214" s="2" t="str">
        <x:v>2026-09-13</x:v>
      </x:c>
      <x:c r="C214" s="7" t="str">
        <x:v>网传保定定兴火锅店外卖员持刀冲突</x:v>
      </x:c>
      <x:c r="D214" s="2" t="str">
        <x:v>河北</x:v>
      </x:c>
      <x:c r="E214" s="2" t="str">
        <x:v>保定</x:v>
      </x:c>
      <x:c r="F214" s="2" t="str">
        <x:v>pending</x:v>
      </x:c>
      <x:c r="G214" s="2" t="str">
        <x:v>商业场所</x:v>
      </x:c>
      <x:c r="H214" s="2" t="str">
        <x:v>持械</x:v>
      </x:c>
      <x:c r="I214" s="9"/>
      <x:c r="J214" s="9"/>
      <x:c r="K214" s="2"/>
      <x:c r="L214" s="9"/>
      <x:c r="M214" s="9"/>
      <x:c r="N214" s="10"/>
      <x:c r="O214" s="7"/>
      <x:c r="P214" s="7" t="str">
        <x:v>镜像只描述持刀与店家冲突，未确认实施伤害，也未显示攻击无关旁人；发生细节、伤亡及对象关系待核。</x:v>
      </x:c>
      <x:c r="Q214" s="2" t="str">
        <x:v>定兴县</x:v>
      </x:c>
      <x:c r="R214" s="2"/>
      <x:c r="S214" s="2" t="str">
        <x:v>day</x:v>
      </x:c>
      <x:c r="T214" s="2"/>
      <x:c r="U214" s="2"/>
      <x:c r="V214" s="9"/>
      <x:c r="W214" s="9"/>
      <x:c r="X214" s="9"/>
      <x:c r="Y214" s="2"/>
      <x:c r="Z214" s="2" t="str">
        <x:v>网传与店家发生冲突</x:v>
      </x:c>
      <x:c r="AA214" s="9"/>
      <x:c r="AB214" s="2"/>
      <x:c r="AC214" s="2"/>
      <x:c r="AD214" s="7"/>
      <x:c r="AE214" s="2" t="str"/>
      <x:c r="AF214" s="2" t="str">
        <x:v>未知</x:v>
      </x:c>
      <x:c r="AG214" s="2"/>
      <x:c r="AH214" s="2"/>
      <x:c r="AI214" s="2"/>
      <x:c r="AJ214" s="2"/>
      <x:c r="AK214" s="2"/>
      <x:c r="AL214" s="10"/>
      <x:c r="AM214" s="10"/>
      <x:c r="AN214" s="10"/>
      <x:c r="AO214" s="2" t="str">
        <x:v>网传待核</x:v>
      </x:c>
      <x:c r="AP214" s="7" t="str">
        <x:v>LXS26C23</x:v>
      </x:c>
      <x:c r="AQ214" s="7" t="str">
        <x:v>{"date":["LXS26C23"],"location":["LXS26C23"],"casualties":[],"classification":["LXS26C23"],"motive":[],"outcome":[]}</x:v>
      </x:c>
      <x:c r="AR214" s="2"/>
      <x:c r="AS214" s="9"/>
      <x:c r="AT214" s="9"/>
      <x:c r="AU214" s="9"/>
      <x:c r="AV214" s="2"/>
      <x:c r="AW214" s="2" t="str">
        <x:v>2026-X补查</x:v>
      </x:c>
      <x:c r="AX214" s="9" t="n">
        <x:v>2026</x:v>
      </x:c>
      <x:c r="AY214" s="10"/>
      <x:c r="AZ214" s="7"/>
      <x:c r="BA214" s="7" t="str">
        <x:v>镜像只描述持刀与店家冲突，未确认实施伤害，也未显示攻击无关旁人；发生细节、伤亡及对象关系待核。</x:v>
      </x:c>
      <x:c r="BB214" s="7" t="str"/>
      <x:c r="BC214" s="7" t="str">
        <x:v>帖文采用相对发布时间，未据此臆定发帖日期；案发9月13日仅来自帖文文字。</x:v>
      </x:c>
      <x:c r="BD214" s="2" t="str">
        <x:v>否</x:v>
      </x:c>
      <x:c r="BE214" s="2" t="str">
        <x:v>否</x:v>
      </x:c>
      <x:c r="BF214" s="2" t="str">
        <x:v>网传／待核</x:v>
      </x:c>
      <x:c r="BG214" s="2" t="str"/>
      <x:c r="BH214" s="9" t="n">
        <x:v>2026</x:v>
      </x:c>
      <x:c r="BI214" s="9" t="n">
        <x:v>0</x:v>
      </x:c>
      <x:c r="BJ214" s="9" t="n">
        <x:v>0</x:v>
      </x:c>
      <x:c r="BK214" s="9" t="n">
        <x:v>0</x:v>
      </x:c>
      <x:c r="BL214" s="9" t="n">
        <x:v>0</x:v>
      </x:c>
      <x:c r="BM214" s="9" t="n">
        <x:v>1</x:v>
      </x:c>
      <x:c r="BN214" s="9" t="n">
        <x:v>1</x:v>
      </x:c>
      <x:c r="BO214" s="9" t="n">
        <x:v>1</x:v>
      </x:c>
    </x:row>
    <x:row r="215" ht="38" customHeight="1">
      <x:c r="A215" s="2" t="str">
        <x:v>C024</x:v>
      </x:c>
      <x:c r="B215" s="2" t="str">
        <x:v>2026-09-14</x:v>
      </x:c>
      <x:c r="C215" s="7" t="str">
        <x:v>广州小谷围街火锅店门口持刀伤人案</x:v>
      </x:c>
      <x:c r="D215" s="2" t="str">
        <x:v>广东</x:v>
      </x:c>
      <x:c r="E215" s="2" t="str">
        <x:v>广州</x:v>
      </x:c>
      <x:c r="F215" s="2" t="str">
        <x:v>pending</x:v>
      </x:c>
      <x:c r="G215" s="2" t="str">
        <x:v>商业场所</x:v>
      </x:c>
      <x:c r="H215" s="2" t="str">
        <x:v>持械</x:v>
      </x:c>
      <x:c r="I215" s="9" t="n">
        <x:v>0</x:v>
      </x:c>
      <x:c r="J215" s="9"/>
      <x:c r="K215" s="2" t="str">
        <x:v>伤者均无生命危险，人数未公布</x:v>
      </x:c>
      <x:c r="L215" s="9"/>
      <x:c r="M215" s="9"/>
      <x:c r="N215" s="10" t="n">
        <x:v>46279</x:v>
      </x:c>
      <x:c r="O215" s="7" t="str">
        <x:v>警方称所有伤者均无生命危险，未公开人数；不采用网传伤者人数、多人团伙或死亡说法。</x:v>
      </x:c>
      <x:c r="P215" s="7" t="str">
        <x:v>警方原文确认持刀伤人。多帖及网传图像指向在商业区袭击行人，但本轮未取得可验证连续攻击过程、被害人与行凶者关系的独立采访或现场原始证据；目前不足区分陌生公众袭击与定向纠纷。不是仅因通报未使用“随机”字样而待核。</x:v>
      </x:c>
      <x:c r="Q215" s="2" t="str">
        <x:v>番禺区</x:v>
      </x:c>
      <x:c r="R215" s="2" t="str">
        <x:v>城市</x:v>
      </x:c>
      <x:c r="S215" s="2" t="str">
        <x:v>day</x:v>
      </x:c>
      <x:c r="T215" s="2"/>
      <x:c r="U215" s="2"/>
      <x:c r="V215" s="9"/>
      <x:c r="W215" s="9"/>
      <x:c r="X215" s="9"/>
      <x:c r="Y215" s="2"/>
      <x:c r="Z215" s="2"/>
      <x:c r="AA215" s="9" t="n">
        <x:v>35</x:v>
      </x:c>
      <x:c r="AB215" s="2" t="str">
        <x:v>男</x:v>
      </x:c>
      <x:c r="AC215" s="2"/>
      <x:c r="AD215" s="7"/>
      <x:c r="AE215" s="2" t="str"/>
      <x:c r="AF215" s="2" t="str">
        <x:v>未知</x:v>
      </x:c>
      <x:c r="AG215" s="2"/>
      <x:c r="AH215" s="2"/>
      <x:c r="AI215" s="2"/>
      <x:c r="AJ215" s="2"/>
      <x:c r="AK215" s="2" t="str">
        <x:v>李某被抓获，案件侦办中。</x:v>
      </x:c>
      <x:c r="AL215" s="10"/>
      <x:c r="AM215" s="10"/>
      <x:c r="AN215" s="10" t="n">
        <x:v>46280</x:v>
      </x:c>
      <x:c r="AO215" s="2" t="str">
        <x:v>官方原文</x:v>
      </x:c>
      <x:c r="AP215" s="7" t="str">
        <x:v>CS034；LXS26C01；LXS26C02；LXS26C03</x:v>
      </x:c>
      <x:c r="AQ215" s="7" t="str">
        <x:v>{"date":["CS034","LXS26C01"],"location":["CS034","LXS26C01","LXS26C02"],"casualties":["CS034","LXS26C01"],"classification":["LXS26C01","LXS26C02","LXS26C03"],"motive":[],"outcome":["CS034","LXS26C01"]}</x:v>
      </x:c>
      <x:c r="AR215" s="2"/>
      <x:c r="AS215" s="9"/>
      <x:c r="AT215" s="9"/>
      <x:c r="AU215" s="9"/>
      <x:c r="AV215" s="2"/>
      <x:c r="AW215" s="2" t="str">
        <x:v>2026-X补查</x:v>
      </x:c>
      <x:c r="AX215" s="9"/>
      <x:c r="AY215" s="10"/>
      <x:c r="AZ215" s="7" t="str">
        <x:v>警方通报的17:20为110接报警时间，不是已核实的袭击发生时刻；案发日为2026-09-14。</x:v>
      </x:c>
      <x:c r="BA215" s="7" t="str">
        <x:v>警方原文确认持刀伤人。多帖及网传图像指向在商业区袭击行人，但本轮未取得可验证连续攻击过程、被害人与行凶者关系的独立采访或现场原始证据；目前不足区分陌生公众袭击与定向纠纷。不是仅因通报未使用“随机”字样而待核。</x:v>
      </x:c>
      <x:c r="BB215" s="7" t="str"/>
      <x:c r="BC215" s="7" t="str">
        <x:v>李老师镜像可读多条受伤现场和抓获地点投稿，但同一投稿链不累计为独立来源。财新仅开放导语，未把付费全文视作已核验。所谓逃至广东工业大学西区食堂被抓仍为投稿层次。动机、多人作案及纸条传闻未证实。</x:v>
      </x:c>
      <x:c r="BD215" s="2" t="str">
        <x:v>是</x:v>
      </x:c>
      <x:c r="BE215" s="2" t="str">
        <x:v>否</x:v>
      </x:c>
      <x:c r="BF215" s="2" t="str">
        <x:v>媒体调查／研究推断</x:v>
      </x:c>
      <x:c r="BG215" s="2" t="str"/>
      <x:c r="BH215" s="9" t="n">
        <x:v>2026</x:v>
      </x:c>
      <x:c r="BI215" s="9" t="n">
        <x:v>0</x:v>
      </x:c>
      <x:c r="BJ215" s="9" t="n">
        <x:v>0</x:v>
      </x:c>
      <x:c r="BK215" s="9" t="n">
        <x:v>0</x:v>
      </x:c>
      <x:c r="BL215" s="9" t="n">
        <x:v>0</x:v>
      </x:c>
      <x:c r="BM215" s="9" t="n">
        <x:v>1</x:v>
      </x:c>
      <x:c r="BN215" s="9" t="n">
        <x:v>0</x:v>
      </x:c>
      <x:c r="BO215" s="9" t="n">
        <x:v>1</x:v>
      </x:c>
    </x:row>
  </x:sheetData>
  <x:pageMargins left="0.7" right="0.7" top="0.75" bottom="0.75" header="0.3" footer="0.3"/>
  <x:tableParts count="1">
    <x:tablePart xmlns:r="http://schemas.openxmlformats.org/officeDocument/2006/relationships" r:id="Rfa66a436234e41af"/>
  </x:tableParts>
</x:worksheet>
</file>

<file path=xl/worksheets/sheet3.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55" hidden="0" customWidth="1"/>
    <x:col min="3" max="3" width="30" hidden="0" customWidth="1"/>
    <x:col min="4" max="4" width="19" hidden="0" customWidth="1"/>
    <x:col min="5" max="5" width="64" hidden="0" customWidth="1"/>
    <x:col min="6" max="6" width="30" hidden="0" customWidth="1"/>
    <x:col min="7" max="7" width="19" hidden="0" customWidth="1"/>
    <x:col min="8" max="8" width="19" hidden="0" customWidth="1"/>
    <x:col min="9" max="9" width="19" hidden="0" customWidth="1"/>
    <x:col min="10" max="10" width="30" hidden="0" customWidth="1"/>
    <x:col min="11" max="11" width="55" hidden="0" customWidth="1"/>
    <x:col min="12" max="12" width="19" hidden="0" customWidth="1"/>
  </x:cols>
  <x:sheetData>
    <x:row r="1" ht="42" customHeight="1">
      <x:c r="A1" s="6" t="str">
        <x:v>来源编号</x:v>
      </x:c>
      <x:c r="B1" s="6" t="str">
        <x:v>来源标题</x:v>
      </x:c>
      <x:c r="C1" s="6" t="str">
        <x:v>发布机构</x:v>
      </x:c>
      <x:c r="D1" s="6" t="str">
        <x:v>发布日期</x:v>
      </x:c>
      <x:c r="E1" s="6" t="str">
        <x:v>核读链接</x:v>
      </x:c>
      <x:c r="F1" s="6" t="str">
        <x:v>原始社媒链接</x:v>
      </x:c>
      <x:c r="G1" s="6" t="str">
        <x:v>访问状态</x:v>
      </x:c>
      <x:c r="H1" s="6" t="str">
        <x:v>来源类型</x:v>
      </x:c>
      <x:c r="I1" s="6" t="str">
        <x:v>同源组</x:v>
      </x:c>
      <x:c r="J1" s="6" t="str">
        <x:v>支持事件/用途</x:v>
      </x:c>
      <x:c r="K1" s="6" t="str">
        <x:v>核读事实与限制</x:v>
      </x:c>
      <x:c r="L1" s="6" t="str">
        <x:v>查阅日期</x:v>
      </x:c>
    </x:row>
    <x:row r="2" ht="38" customHeight="1">
      <x:c r="A2" s="2" t="str">
        <x:v>AS001</x:v>
      </x:c>
      <x:c r="B2" s="7" t="str">
        <x:v>北京西单大悦城命案被告人一审被判死刑</x:v>
      </x:c>
      <x:c r="C2" s="7" t="str">
        <x:v>新华社／人民网</x:v>
      </x:c>
      <x:c r="D2" s="2" t="str">
        <x:v>2019-06-13</x:v>
      </x:c>
      <x:c r="E2" s="7" t="str">
        <x:v>http://society.people.com.cn/n1/2019/0613/c1008-31135544.html</x:v>
      </x:c>
      <x:c r="F2" s="7"/>
      <x:c r="G2" s="2"/>
      <x:c r="H2" s="2" t="str">
        <x:v>法院</x:v>
      </x:c>
      <x:c r="I2" s="2" t="str">
        <x:v>AS001</x:v>
      </x:c>
      <x:c r="J2" s="7" t="str">
        <x:v>A001</x:v>
      </x:c>
      <x:c r="K2" s="7" t="str">
        <x:v>北京二中院查明朱纪业因个人不满，预谋后在西单大悦城攻击顾客和员工，造成1死14伤；2019年6月13日一审判处死刑。</x:v>
      </x:c>
      <x:c r="L2" s="10" t="n">
        <x:v>46281</x:v>
      </x:c>
    </x:row>
    <x:row r="3" ht="38" customHeight="1">
      <x:c r="A3" s="2" t="str">
        <x:v>AS002</x:v>
      </x:c>
      <x:c r="B3" s="7" t="str">
        <x:v>南宁一男子持刀砍人致1死3伤</x:v>
      </x:c>
      <x:c r="C3" s="7" t="str">
        <x:v>广西新闻频道／黄河新闻网吕梁搜狐号</x:v>
      </x:c>
      <x:c r="D3" s="2" t="str">
        <x:v>2018-04-16</x:v>
      </x:c>
      <x:c r="E3" s="7" t="str">
        <x:v>https://www.sohu.com/a/228431719_253235</x:v>
      </x:c>
      <x:c r="F3" s="7"/>
      <x:c r="G3" s="2"/>
      <x:c r="H3" s="2" t="str">
        <x:v>官方媒体</x:v>
      </x:c>
      <x:c r="I3" s="2" t="str">
        <x:v>GXTV20180416</x:v>
      </x:c>
      <x:c r="J3" s="7" t="str">
        <x:v>A002</x:v>
      </x:c>
      <x:c r="K3" s="7" t="str">
        <x:v>完整引述南宁兴宁警方通报1死3伤；记者及目击者称攻击路过母婴及两名阻止者。</x:v>
      </x:c>
      <x:c r="L3" s="10" t="n">
        <x:v>46281</x:v>
      </x:c>
    </x:row>
    <x:row r="4" ht="38" customHeight="1">
      <x:c r="A4" s="2" t="str">
        <x:v>AS003</x:v>
      </x:c>
      <x:c r="B4" s="7" t="str">
        <x:v>广西南宁男子当街持刀行凶 砍杀无辜路人致一死三伤</x:v>
      </x:c>
      <x:c r="C4" s="7" t="str">
        <x:v>广西新闻频道／界面新闻</x:v>
      </x:c>
      <x:c r="D4" s="2" t="str">
        <x:v>2018-04-17</x:v>
      </x:c>
      <x:c r="E4" s="7" t="str">
        <x:v>https://www.jiemian.com/article/2059754.html</x:v>
      </x:c>
      <x:c r="F4" s="7"/>
      <x:c r="G4" s="2"/>
      <x:c r="H4" s="2" t="str">
        <x:v>官方媒体</x:v>
      </x:c>
      <x:c r="I4" s="2" t="str">
        <x:v>GXTV20180416</x:v>
      </x:c>
      <x:c r="J4" s="7" t="str">
        <x:v>A002</x:v>
      </x:c>
      <x:c r="K4" s="7" t="str">
        <x:v>记者现场核查陌生人袭击母婴及劝阻群众，1死3伤；警方下午4时通报嫌疑人已受控。页面原发4月16日、更新4月17日。</x:v>
      </x:c>
      <x:c r="L4" s="10" t="n">
        <x:v>46281</x:v>
      </x:c>
    </x:row>
    <x:row r="5" ht="38" customHeight="1">
      <x:c r="A5" s="2" t="str">
        <x:v>AS004</x:v>
      </x:c>
      <x:c r="B5" s="7" t="str">
        <x:v>英德特大放火案罪犯伏法</x:v>
      </x:c>
      <x:c r="C5" s="7" t="str">
        <x:v>澳门日报（中新社、中通社）</x:v>
      </x:c>
      <x:c r="D5" s="2" t="str">
        <x:v>2019-12-25</x:v>
      </x:c>
      <x:c r="E5" s="7" t="str">
        <x:v>https://appimg.modaily.cn/app/szb/pc/content/201912/25/content_18298.html</x:v>
      </x:c>
      <x:c r="F5" s="7"/>
      <x:c r="G5" s="2"/>
      <x:c r="H5" s="2" t="str">
        <x:v>法院</x:v>
      </x:c>
      <x:c r="I5" s="2" t="str">
        <x:v>AS004</x:v>
      </x:c>
      <x:c r="J5" s="7" t="str">
        <x:v>A003</x:v>
      </x:c>
      <x:c r="K5" s="7" t="str">
        <x:v>最高法复核认定18死、1重伤2轻伤，2019年12月24日执行死刑；同篇回顾前期案件另列1轻微伤。由KTV内个人纠纷引发纵火。</x:v>
      </x:c>
      <x:c r="L5" s="10" t="n">
        <x:v>46281</x:v>
      </x:c>
    </x:row>
    <x:row r="6" ht="38" customHeight="1">
      <x:c r="A6" s="2" t="str">
        <x:v>AS005</x:v>
      </x:c>
      <x:c r="B6" s="7" t="str">
        <x:v>陕西米脂砍杀学生案罪犯赵泽伟被执行死刑</x:v>
      </x:c>
      <x:c r="C6" s="7" t="str">
        <x:v>观察者网（陕西检察、榆林中院布告）</x:v>
      </x:c>
      <x:c r="D6" s="2" t="str">
        <x:v>2018-09-27</x:v>
      </x:c>
      <x:c r="E6" s="7" t="str">
        <x:v>https://www.guancha.cn/society/2018_09_27_473563.shtml</x:v>
      </x:c>
      <x:c r="F6" s="7"/>
      <x:c r="G6" s="2"/>
      <x:c r="H6" s="2" t="str">
        <x:v>法院</x:v>
      </x:c>
      <x:c r="I6" s="2" t="str">
        <x:v>AS005</x:v>
      </x:c>
      <x:c r="J6" s="7" t="str">
        <x:v>A004</x:v>
      </x:c>
      <x:c r="K6" s="7" t="str">
        <x:v>榆林中院布告确认2018年4月27日袭击三中学生，9死12伤；2018年7月10日一审死刑，9月27日执行。</x:v>
      </x:c>
      <x:c r="L6" s="10" t="n">
        <x:v>46281</x:v>
      </x:c>
    </x:row>
    <x:row r="7" ht="38" customHeight="1">
      <x:c r="A7" s="2" t="str">
        <x:v>AS006</x:v>
      </x:c>
      <x:c r="B7" s="7" t="str">
        <x:v>陕西米脂致学生9死故意杀人案嫌犯赵泽伟一审被判死刑</x:v>
      </x:c>
      <x:c r="C7" s="7" t="str">
        <x:v>澎湃新闻（陕西高院）</x:v>
      </x:c>
      <x:c r="D7" s="2" t="str">
        <x:v>2018-07-10</x:v>
      </x:c>
      <x:c r="E7" s="7" t="str">
        <x:v>https://www.thepaper.cn/newsDetail_forward_2252877?commTag=true</x:v>
      </x:c>
      <x:c r="F7" s="7"/>
      <x:c r="G7" s="2"/>
      <x:c r="H7" s="2" t="str">
        <x:v>法院</x:v>
      </x:c>
      <x:c r="I7" s="2" t="str">
        <x:v>AS006</x:v>
      </x:c>
      <x:c r="J7" s="7" t="str">
        <x:v>A004</x:v>
      </x:c>
      <x:c r="K7" s="7" t="str">
        <x:v>法院认定工作生活不顺、怨恨旧同学，未找到旧同学后改为袭击放学学生；9死，4重伤7轻伤1轻微伤。</x:v>
      </x:c>
      <x:c r="L7" s="10" t="n">
        <x:v>46281</x:v>
      </x:c>
    </x:row>
    <x:row r="8" ht="38" customHeight="1">
      <x:c r="A8" s="2" t="str">
        <x:v>AS007</x:v>
      </x:c>
      <x:c r="B8" s="7" t="str">
        <x:v>成都再次通报致3人伤闹市车祸：六旬男涉危害公共安全被刑拘</x:v>
      </x:c>
      <x:c r="C8" s="7" t="str">
        <x:v>封面新闻／澎湃新闻</x:v>
      </x:c>
      <x:c r="D8" s="2" t="str">
        <x:v>2018-05-14</x:v>
      </x:c>
      <x:c r="E8" s="7" t="str">
        <x:v>https://m.thepaper.cn/newsDetail_forward_2127886?commTag=true</x:v>
      </x:c>
      <x:c r="F8" s="7"/>
      <x:c r="G8" s="2"/>
      <x:c r="H8" s="2" t="str">
        <x:v>公安</x:v>
      </x:c>
      <x:c r="I8" s="2" t="str">
        <x:v>AS007</x:v>
      </x:c>
      <x:c r="J8" s="7" t="str">
        <x:v>A005</x:v>
      </x:c>
      <x:c r="K8" s="7" t="str">
        <x:v>成都警方通报5月13日人民东路事件，62岁姚某某涉嫌危险方法危害公共安全，3名阻止者受伤且稳定。</x:v>
      </x:c>
      <x:c r="L8" s="10" t="n">
        <x:v>46281</x:v>
      </x:c>
    </x:row>
    <x:row r="9" ht="38" customHeight="1">
      <x:c r="A9" s="2" t="str">
        <x:v>AS008</x:v>
      </x:c>
      <x:c r="B9" s="7" t="str">
        <x:v>致7死 河北唐山煤医道撞人案二审维持死刑原判</x:v>
      </x:c>
      <x:c r="C9" s="7" t="str">
        <x:v>新京报／新浪（唐山中院、唐山检察院）</x:v>
      </x:c>
      <x:c r="D9" s="2" t="str">
        <x:v>2019-06-12</x:v>
      </x:c>
      <x:c r="E9" s="7" t="str">
        <x:v>https://news.sina.com.cn/c/2019-06-12/doc-ihvhiews8424729.shtml</x:v>
      </x:c>
      <x:c r="F9" s="7"/>
      <x:c r="G9" s="2"/>
      <x:c r="H9" s="2" t="str">
        <x:v>法院</x:v>
      </x:c>
      <x:c r="I9" s="2" t="str">
        <x:v>AS008</x:v>
      </x:c>
      <x:c r="J9" s="7" t="str">
        <x:v>A006</x:v>
      </x:c>
      <x:c r="K9" s="7" t="str">
        <x:v>刘某某2018年6月6日酒后驾车故意冲撞多名行人，7死10伤（2重3轻5轻微），2018年11月28日一审死刑，二审维持。</x:v>
      </x:c>
      <x:c r="L9" s="10" t="n">
        <x:v>46281</x:v>
      </x:c>
    </x:row>
    <x:row r="10" ht="38" customHeight="1">
      <x:c r="A10" s="2" t="str">
        <x:v>AS009</x:v>
      </x:c>
      <x:c r="B10" s="7" t="str">
        <x:v>西安“6·22公交杀人案”凶犯被判死刑</x:v>
      </x:c>
      <x:c r="C10" s="7" t="str">
        <x:v>检察日报／最高人民检察院</x:v>
      </x:c>
      <x:c r="D10" s="2" t="str">
        <x:v>2019-01-26</x:v>
      </x:c>
      <x:c r="E10" s="7" t="str">
        <x:v>https://www.spp.gov.cn/spp/gxcxjxfdhmjcgzzwn/201901/t20190126_580457.shtml</x:v>
      </x:c>
      <x:c r="F10" s="7"/>
      <x:c r="G10" s="2"/>
      <x:c r="H10" s="2" t="str">
        <x:v>检察院</x:v>
      </x:c>
      <x:c r="I10" s="2" t="str">
        <x:v>AS009</x:v>
      </x:c>
      <x:c r="J10" s="7" t="str">
        <x:v>A007</x:v>
      </x:c>
      <x:c r="K10" s="7" t="str">
        <x:v>法院认定辛海平自称公交车上遭恶意扎针染病，报复乘客和路人，4死7轻伤；1月25日一审死刑。</x:v>
      </x:c>
      <x:c r="L10" s="10" t="n">
        <x:v>46281</x:v>
      </x:c>
    </x:row>
    <x:row r="11" ht="38" customHeight="1">
      <x:c r="A11" s="2" t="str">
        <x:v>AS010</x:v>
      </x:c>
      <x:c r="B11" s="7" t="str">
        <x:v>烟台市公安局“6.25”叉车伤人事件舆情处置情况</x:v>
      </x:c>
      <x:c r="C11" s="7" t="str">
        <x:v>烟台市政府（市公安局）</x:v>
      </x:c>
      <x:c r="D11" s="2" t="str">
        <x:v>2018-06-25</x:v>
      </x:c>
      <x:c r="E11" s="7" t="str">
        <x:v>https://www.yantai.gov.cn/art/2018/6/25/art_44443_2893743.html</x:v>
      </x:c>
      <x:c r="F11" s="7"/>
      <x:c r="G11" s="2"/>
      <x:c r="H11" s="2" t="str">
        <x:v>公安</x:v>
      </x:c>
      <x:c r="I11" s="2" t="str">
        <x:v>AS010</x:v>
      </x:c>
      <x:c r="J11" s="7" t="str">
        <x:v>A008</x:v>
      </x:c>
      <x:c r="K11" s="7" t="str">
        <x:v>警方通报45岁王志华驾驶叉车在幸福中路冲撞行人，造成1死10余伤，制止无效后被开枪击毙。</x:v>
      </x:c>
      <x:c r="L11" s="10" t="n">
        <x:v>46281</x:v>
      </x:c>
    </x:row>
    <x:row r="12" ht="38" customHeight="1">
      <x:c r="A12" s="2" t="str">
        <x:v>AS011</x:v>
      </x:c>
      <x:c r="B12" s="7" t="str">
        <x:v>上海浦北路杀害小学生案罪犯黄一川被执行死刑</x:v>
      </x:c>
      <x:c r="C12" s="7" t="str">
        <x:v>福建日报（上海一中院）</x:v>
      </x:c>
      <x:c r="D12" s="2" t="str">
        <x:v>2020-12-03</x:v>
      </x:c>
      <x:c r="E12" s="7" t="str">
        <x:v>https://www.fjdaily.com/app/content/2020-12/03/content_880973.html</x:v>
      </x:c>
      <x:c r="F12" s="7"/>
      <x:c r="G12" s="2"/>
      <x:c r="H12" s="2" t="str">
        <x:v>法院</x:v>
      </x:c>
      <x:c r="I12" s="2" t="str">
        <x:v>AS011</x:v>
      </x:c>
      <x:c r="J12" s="7" t="str">
        <x:v>A009</x:v>
      </x:c>
      <x:c r="K12" s="7" t="str">
        <x:v>黄一川因工作生活不顺，为泄私愤在上海浦北路袭击无辜儿童及家长，2死2轻伤；2020年12月3日执行死刑。</x:v>
      </x:c>
      <x:c r="L12" s="10" t="n">
        <x:v>46281</x:v>
      </x:c>
    </x:row>
    <x:row r="13" ht="38" customHeight="1">
      <x:c r="A13" s="2" t="str">
        <x:v>AS012</x:v>
      </x:c>
      <x:c r="B13" s="7" t="str">
        <x:v>江苏镇江一男子持刀砍伤5人被抓获 伤者暂无生命危险</x:v>
      </x:c>
      <x:c r="C13" s="7" t="str">
        <x:v>中国新闻网</x:v>
      </x:c>
      <x:c r="D13" s="2" t="str">
        <x:v>2018-08-21</x:v>
      </x:c>
      <x:c r="E13" s="7" t="str">
        <x:v>https://www.chinanews.com/m/sh/2018/08-21/8606061.shtml</x:v>
      </x:c>
      <x:c r="F13" s="7"/>
      <x:c r="G13" s="2"/>
      <x:c r="H13" s="2" t="str">
        <x:v>公安</x:v>
      </x:c>
      <x:c r="I13" s="2" t="str">
        <x:v>AS012</x:v>
      </x:c>
      <x:c r="J13" s="7" t="str">
        <x:v>A010</x:v>
      </x:c>
      <x:c r="K13" s="7" t="str">
        <x:v>镇江润州警方：8月20日百盛家园南门附近，张某持菜刀伤害5名路人，被抓获；5人无生命危险。</x:v>
      </x:c>
      <x:c r="L13" s="10" t="n">
        <x:v>46281</x:v>
      </x:c>
    </x:row>
    <x:row r="14" ht="38" customHeight="1">
      <x:c r="A14" s="2" t="str">
        <x:v>AS013</x:v>
      </x:c>
      <x:c r="B14" s="7" t="str">
        <x:v>“路虎撞人致15死案”罪犯阳赞云今日被执行死刑</x:v>
      </x:c>
      <x:c r="C14" s="7" t="str">
        <x:v>界面新闻（湖南高院）</x:v>
      </x:c>
      <x:c r="D14" s="2" t="str">
        <x:v>2019-01-29</x:v>
      </x:c>
      <x:c r="E14" s="7" t="str">
        <x:v>https://www.jiemian.com/article/2834177.html</x:v>
      </x:c>
      <x:c r="F14" s="7"/>
      <x:c r="G14" s="2"/>
      <x:c r="H14" s="2" t="str">
        <x:v>法院</x:v>
      </x:c>
      <x:c r="I14" s="2" t="str">
        <x:v>AS013</x:v>
      </x:c>
      <x:c r="J14" s="7" t="str">
        <x:v>A011</x:v>
      </x:c>
      <x:c r="K14" s="7" t="str">
        <x:v>法院认定阳赞云在衡东洣江广场驾车撞击、下车持械攻击人群，15死43伤，2018年12月12日一审死刑，2019年1月29日执行。</x:v>
      </x:c>
      <x:c r="L14" s="10" t="n">
        <x:v>46281</x:v>
      </x:c>
    </x:row>
    <x:row r="15" ht="38" customHeight="1">
      <x:c r="A15" s="2" t="str">
        <x:v>AS014</x:v>
      </x:c>
      <x:c r="B15" s="7" t="str">
        <x:v>女子与丈夫吵架后为泄私愤连撞8车 一审获刑6年</x:v>
      </x:c>
      <x:c r="C15" s="7" t="str">
        <x:v>新京报／新浪（海淀法院）</x:v>
      </x:c>
      <x:c r="D15" s="2" t="str">
        <x:v>2019-10-09</x:v>
      </x:c>
      <x:c r="E15" s="7" t="str">
        <x:v>https://news.sina.com.cn/c/2019-10-09/doc-iicezuev1016640.shtml</x:v>
      </x:c>
      <x:c r="F15" s="7"/>
      <x:c r="G15" s="2"/>
      <x:c r="H15" s="2" t="str">
        <x:v>法院</x:v>
      </x:c>
      <x:c r="I15" s="2" t="str">
        <x:v>AS014</x:v>
      </x:c>
      <x:c r="J15" s="7" t="str">
        <x:v>A012</x:v>
      </x:c>
      <x:c r="K15" s="7" t="str">
        <x:v>2018年9月12日廖某因家庭争执，在海淀道路肆意冲撞停放及正常行驶车辆，2人受伤；一审有期徒刑6年。</x:v>
      </x:c>
      <x:c r="L15" s="10" t="n">
        <x:v>46281</x:v>
      </x:c>
    </x:row>
    <x:row r="16" ht="38" customHeight="1">
      <x:c r="A16" s="2" t="str">
        <x:v>AS015</x:v>
      </x:c>
      <x:c r="B16" s="7" t="str">
        <x:v>重庆一幼儿园幼儿做完早操后遭砍伤，警方：暂无人员死亡</x:v>
      </x:c>
      <x:c r="C16" s="7" t="str">
        <x:v>澎湃新闻</x:v>
      </x:c>
      <x:c r="D16" s="2" t="str">
        <x:v>2018-10-26</x:v>
      </x:c>
      <x:c r="E16" s="7" t="str">
        <x:v>https://m.thepaper.cn/newsDetail_forward_2567185</x:v>
      </x:c>
      <x:c r="F16" s="7"/>
      <x:c r="G16" s="2"/>
      <x:c r="H16" s="2" t="str">
        <x:v>公安</x:v>
      </x:c>
      <x:c r="I16" s="2" t="str">
        <x:v>AS015</x:v>
      </x:c>
      <x:c r="J16" s="7" t="str">
        <x:v>A013</x:v>
      </x:c>
      <x:c r="K16" s="7" t="str">
        <x:v>巴南公安负责人确认39岁刘某突然冲入幼儿早操结束后的人群持刀行凶，现场抓获，无死亡。</x:v>
      </x:c>
      <x:c r="L16" s="10" t="n">
        <x:v>46281</x:v>
      </x:c>
    </x:row>
    <x:row r="17" ht="38" customHeight="1">
      <x:c r="A17" s="2" t="str">
        <x:v>AS016</x:v>
      </x:c>
      <x:c r="B17" s="7" t="str">
        <x:v>重庆幼儿园持刀伤人事件</x:v>
      </x:c>
      <x:c r="C17" s="7" t="str">
        <x:v>联合早报</x:v>
      </x:c>
      <x:c r="D17" s="2" t="str">
        <x:v>2018-10-27</x:v>
      </x:c>
      <x:c r="E17" s="7" t="str">
        <x:v>https://www.zaobao.com.sg/znews/greater-china/story20181027-902405</x:v>
      </x:c>
      <x:c r="F17" s="7"/>
      <x:c r="G17" s="2"/>
      <x:c r="H17" s="2" t="str">
        <x:v>独立媒体</x:v>
      </x:c>
      <x:c r="I17" s="2" t="str">
        <x:v>AS016</x:v>
      </x:c>
      <x:c r="J17" s="7" t="str">
        <x:v>A013</x:v>
      </x:c>
      <x:c r="K17" s="7" t="str">
        <x:v>现场记者及官方信息报道14名幼儿受伤，部分伤势严重，袭击者39岁女性。</x:v>
      </x:c>
      <x:c r="L17" s="10" t="n">
        <x:v>46281</x:v>
      </x:c>
    </x:row>
    <x:row r="18" ht="38" customHeight="1">
      <x:c r="A18" s="2" t="str">
        <x:v>AS017</x:v>
      </x:c>
      <x:c r="B18" s="7" t="str">
        <x:v>重庆万州公交车坠江原因公布：乘客与司机激烈争执互殴致车辆失控</x:v>
      </x:c>
      <x:c r="C18" s="7" t="str">
        <x:v>人民日报客户端／人民网（调查通报）</x:v>
      </x:c>
      <x:c r="D18" s="2" t="str">
        <x:v>2018-11-02</x:v>
      </x:c>
      <x:c r="E18" s="7" t="str">
        <x:v>http://society.people.com.cn/n1/2018/1102/c1008-30378646.html</x:v>
      </x:c>
      <x:c r="F18" s="7"/>
      <x:c r="G18" s="2"/>
      <x:c r="H18" s="2" t="str">
        <x:v>公安</x:v>
      </x:c>
      <x:c r="I18" s="2" t="str">
        <x:v>AS017</x:v>
      </x:c>
      <x:c r="J18" s="7" t="str">
        <x:v>A014</x:v>
      </x:c>
      <x:c r="K18" s="7" t="str">
        <x:v>调查确认乘客与司机互殴导致公交车失控坠江，15名驾乘人员，已打捞13具遗体；无证据表明主动随机袭击其他乘客。</x:v>
      </x:c>
      <x:c r="L18" s="10" t="n">
        <x:v>46281</x:v>
      </x:c>
    </x:row>
    <x:row r="19" ht="38" customHeight="1">
      <x:c r="A19" s="2" t="str">
        <x:v>AS018</x:v>
      </x:c>
      <x:c r="B19" s="7" t="str">
        <x:v>辽宁葫芦岛“驾轿车撞学生致6死20伤”案一审宣判</x:v>
      </x:c>
      <x:c r="C19" s="7" t="str">
        <x:v>央视网／搜狐</x:v>
      </x:c>
      <x:c r="D19" s="2" t="str">
        <x:v>2019-07-09</x:v>
      </x:c>
      <x:c r="E19" s="7" t="str">
        <x:v>https://www.sohu.com/a/325744303_428290</x:v>
      </x:c>
      <x:c r="F19" s="7"/>
      <x:c r="G19" s="2"/>
      <x:c r="H19" s="2" t="str">
        <x:v>法院</x:v>
      </x:c>
      <x:c r="I19" s="2" t="str">
        <x:v>AS018</x:v>
      </x:c>
      <x:c r="J19" s="7" t="str">
        <x:v>A015</x:v>
      </x:c>
      <x:c r="K19" s="7" t="str">
        <x:v>葫芦岛中院对韩继华判死刑。2018年11月22日因经济、婚姻等不满，驾车冲撞学生队伍，6死20伤。</x:v>
      </x:c>
      <x:c r="L19" s="10" t="n">
        <x:v>46281</x:v>
      </x:c>
    </x:row>
    <x:row r="20" ht="38" customHeight="1">
      <x:c r="A20" s="2" t="str">
        <x:v>AS019</x:v>
      </x:c>
      <x:c r="B20" s="7" t="str">
        <x:v>四川夹江公交车爆炸案被告人死缓，曾因认为判轻要求立即执行死刑</x:v>
      </x:c>
      <x:c r="C20" s="7" t="str">
        <x:v>环球时报／澎湃（川观新闻、裁判文书）</x:v>
      </x:c>
      <x:c r="D20" s="2" t="str">
        <x:v>2020-10-18</x:v>
      </x:c>
      <x:c r="E20" s="7" t="str">
        <x:v>https://m.thepaper.cn/newsDetail_forward_9611626</x:v>
      </x:c>
      <x:c r="F20" s="7"/>
      <x:c r="G20" s="2"/>
      <x:c r="H20" s="2" t="str">
        <x:v>法院</x:v>
      </x:c>
      <x:c r="I20" s="2" t="str">
        <x:v>AS019</x:v>
      </x:c>
      <x:c r="J20" s="7" t="str">
        <x:v>A016</x:v>
      </x:c>
      <x:c r="K20" s="7" t="str">
        <x:v>2018年12月5日卢仕兵在夹江公交车上引爆爆炸物；法院列1重伤、8轻伤、7轻微伤及其他多人受伤。一审2019年11月15日死缓限制减刑，二审维持。</x:v>
      </x:c>
      <x:c r="L20" s="10" t="n">
        <x:v>46281</x:v>
      </x:c>
    </x:row>
    <x:row r="21" ht="38" customHeight="1">
      <x:c r="A21" s="2" t="str">
        <x:v>AS020</x:v>
      </x:c>
      <x:c r="B21" s="7" t="str">
        <x:v>福建龙岩男子持刀杀人并劫持公交车撞人致8死25伤 一审获死刑</x:v>
      </x:c>
      <x:c r="C21" s="7" t="str">
        <x:v>环球时报／新浪</x:v>
      </x:c>
      <x:c r="D21" s="2" t="str">
        <x:v>2019-01-29</x:v>
      </x:c>
      <x:c r="E21" s="7" t="str">
        <x:v>https://mil.sina.cn/2019-01-29/detail-ihqfskcp1570856.d.html</x:v>
      </x:c>
      <x:c r="F21" s="7"/>
      <x:c r="G21" s="2"/>
      <x:c r="H21" s="2" t="str">
        <x:v>法院</x:v>
      </x:c>
      <x:c r="I21" s="2" t="str">
        <x:v>Longyan_court_20190128</x:v>
      </x:c>
      <x:c r="J21" s="7" t="str">
        <x:v>A017</x:v>
      </x:c>
      <x:c r="K21" s="7" t="str">
        <x:v>龙岩中院2019年1月28日一审对邱日辉判死刑；2018年12月25日先持刀袭击，继而劫持公交车沿街冲撞，共8死25伤。</x:v>
      </x:c>
      <x:c r="L21" s="10" t="n">
        <x:v>46281</x:v>
      </x:c>
    </x:row>
    <x:row r="22" ht="38" customHeight="1">
      <x:c r="A22" s="2" t="str">
        <x:v>AS021</x:v>
      </x:c>
      <x:c r="B22" s="7" t="str">
        <x:v>西城区宣师一附小伤害学生事件新闻发布会</x:v>
      </x:c>
      <x:c r="C22" s="7" t="str">
        <x:v>北京日报客户端（北京西城）</x:v>
      </x:c>
      <x:c r="D22" s="2" t="str">
        <x:v>2019-01-08</x:v>
      </x:c>
      <x:c r="E22" s="7" t="str">
        <x:v>https://xinwen.bjd.com.cn/content/s5c34b096e4b03ea0f24ba7bf.html</x:v>
      </x:c>
      <x:c r="F22" s="7"/>
      <x:c r="G22" s="2"/>
      <x:c r="H22" s="2" t="str">
        <x:v>公安</x:v>
      </x:c>
      <x:c r="I22" s="2" t="str">
        <x:v>AS021</x:v>
      </x:c>
      <x:c r="J22" s="7" t="str">
        <x:v>A018</x:v>
      </x:c>
      <x:c r="K22" s="7" t="str">
        <x:v>发布会说明49岁劳务人员贾某因维修合同问题不满，在学校伤害20名学生，3人伤势较重，均无生命危险，现场控制。</x:v>
      </x:c>
      <x:c r="L22" s="10" t="n">
        <x:v>46281</x:v>
      </x:c>
    </x:row>
    <x:row r="23" ht="38" customHeight="1">
      <x:c r="A23" s="2" t="str">
        <x:v>AS022</x:v>
      </x:c>
      <x:c r="B23" s="7" t="str">
        <x:v>广东东莞虎门一男子持刀伤人致1死8伤，嫌疑人被抓获</x:v>
      </x:c>
      <x:c r="C23" s="7" t="str">
        <x:v>澎湃新闻</x:v>
      </x:c>
      <x:c r="D23" s="2" t="str">
        <x:v>2019-01-15</x:v>
      </x:c>
      <x:c r="E23" s="7" t="str">
        <x:v>https://www.thepaper.cn/newsDetail_forward_2854233</x:v>
      </x:c>
      <x:c r="F23" s="7"/>
      <x:c r="G23" s="2"/>
      <x:c r="H23" s="2" t="str">
        <x:v>公安</x:v>
      </x:c>
      <x:c r="I23" s="2" t="str">
        <x:v>AS022</x:v>
      </x:c>
      <x:c r="J23" s="7" t="str">
        <x:v>A019</x:v>
      </x:c>
      <x:c r="K23" s="7" t="str">
        <x:v>东莞虎门怀德社区1月14日覃某高持刀伤人，1死8伤；警方排除涉恐，嫌疑人被抓，动机在查。</x:v>
      </x:c>
      <x:c r="L23" s="10" t="n">
        <x:v>46281</x:v>
      </x:c>
    </x:row>
    <x:row r="24" ht="38" customHeight="1">
      <x:c r="A24" s="2" t="str">
        <x:v>AS023</x:v>
      </x:c>
      <x:c r="B24" s="7" t="str">
        <x:v>福州持刀伤人事件续报：1人死亡19人受伤</x:v>
      </x:c>
      <x:c r="C24" s="7" t="str">
        <x:v>福州新闻网／上游新闻</x:v>
      </x:c>
      <x:c r="D24" s="2" t="str">
        <x:v>2019-01-15</x:v>
      </x:c>
      <x:c r="E24" s="7" t="str">
        <x:v>https://m.cqcb.com/headline/2019-01-15/1381406.html</x:v>
      </x:c>
      <x:c r="F24" s="7"/>
      <x:c r="G24" s="2"/>
      <x:c r="H24" s="2" t="str">
        <x:v>公安</x:v>
      </x:c>
      <x:c r="I24" s="2" t="str">
        <x:v>AS023</x:v>
      </x:c>
      <x:c r="J24" s="7" t="str">
        <x:v>A020</x:v>
      </x:c>
      <x:c r="K24" s="7" t="str">
        <x:v>警方续报48岁侯某锋因与前妻及其男友纠纷，行凶后逃跑中伤害路人并抢电动车，1死19伤；后跳河下落不明。</x:v>
      </x:c>
      <x:c r="L24" s="10" t="n">
        <x:v>46281</x:v>
      </x:c>
    </x:row>
    <x:row r="25" ht="38" customHeight="1">
      <x:c r="A25" s="2" t="str">
        <x:v>AS024</x:v>
      </x:c>
      <x:c r="B25" s="7" t="str">
        <x:v>江西吉安发生砍人案致11伤 嫌疑人已被控制</x:v>
      </x:c>
      <x:c r="C25" s="7" t="str">
        <x:v>人民日报客户端（吉安公安）</x:v>
      </x:c>
      <x:c r="D25" s="2" t="str">
        <x:v>2019-02-21</x:v>
      </x:c>
      <x:c r="E25" s="7" t="str">
        <x:v>https://www.peopleapp.com/column/30036589131-500001627515</x:v>
      </x:c>
      <x:c r="F25" s="7"/>
      <x:c r="G25" s="2"/>
      <x:c r="H25" s="2" t="str">
        <x:v>公安</x:v>
      </x:c>
      <x:c r="I25" s="2" t="str">
        <x:v>AS024</x:v>
      </x:c>
      <x:c r="J25" s="7" t="str">
        <x:v>A021</x:v>
      </x:c>
      <x:c r="K25" s="7" t="str">
        <x:v>警方通报郭开滨33岁在韶山西路持刀伤人，11人受伤，包括学生及辅警，警方和群众控制嫌疑人。</x:v>
      </x:c>
      <x:c r="L25" s="10" t="n">
        <x:v>46281</x:v>
      </x:c>
    </x:row>
    <x:row r="26" ht="38" customHeight="1">
      <x:c r="A26" s="2" t="str">
        <x:v>AS025</x:v>
      </x:c>
      <x:c r="B26" s="7" t="str">
        <x:v>江西中學外斬人11傷 警員途人合力制服疑精神病男子</x:v>
      </x:c>
      <x:c r="C26" s="7" t="str">
        <x:v>自由亚洲电台</x:v>
      </x:c>
      <x:c r="D26" s="2" t="str">
        <x:v>2019-02-21</x:v>
      </x:c>
      <x:c r="E26" s="7" t="str">
        <x:v>https://www.rfa.org/cantonese/news/chop-02212019054320.html</x:v>
      </x:c>
      <x:c r="F26" s="7"/>
      <x:c r="G26" s="2"/>
      <x:c r="H26" s="2" t="str">
        <x:v>独立媒体</x:v>
      </x:c>
      <x:c r="I26" s="2" t="str">
        <x:v>AS025</x:v>
      </x:c>
      <x:c r="J26" s="7" t="str">
        <x:v>A021</x:v>
      </x:c>
      <x:c r="K26" s="7" t="str">
        <x:v>据警方及现场商户、目击者材料报道在吉安八中外袭击学生及途人，群众追赶数百米并制服。</x:v>
      </x:c>
      <x:c r="L26" s="10" t="n">
        <x:v>46281</x:v>
      </x:c>
    </x:row>
    <x:row r="27" ht="38" customHeight="1">
      <x:c r="A27" s="2" t="str">
        <x:v>AS026</x:v>
      </x:c>
      <x:c r="B27" s="7" t="str">
        <x:v>唐山当街乱砍 疑犯双手染血 传17学童受伤</x:v>
      </x:c>
      <x:c r="C27" s="7" t="str">
        <x:v>看中国</x:v>
      </x:c>
      <x:c r="D27" s="2" t="str">
        <x:v>2019-03-14</x:v>
      </x:c>
      <x:c r="E27" s="7" t="str">
        <x:v>https://www.secretchina.com/news/gb/2019/03/14/887394.html</x:v>
      </x:c>
      <x:c r="F27" s="7"/>
      <x:c r="G27" s="2"/>
      <x:c r="H27" s="2" t="str">
        <x:v>独立媒体</x:v>
      </x:c>
      <x:c r="I27" s="2" t="str">
        <x:v>AS026</x:v>
      </x:c>
      <x:c r="J27" s="7" t="str">
        <x:v>A022</x:v>
      </x:c>
      <x:c r="K27" s="7" t="str">
        <x:v>引述官方通报3月14日13时26分丰润光华道小学附近伤害学生、嫌疑人54岁崔振江被控制；17伤来自网传，非通报数字。</x:v>
      </x:c>
      <x:c r="L27" s="10" t="n">
        <x:v>46281</x:v>
      </x:c>
    </x:row>
    <x:row r="28" ht="38" customHeight="1">
      <x:c r="A28" s="2" t="str">
        <x:v>AS027</x:v>
      </x:c>
      <x:c r="B28" s="7" t="str">
        <x:v>男子驾车冲撞路人致6死8伤续：伤者全力抢救中</x:v>
      </x:c>
      <x:c r="C28" s="7" t="str">
        <x:v>新京报／新浪（枣阳市政府）</x:v>
      </x:c>
      <x:c r="D28" s="2" t="str">
        <x:v>2019-03-22</x:v>
      </x:c>
      <x:c r="E28" s="7" t="str">
        <x:v>https://news.sina.com.cn/c/2019-03-22/doc-ihtxyzsk9594100.shtml</x:v>
      </x:c>
      <x:c r="F28" s="7"/>
      <x:c r="G28" s="2"/>
      <x:c r="H28" s="2" t="str">
        <x:v>公安</x:v>
      </x:c>
      <x:c r="I28" s="2" t="str">
        <x:v>AS027</x:v>
      </x:c>
      <x:c r="J28" s="7" t="str">
        <x:v>A023</x:v>
      </x:c>
      <x:c r="K28" s="7" t="str">
        <x:v>市政府通报44岁餐馆店主崔立冬伤害妻女后驾车冲撞行人，6名受害人死亡、8伤，嫌疑人被击毙。</x:v>
      </x:c>
      <x:c r="L28" s="10" t="n">
        <x:v>46281</x:v>
      </x:c>
    </x:row>
    <x:row r="29" ht="38" customHeight="1">
      <x:c r="A29" s="2" t="str">
        <x:v>AS028</x:v>
      </x:c>
      <x:c r="B29" s="7" t="str">
        <x:v>裁判文书网公布湖南宁远一小学伤害案判决书，校长和门卫获刑</x:v>
      </x:c>
      <x:c r="C29" s="7" t="str">
        <x:v>界面新闻</x:v>
      </x:c>
      <x:c r="D29" s="2" t="str">
        <x:v>2020-01-13</x:v>
      </x:c>
      <x:c r="E29" s="7" t="str">
        <x:v>https://www.jiemian.com/article/3870778.html</x:v>
      </x:c>
      <x:c r="F29" s="7"/>
      <x:c r="G29" s="2"/>
      <x:c r="H29" s="2" t="str">
        <x:v>法院</x:v>
      </x:c>
      <x:c r="I29" s="2" t="str">
        <x:v>AS028</x:v>
      </x:c>
      <x:c r="J29" s="7" t="str">
        <x:v>A024</x:v>
      </x:c>
      <x:c r="K29" s="7" t="str">
        <x:v>援引校长门卫涉案裁判：2019年4月3日郑艳军袭击小学学生，2死2伤；精神分裂症现症期、限制刑事责任能力。多轮校园安防检查指出的问题未整改。</x:v>
      </x:c>
      <x:c r="L29" s="10" t="n">
        <x:v>46281</x:v>
      </x:c>
    </x:row>
    <x:row r="30" ht="38" customHeight="1">
      <x:c r="A30" s="2" t="str">
        <x:v>AS029</x:v>
      </x:c>
      <x:c r="B30" s="7" t="str">
        <x:v>厦门中院一审宣判两起故意杀人案</x:v>
      </x:c>
      <x:c r="C30" s="7" t="str">
        <x:v>中国法院网／东营经济技术开发区法院</x:v>
      </x:c>
      <x:c r="D30" s="2" t="str">
        <x:v>2020-04-17</x:v>
      </x:c>
      <x:c r="E30" s="7" t="str">
        <x:v>https://www.sdcourt.gov.cn/dykfqfy/397053/397093/6018718/index.html</x:v>
      </x:c>
      <x:c r="F30" s="7"/>
      <x:c r="G30" s="2"/>
      <x:c r="H30" s="2" t="str">
        <x:v>法院</x:v>
      </x:c>
      <x:c r="I30" s="2" t="str">
        <x:v>AS029</x:v>
      </x:c>
      <x:c r="J30" s="7" t="str">
        <x:v>A025；A043</x:v>
      </x:c>
      <x:c r="K30" s="7" t="str">
        <x:v>厦门中院2020年4月10日分别判处彭某、王某死刑。彭某2019年4月30日随机袭击女子致1死1轻微伤；王某2018年3月20日袭击前女友和其姐姐致1死1轻伤。</x:v>
      </x:c>
      <x:c r="L30" s="10" t="n">
        <x:v>46281</x:v>
      </x:c>
    </x:row>
    <x:row r="31" ht="38" customHeight="1">
      <x:c r="A31" s="2" t="str">
        <x:v>AS030</x:v>
      </x:c>
      <x:c r="B31" s="7" t="str">
        <x:v>死刑！南昌红谷滩杀人案二审公开宣判</x:v>
      </x:c>
      <x:c r="C31" s="7" t="str">
        <x:v>央广网（江西高院）</x:v>
      </x:c>
      <x:c r="D31" s="2" t="str">
        <x:v>2020-06-04</x:v>
      </x:c>
      <x:c r="E31" s="7" t="str">
        <x:v>https://jx.cnr.cn/2011jxfw/qysc/20200604/t20200604_525117107.shtml</x:v>
      </x:c>
      <x:c r="F31" s="7"/>
      <x:c r="G31" s="2"/>
      <x:c r="H31" s="2" t="str">
        <x:v>法院</x:v>
      </x:c>
      <x:c r="I31" s="2" t="str">
        <x:v>AS030</x:v>
      </x:c>
      <x:c r="J31" s="7" t="str">
        <x:v>A026</x:v>
      </x:c>
      <x:c r="K31" s="7" t="str">
        <x:v>2019年5月24日万某弟在凤凰中大道尾随陌生女性并杀害其中一人；精神鉴定双相障碍缓解期、完全刑责；2020年6月4日二审维持死刑。</x:v>
      </x:c>
      <x:c r="L31" s="10" t="n">
        <x:v>46281</x:v>
      </x:c>
    </x:row>
    <x:row r="32" ht="38" customHeight="1">
      <x:c r="A32" s="2" t="str">
        <x:v>AS031</x:v>
      </x:c>
      <x:c r="B32" s="7" t="str">
        <x:v>重庆18岁男子杀害无辜路人，受害者家属放弃民事赔偿望重判</x:v>
      </x:c>
      <x:c r="C32" s="7" t="str">
        <x:v>澎湃新闻／搜狐城市重庆</x:v>
      </x:c>
      <x:c r="D32" s="2" t="str">
        <x:v>2019-08-06</x:v>
      </x:c>
      <x:c r="E32" s="7" t="str">
        <x:v>https://www.sohu.com/a/331744741_120107970</x:v>
      </x:c>
      <x:c r="F32" s="7"/>
      <x:c r="G32" s="2"/>
      <x:c r="H32" s="2" t="str">
        <x:v>公安</x:v>
      </x:c>
      <x:c r="I32" s="2" t="str">
        <x:v>AS031</x:v>
      </x:c>
      <x:c r="J32" s="7" t="str">
        <x:v>A027</x:v>
      </x:c>
      <x:c r="K32" s="7" t="str">
        <x:v>警方8月1日通报：7月31日18岁甘某找前女友未果，持刀刺死小区车库无关女子后逃跑，被抓获。</x:v>
      </x:c>
      <x:c r="L32" s="10" t="n">
        <x:v>46281</x:v>
      </x:c>
    </x:row>
    <x:row r="33" ht="38" customHeight="1">
      <x:c r="A33" s="2" t="str">
        <x:v>AS032</x:v>
      </x:c>
      <x:c r="B33" s="7" t="str">
        <x:v>湖北恩施致8名学生死亡案罪犯于华被执行死刑</x:v>
      </x:c>
      <x:c r="C33" s="7" t="str">
        <x:v>澎湃新闻（中国硒都网）／搜狐</x:v>
      </x:c>
      <x:c r="D33" s="2" t="str">
        <x:v>2019-12-27</x:v>
      </x:c>
      <x:c r="E33" s="7" t="str">
        <x:v>https://www.sohu.com/a/363216178_260616</x:v>
      </x:c>
      <x:c r="F33" s="7"/>
      <x:c r="G33" s="2"/>
      <x:c r="H33" s="2" t="str">
        <x:v>法院</x:v>
      </x:c>
      <x:c r="I33" s="2" t="str">
        <x:v>AS032</x:v>
      </x:c>
      <x:c r="J33" s="7" t="str">
        <x:v>A028</x:v>
      </x:c>
      <x:c r="K33" s="7" t="str">
        <x:v>恩施中院布告：2019年9月2日朝阳坡小学袭击致8死2伤；于华2019年11月4日一审死刑，未上诉，12月27日执行。</x:v>
      </x:c>
      <x:c r="L33" s="10" t="n">
        <x:v>46281</x:v>
      </x:c>
    </x:row>
    <x:row r="34" ht="38" customHeight="1">
      <x:c r="A34" s="2" t="str">
        <x:v>AS033</x:v>
      </x:c>
      <x:c r="B34" s="7" t="str">
        <x:v>云南开远一男子进入幼儿园喷洒腐蚀性液体，54名师生受伤</x:v>
      </x:c>
      <x:c r="C34" s="7" t="str">
        <x:v>上观新闻（开远市委宣传部通报）</x:v>
      </x:c>
      <x:c r="D34" s="2" t="str">
        <x:v>2019-11-12</x:v>
      </x:c>
      <x:c r="E34" s="7" t="str">
        <x:v>https://www.jfdaily.com/wx/detail.do?id=188132</x:v>
      </x:c>
      <x:c r="F34" s="7"/>
      <x:c r="G34" s="2"/>
      <x:c r="H34" s="2" t="str">
        <x:v>公安</x:v>
      </x:c>
      <x:c r="I34" s="2" t="str">
        <x:v>AS033</x:v>
      </x:c>
      <x:c r="J34" s="7" t="str">
        <x:v>A029</x:v>
      </x:c>
      <x:c r="K34" s="7" t="str">
        <x:v>2019年11月11日23岁孔某涵向东城幼儿园师生喷洒腐蚀性液体，51幼儿及3教师受伤；警方通报供述因成长及生活不顺报复社会。</x:v>
      </x:c>
      <x:c r="L34" s="10" t="n">
        <x:v>46281</x:v>
      </x:c>
    </x:row>
    <x:row r="35" ht="38" customHeight="1">
      <x:c r="A35" s="2" t="str">
        <x:v>AS034</x:v>
      </x:c>
      <x:c r="B35" s="7" t="str">
        <x:v>北京马家堡一男子盗开车辆肇事，致2死7伤</x:v>
      </x:c>
      <x:c r="C35" s="7" t="str">
        <x:v>观察者网（北京交警）</x:v>
      </x:c>
      <x:c r="D35" s="2" t="str">
        <x:v>2019-12-06</x:v>
      </x:c>
      <x:c r="E35" s="7" t="str">
        <x:v>https://www.guancha.cn/politics/2019_12_06_527626.shtml</x:v>
      </x:c>
      <x:c r="F35" s="7"/>
      <x:c r="G35" s="2"/>
      <x:c r="H35" s="2" t="str">
        <x:v>公安</x:v>
      </x:c>
      <x:c r="I35" s="2" t="str">
        <x:v>AS034</x:v>
      </x:c>
      <x:c r="J35" s="7" t="str">
        <x:v>A030</x:v>
      </x:c>
      <x:c r="K35" s="7" t="str">
        <x:v>警方通报57岁何某盗开工程救险车，在马家堡等路段撞击车辆行人，2死7伤，后被拦截控制。</x:v>
      </x:c>
      <x:c r="L35" s="10" t="n">
        <x:v>46281</x:v>
      </x:c>
    </x:row>
    <x:row r="36" ht="38" customHeight="1">
      <x:c r="A36" s="2" t="str">
        <x:v>AS035</x:v>
      </x:c>
      <x:c r="B36" s="7" t="str">
        <x:v>疑上海警方开枪处置事件中误伤的路人 还在ICU</x:v>
      </x:c>
      <x:c r="C36" s="7" t="str">
        <x:v>津云／新浪</x:v>
      </x:c>
      <x:c r="D36" s="2" t="str">
        <x:v>2019-12-25</x:v>
      </x:c>
      <x:c r="E36" s="7" t="str">
        <x:v>https://news.sina.com.cn/s/2019-12-25/doc-iihnzahi9757035.shtml</x:v>
      </x:c>
      <x:c r="F36" s="7"/>
      <x:c r="G36" s="2"/>
      <x:c r="H36" s="2" t="str">
        <x:v>独立媒体</x:v>
      </x:c>
      <x:c r="I36" s="2" t="str">
        <x:v>AS035</x:v>
      </x:c>
      <x:c r="J36" s="7" t="str">
        <x:v>A031</x:v>
      </x:c>
      <x:c r="K36" s="7" t="str">
        <x:v>津云现场调查12月15日静安持刀男子被警方开枪制服，2名路人受枪伤；未报道刀伤受害人，处置当晚无死亡。</x:v>
      </x:c>
      <x:c r="L36" s="10" t="n">
        <x:v>46281</x:v>
      </x:c>
    </x:row>
    <x:row r="37" ht="38" customHeight="1">
      <x:c r="A37" s="2" t="str">
        <x:v>AS036</x:v>
      </x:c>
      <x:c r="B37" s="7" t="str">
        <x:v>北京朝阳医院伤医案一审宣判</x:v>
      </x:c>
      <x:c r="C37" s="7" t="str">
        <x:v>山东法院网站（北京三中院判决报道）</x:v>
      </x:c>
      <x:c r="D37" s="2" t="str">
        <x:v>2021-02-02</x:v>
      </x:c>
      <x:c r="E37" s="7" t="str">
        <x:v>https://www.sdcourt.gov.cn/ytmpqfy/389905/mtjj6355/6800127/index.html</x:v>
      </x:c>
      <x:c r="F37" s="7"/>
      <x:c r="G37" s="2"/>
      <x:c r="H37" s="2" t="str">
        <x:v>法院</x:v>
      </x:c>
      <x:c r="I37" s="2" t="str">
        <x:v>AS036</x:v>
      </x:c>
      <x:c r="J37" s="7" t="str">
        <x:v>A032</x:v>
      </x:c>
      <x:c r="K37" s="7" t="str">
        <x:v>2020年1月20日崔振国因眼病治疗未达预期袭击医生，又砍伤3名阻拦者；1重伤1轻伤2轻微伤，一审死缓。</x:v>
      </x:c>
      <x:c r="L37" s="10" t="n">
        <x:v>46281</x:v>
      </x:c>
    </x:row>
    <x:row r="38" ht="38" customHeight="1">
      <x:c r="A38" s="2" t="str">
        <x:v>AS037</x:v>
      </x:c>
      <x:c r="B38" s="7" t="str">
        <x:v>河北滦平故意驾车伤人案嫌犯被批捕：厌世报复社会致2死7伤</x:v>
      </x:c>
      <x:c r="C38" s="7" t="str">
        <x:v>澎湃新闻／新浪（滦平检察院）</x:v>
      </x:c>
      <x:c r="D38" s="2" t="str">
        <x:v>2020-05-20</x:v>
      </x:c>
      <x:c r="E38" s="7" t="str">
        <x:v>https://news.sina.com.cn/s/2020-05-20/doc-iirczymk2557141.shtml</x:v>
      </x:c>
      <x:c r="F38" s="7"/>
      <x:c r="G38" s="2"/>
      <x:c r="H38" s="2" t="str">
        <x:v>检察院</x:v>
      </x:c>
      <x:c r="I38" s="2" t="str">
        <x:v>AS037</x:v>
      </x:c>
      <x:c r="J38" s="7" t="str">
        <x:v>A033</x:v>
      </x:c>
      <x:c r="K38" s="7" t="str">
        <x:v>检方指控30岁孙某甲2020年4月15日在滦平沿省道连续撞击行人，并下车持石攻击倒地者，2死7伤；5月14日批捕。</x:v>
      </x:c>
      <x:c r="L38" s="10" t="n">
        <x:v>46281</x:v>
      </x:c>
    </x:row>
    <x:row r="39" ht="38" customHeight="1">
      <x:c r="A39" s="2" t="str">
        <x:v>AS038</x:v>
      </x:c>
      <x:c r="B39" s="7" t="str">
        <x:v>广西苍梧小学砍人案二审维持原判：凶手李小文被判死刑</x:v>
      </x:c>
      <x:c r="C39" s="7" t="str">
        <x:v>凤凰网（广西高院）</x:v>
      </x:c>
      <x:c r="D39" s="2" t="str">
        <x:v>2020-12-30</x:v>
      </x:c>
      <x:c r="E39" s="7" t="str">
        <x:v>https://news.ifeng.com/c/82cRv8lrEUO</x:v>
      </x:c>
      <x:c r="F39" s="7"/>
      <x:c r="G39" s="2"/>
      <x:c r="H39" s="2" t="str">
        <x:v>法院</x:v>
      </x:c>
      <x:c r="I39" s="2" t="str">
        <x:v>AS038</x:v>
      </x:c>
      <x:c r="J39" s="7" t="str">
        <x:v>A034</x:v>
      </x:c>
      <x:c r="K39" s="7" t="str">
        <x:v>李小文因工作纠纷袭击同事，继而砍击学生及副校长，41人受伤（1重伤7轻伤一级23轻伤二级10轻微伤），二审维持死刑。</x:v>
      </x:c>
      <x:c r="L39" s="10" t="n">
        <x:v>46281</x:v>
      </x:c>
    </x:row>
    <x:row r="40" ht="38" customHeight="1">
      <x:c r="A40" s="2" t="str">
        <x:v>AS039</x:v>
      </x:c>
      <x:c r="B40" s="7" t="str">
        <x:v>福建仙游发生持刀伤人案，造成3死7伤</x:v>
      </x:c>
      <x:c r="C40" s="7" t="str">
        <x:v>香港商报（红星新闻）</x:v>
      </x:c>
      <x:c r="D40" s="2" t="str">
        <x:v>2020-06-05</x:v>
      </x:c>
      <x:c r="E40" s="7" t="str">
        <x:v>https://www.hkcd.com.hk/hkcdweb/content/2020/06/05/content_1196315.html</x:v>
      </x:c>
      <x:c r="F40" s="7"/>
      <x:c r="G40" s="2"/>
      <x:c r="H40" s="2" t="str">
        <x:v>独立媒体</x:v>
      </x:c>
      <x:c r="I40" s="2" t="str">
        <x:v>AS039</x:v>
      </x:c>
      <x:c r="J40" s="7" t="str">
        <x:v>A035</x:v>
      </x:c>
      <x:c r="K40" s="7" t="str">
        <x:v>仙游警方确认6月4日晚枫亭镇和平村伤人，3死7伤、35岁张某被抓；红星现场采访目击者称未争吵、见人即攻击。</x:v>
      </x:c>
      <x:c r="L40" s="10" t="n">
        <x:v>46281</x:v>
      </x:c>
    </x:row>
    <x:row r="41" ht="38" customHeight="1">
      <x:c r="A41" s="2" t="str">
        <x:v>AS040</x:v>
      </x:c>
      <x:c r="B41" s="7" t="str">
        <x:v>上海警方通报徐汇持刀伤人事件</x:v>
      </x:c>
      <x:c r="C41" s="7" t="str">
        <x:v>上观新闻／新浪（徐汇公安）</x:v>
      </x:c>
      <x:c r="D41" s="2" t="str">
        <x:v>2020-06-18</x:v>
      </x:c>
      <x:c r="E41" s="7" t="str">
        <x:v>https://news.sina.cn/gn/2020-06-18/detail-iirczymk7692553.d.html</x:v>
      </x:c>
      <x:c r="F41" s="7"/>
      <x:c r="G41" s="2"/>
      <x:c r="H41" s="2" t="str">
        <x:v>公安</x:v>
      </x:c>
      <x:c r="I41" s="2" t="str">
        <x:v>AS040</x:v>
      </x:c>
      <x:c r="J41" s="7" t="str">
        <x:v>A036</x:v>
      </x:c>
      <x:c r="K41" s="7" t="str">
        <x:v>6月17日39岁沈某驾驶车辆碰撞致3人伤，随后刀伤同行女友及5名路人、拳击伤1名路人，共10人送医，被控制。</x:v>
      </x:c>
      <x:c r="L41" s="10" t="n">
        <x:v>46281</x:v>
      </x:c>
    </x:row>
    <x:row r="42" ht="38" customHeight="1">
      <x:c r="A42" s="2" t="str">
        <x:v>AS041</x:v>
      </x:c>
      <x:c r="B42" s="7" t="str">
        <x:v>陕西凤翔致2死1伤重大刑事案件一审宣判：张涛被判处死刑</x:v>
      </x:c>
      <x:c r="C42" s="7" t="str">
        <x:v>新京报／新浪（宝鸡中院）</x:v>
      </x:c>
      <x:c r="D42" s="2" t="str">
        <x:v>2021-05-10</x:v>
      </x:c>
      <x:c r="E42" s="7" t="str">
        <x:v>https://news.sina.cn/2021-05-10/detail-ikmyaawc4500554.d.html</x:v>
      </x:c>
      <x:c r="F42" s="7"/>
      <x:c r="G42" s="2"/>
      <x:c r="H42" s="2" t="str">
        <x:v>法院</x:v>
      </x:c>
      <x:c r="I42" s="2" t="str">
        <x:v>AS041</x:v>
      </x:c>
      <x:c r="J42" s="7" t="str">
        <x:v>A037</x:v>
      </x:c>
      <x:c r="K42" s="7" t="str">
        <x:v>张涛2020年7月5日袭击无辜路人1死1轻伤，逃离后因车费争执杀害出租车司机；精神分裂症缓解期、完全刑责，一审死刑。</x:v>
      </x:c>
      <x:c r="L42" s="10" t="n">
        <x:v>46281</x:v>
      </x:c>
    </x:row>
    <x:row r="43" ht="38" customHeight="1">
      <x:c r="A43" s="2" t="str">
        <x:v>AS042</x:v>
      </x:c>
      <x:c r="B43" s="7" t="str">
        <x:v>公交坠湖案通报：司机蓄意报复社会</x:v>
      </x:c>
      <x:c r="C43" s="7" t="str">
        <x:v>搜狐转载观察者网及安顺公安</x:v>
      </x:c>
      <x:c r="D43" s="2" t="str">
        <x:v>2020-07-13</x:v>
      </x:c>
      <x:c r="E43" s="7" t="str">
        <x:v>https://www.sohu.com/a/407393844_120121400</x:v>
      </x:c>
      <x:c r="F43" s="7"/>
      <x:c r="G43" s="2"/>
      <x:c r="H43" s="2" t="str">
        <x:v>公安</x:v>
      </x:c>
      <x:c r="I43" s="2" t="str">
        <x:v>AS042</x:v>
      </x:c>
      <x:c r="J43" s="7" t="str">
        <x:v>A038</x:v>
      </x:c>
      <x:c r="K43" s="7" t="str">
        <x:v>安顺警方完整通报：2020年7月7日张某钢不满生活及承租公房拆除，针对不特定人群驾公交坠湖；21人死亡含司机，15人受伤。</x:v>
      </x:c>
      <x:c r="L43" s="10" t="n">
        <x:v>46281</x:v>
      </x:c>
    </x:row>
    <x:row r="44" ht="38" customHeight="1">
      <x:c r="A44" s="2" t="str">
        <x:v>AS043</x:v>
      </x:c>
      <x:c r="B44" s="7" t="str">
        <x:v>在天津营口道持刀行凶男子被核准死刑！案情披露</x:v>
      </x:c>
      <x:c r="C44" s="7" t="str">
        <x:v>搜狐（人民法院报等案件报道）</x:v>
      </x:c>
      <x:c r="D44" s="2" t="str">
        <x:v>2021-03-31</x:v>
      </x:c>
      <x:c r="E44" s="7" t="str">
        <x:v>https://www.sohu.com/a/458414968_120078003</x:v>
      </x:c>
      <x:c r="F44" s="7"/>
      <x:c r="G44" s="2"/>
      <x:c r="H44" s="2" t="str">
        <x:v>法院</x:v>
      </x:c>
      <x:c r="I44" s="2" t="str">
        <x:v>AS043</x:v>
      </x:c>
      <x:c r="J44" s="7" t="str">
        <x:v>A039</x:v>
      </x:c>
      <x:c r="K44" s="7" t="str">
        <x:v>刘某某因怀疑门锁被破坏，意图在闹市刺杀女性扩大影响，2020年8月12日先杀害一人后再次袭击另一人；后者法院案情称尚未形成伤情。</x:v>
      </x:c>
      <x:c r="L44" s="10" t="n">
        <x:v>46281</x:v>
      </x:c>
    </x:row>
    <x:row r="45" ht="38" customHeight="1">
      <x:c r="A45" s="2" t="str">
        <x:v>AS044</x:v>
      </x:c>
      <x:c r="B45" s="7" t="str">
        <x:v>湖南桑植砍杀四名学生案一审开庭，将择期宣判</x:v>
      </x:c>
      <x:c r="C45" s="7" t="str">
        <x:v>澎湃新闻（张家界中院）</x:v>
      </x:c>
      <x:c r="D45" s="2" t="str">
        <x:v>2021-04-15</x:v>
      </x:c>
      <x:c r="E45" s="7" t="str">
        <x:v>https://www.thepaper.cn/newsDetail_forward_12215761</x:v>
      </x:c>
      <x:c r="F45" s="7"/>
      <x:c r="G45" s="2"/>
      <x:c r="H45" s="2" t="str">
        <x:v>法院</x:v>
      </x:c>
      <x:c r="I45" s="2" t="str">
        <x:v>AS044</x:v>
      </x:c>
      <x:c r="J45" s="7" t="str">
        <x:v>A040</x:v>
      </x:c>
      <x:c r="K45" s="7" t="str">
        <x:v>检方指控仇龙科因家庭诉求未解决，欲杀学生引关注，2020年9月7日连续袭击3名学生并劫持再伤1人，共4重伤，现场被捕。</x:v>
      </x:c>
      <x:c r="L45" s="10" t="n">
        <x:v>46281</x:v>
      </x:c>
    </x:row>
    <x:row r="46" ht="38" customHeight="1">
      <x:c r="A46" s="2" t="str">
        <x:v>AS045</x:v>
      </x:c>
      <x:c r="B46" s="7" t="str">
        <x:v>湖南法院“我为群众办实事”典型案事例</x:v>
      </x:c>
      <x:c r="C46" s="7" t="str">
        <x:v>红网（湖南法院司法救助报道）</x:v>
      </x:c>
      <x:c r="D46" s="2" t="str">
        <x:v>2021-11-04</x:v>
      </x:c>
      <x:c r="E46" s="7" t="str">
        <x:v>https://pf.rednet.cn/content/2021/11/04/10364565.html</x:v>
      </x:c>
      <x:c r="F46" s="7"/>
      <x:c r="G46" s="2"/>
      <x:c r="H46" s="2" t="str">
        <x:v>法院</x:v>
      </x:c>
      <x:c r="I46" s="2" t="str">
        <x:v>AS045</x:v>
      </x:c>
      <x:c r="J46" s="7" t="str">
        <x:v>A040</x:v>
      </x:c>
      <x:c r="K46" s="7" t="str">
        <x:v>司法救助报道确认桑植案4名受害学生存活，2021年已进入二审阶段，未公布最终刑罚。</x:v>
      </x:c>
      <x:c r="L46" s="10" t="n">
        <x:v>46281</x:v>
      </x:c>
    </x:row>
    <x:row r="47" ht="38" customHeight="1">
      <x:c r="A47" s="2" t="str">
        <x:v>AS046</x:v>
      </x:c>
      <x:c r="B47" s="7" t="str">
        <x:v>广州警方：持刀伤人案2人伤重不治 嫌疑人王某自残死亡</x:v>
      </x:c>
      <x:c r="C47" s="7" t="str">
        <x:v>澎湃新闻／新浪（广州番禺公安）</x:v>
      </x:c>
      <x:c r="D47" s="2" t="str">
        <x:v>2020-09-21</x:v>
      </x:c>
      <x:c r="E47" s="7" t="str">
        <x:v>https://news.sina.cn/2020-09-21/detail-iivhvpwy8000320.d.html</x:v>
      </x:c>
      <x:c r="F47" s="7"/>
      <x:c r="G47" s="2"/>
      <x:c r="H47" s="2" t="str">
        <x:v>公安</x:v>
      </x:c>
      <x:c r="I47" s="2" t="str">
        <x:v>AS046</x:v>
      </x:c>
      <x:c r="J47" s="7" t="str">
        <x:v>A041</x:v>
      </x:c>
      <x:c r="K47" s="7" t="str">
        <x:v>钟村街骏兴路7时35分持刀伤人，5名受害人中2人不治、3人稳定；47岁王某在制服过程中自残死亡。</x:v>
      </x:c>
      <x:c r="L47" s="10" t="n">
        <x:v>46281</x:v>
      </x:c>
    </x:row>
    <x:row r="48" ht="38" customHeight="1">
      <x:c r="A48" s="2" t="str">
        <x:v>AS047</x:v>
      </x:c>
      <x:c r="B48" s="7" t="str">
        <x:v>辽宁男子持刀随机捅刺致7死7伤，官方通报来了</x:v>
      </x:c>
      <x:c r="C48" s="7" t="str">
        <x:v>澎湃新闻（央视、当地公安）</x:v>
      </x:c>
      <x:c r="D48" s="2" t="str">
        <x:v>2020-12-28</x:v>
      </x:c>
      <x:c r="E48" s="7" t="str">
        <x:v>https://www.thepaper.cn/newsDetail_forward_10565775</x:v>
      </x:c>
      <x:c r="F48" s="7"/>
      <x:c r="G48" s="2"/>
      <x:c r="H48" s="2" t="str">
        <x:v>公安</x:v>
      </x:c>
      <x:c r="I48" s="2" t="str">
        <x:v>AS047</x:v>
      </x:c>
      <x:c r="J48" s="7" t="str">
        <x:v>A042</x:v>
      </x:c>
      <x:c r="K48" s="7" t="str">
        <x:v>警方确认12月27日62岁杨某峰随机持刀刺伤路人，7死7伤（含1名民警）；称其家庭变故及长期独居引发怨恨。</x:v>
      </x:c>
      <x:c r="L48" s="10" t="n">
        <x:v>46281</x:v>
      </x:c>
    </x:row>
    <x:row r="49" ht="38" customHeight="1">
      <x:c r="A49" s="2" t="str">
        <x:v>AS048</x:v>
      </x:c>
      <x:c r="B49" s="7" t="str">
        <x:v>男子驾车时突发癫痫致3死8伤案宣判：获刑13年</x:v>
      </x:c>
      <x:c r="C49" s="7" t="str">
        <x:v>中国新闻网／新浪（深圳中院）</x:v>
      </x:c>
      <x:c r="D49" s="2" t="str">
        <x:v>2019-12-24</x:v>
      </x:c>
      <x:c r="E49" s="7" t="str">
        <x:v>https://news.sina.com.cn/o/2019-12-24/doc-iihnzahi9593615.shtml</x:v>
      </x:c>
      <x:c r="F49" s="7"/>
      <x:c r="G49" s="2"/>
      <x:c r="H49" s="2" t="str">
        <x:v>法院</x:v>
      </x:c>
      <x:c r="I49" s="2" t="str">
        <x:v>AS048</x:v>
      </x:c>
      <x:c r="J49" s="7" t="str">
        <x:v>A044</x:v>
      </x:c>
      <x:c r="K49" s="7" t="str">
        <x:v>法院查明刘正楠2019年5月16日癫痫发作、车辆失控致3死8伤；明知患病仍开车属间接故意，以危险方法危害公共安全罪判13年。</x:v>
      </x:c>
      <x:c r="L49" s="10" t="n">
        <x:v>46281</x:v>
      </x:c>
    </x:row>
    <x:row r="50" ht="38" customHeight="1">
      <x:c r="A50" s="2" t="str">
        <x:v>AS049</x:v>
      </x:c>
      <x:c r="B50" s="7" t="str">
        <x:v>湖南一男子砍伤7名民众致其中1名男童死亡 已被抓获</x:v>
      </x:c>
      <x:c r="C50" s="7" t="str">
        <x:v>中国新闻网（隆回公安）</x:v>
      </x:c>
      <x:c r="D50" s="2" t="str">
        <x:v>2018-07-05</x:v>
      </x:c>
      <x:c r="E50" s="7" t="str">
        <x:v>https://www.chinanews.com/sh/2018/07-05/8557662.shtml</x:v>
      </x:c>
      <x:c r="F50" s="7"/>
      <x:c r="G50" s="2"/>
      <x:c r="H50" s="2" t="str">
        <x:v>公安</x:v>
      </x:c>
      <x:c r="I50" s="2" t="str">
        <x:v>AS049</x:v>
      </x:c>
      <x:c r="J50" s="7" t="str">
        <x:v>A045</x:v>
      </x:c>
      <x:c r="K50" s="7" t="str">
        <x:v>警方通报罗某武40岁在南松村持刀伤害7人，1名男童死亡，其余6伤；有故意伤害前科，被抓获。</x:v>
      </x:c>
      <x:c r="L50" s="10" t="n">
        <x:v>46281</x:v>
      </x:c>
    </x:row>
    <x:row r="51" ht="38" customHeight="1">
      <x:c r="A51" s="2" t="str">
        <x:v>AS050</x:v>
      </x:c>
      <x:c r="B51" s="7" t="str">
        <x:v>甘肃8死7伤刑事案：村民称嫌犯为人跋扈，妻子此前离家出走！</x:v>
      </x:c>
      <x:c r="C51" s="7" t="str">
        <x:v>北京青年报／半岛都市报搜狐号</x:v>
      </x:c>
      <x:c r="D51" s="2" t="str">
        <x:v>2019-02-08</x:v>
      </x:c>
      <x:c r="E51" s="7" t="str">
        <x:v>https://www.sohu.com/a/293707038_355158</x:v>
      </x:c>
      <x:c r="F51" s="7"/>
      <x:c r="G51" s="2"/>
      <x:c r="H51" s="2" t="str">
        <x:v>公安</x:v>
      </x:c>
      <x:c r="I51" s="2" t="str">
        <x:v>AS050</x:v>
      </x:c>
      <x:c r="J51" s="7" t="str">
        <x:v>A046</x:v>
      </x:c>
      <x:c r="K51" s="7" t="str">
        <x:v>白银警方称2月5日会宁郭某某因怀疑妻子与他人不正当关系，入村民家行凶8死7伤；采访提示多户与疑似婚姻纠纷有关，关系未完整查明。</x:v>
      </x:c>
      <x:c r="L51" s="10" t="n">
        <x:v>46281</x:v>
      </x:c>
    </x:row>
    <x:row r="52" ht="38" customHeight="1">
      <x:c r="A52" s="2" t="str">
        <x:v>AS051</x:v>
      </x:c>
      <x:c r="B52" s="7" t="str">
        <x:v>河南一学生持刀致同学死伤 警方：因同学间矛盾</x:v>
      </x:c>
      <x:c r="C52" s="7" t="str">
        <x:v>新京报</x:v>
      </x:c>
      <x:c r="D52" s="2" t="str">
        <x:v>2019-03-01</x:v>
      </x:c>
      <x:c r="E52" s="7" t="str">
        <x:v>https://m.bjnews.com.cn/detail/155142001114263.html</x:v>
      </x:c>
      <x:c r="F52" s="7"/>
      <x:c r="G52" s="2"/>
      <x:c r="H52" s="2" t="str">
        <x:v>公安</x:v>
      </x:c>
      <x:c r="I52" s="2" t="str">
        <x:v>AS051</x:v>
      </x:c>
      <x:c r="J52" s="7" t="str">
        <x:v>A047</x:v>
      </x:c>
      <x:c r="K52" s="7" t="str">
        <x:v>平顶山警方称2月26日财经学校宋某因同学矛盾袭击特定同学，1死3伤；采访表明双方此前有冲突。</x:v>
      </x:c>
      <x:c r="L52" s="10" t="n">
        <x:v>46281</x:v>
      </x:c>
    </x:row>
    <x:row r="53" ht="38" customHeight="1">
      <x:c r="A53" s="2" t="str">
        <x:v>AS052</x:v>
      </x:c>
      <x:c r="B53" s="7" t="str">
        <x:v>高一男生早自习刺伤8名同学，学校老师：正在做精神鉴定</x:v>
      </x:c>
      <x:c r="C53" s="7" t="str">
        <x:v>红星新闻／澎湃新闻</x:v>
      </x:c>
      <x:c r="D53" s="2" t="str">
        <x:v>2019-06-21</x:v>
      </x:c>
      <x:c r="E53" s="7" t="str">
        <x:v>https://m.thepaper.cn/newsDetail_forward_3735899</x:v>
      </x:c>
      <x:c r="F53" s="7"/>
      <x:c r="G53" s="2"/>
      <x:c r="H53" s="2" t="str">
        <x:v>公安</x:v>
      </x:c>
      <x:c r="I53" s="2" t="str">
        <x:v>AS052</x:v>
      </x:c>
      <x:c r="J53" s="7" t="str">
        <x:v>A048</x:v>
      </x:c>
      <x:c r="K53" s="7" t="str">
        <x:v>天门警方通报高一16岁陈某在早自习刺伤8名同班学生，全部无生命危险；动机在查，教师所说精神问题未经确认。</x:v>
      </x:c>
      <x:c r="L53" s="10" t="n">
        <x:v>46281</x:v>
      </x:c>
    </x:row>
    <x:row r="54" ht="38" customHeight="1">
      <x:c r="A54" s="2" t="str">
        <x:v>AS053</x:v>
      </x:c>
      <x:c r="B54" s="7" t="str">
        <x:v>重庆：提前介入一起恶性袭击学生案</x:v>
      </x:c>
      <x:c r="C54" s="7" t="str">
        <x:v>检察日报／最高人民检察院</x:v>
      </x:c>
      <x:c r="D54" s="2" t="str">
        <x:v>2018-10-17</x:v>
      </x:c>
      <x:c r="E54" s="7" t="str">
        <x:v>https://www.spp.gov.cn/spp/dfjcdt/201810/t20181017_395560.shtml</x:v>
      </x:c>
      <x:c r="F54" s="7"/>
      <x:c r="G54" s="2"/>
      <x:c r="H54" s="2" t="str">
        <x:v>检察院</x:v>
      </x:c>
      <x:c r="I54" s="2" t="str">
        <x:v>AS053</x:v>
      </x:c>
      <x:c r="J54" s="7" t="str">
        <x:v>A049</x:v>
      </x:c>
      <x:c r="K54" s="7" t="str">
        <x:v>警方确认10月10日李某榔头伤害候车3名学生、1家长及制止的公交司机，共5伤无生命危险，50分钟后抓获。</x:v>
      </x:c>
      <x:c r="L54" s="10" t="n">
        <x:v>46281</x:v>
      </x:c>
    </x:row>
    <x:row r="55" ht="38" customHeight="1">
      <x:c r="A55" s="2" t="str">
        <x:v>AS054</x:v>
      </x:c>
      <x:c r="B55" s="7" t="str">
        <x:v>暖闻｜重庆一公交司机勇斗行凶歹徒救女孩，获评“热心市民”</x:v>
      </x:c>
      <x:c r="C55" s="7" t="str">
        <x:v>澎湃新闻</x:v>
      </x:c>
      <x:c r="D55" s="2" t="str">
        <x:v>2018-11-15</x:v>
      </x:c>
      <x:c r="E55" s="7" t="str">
        <x:v>https://www.thepaper.cn/newsDetail_forward_2636084</x:v>
      </x:c>
      <x:c r="F55" s="7"/>
      <x:c r="G55" s="2"/>
      <x:c r="H55" s="2" t="str">
        <x:v>公安</x:v>
      </x:c>
      <x:c r="I55" s="2" t="str">
        <x:v>AS054</x:v>
      </x:c>
      <x:c r="J55" s="7" t="str">
        <x:v>A049</x:v>
      </x:c>
      <x:c r="K55" s="7" t="str">
        <x:v>警方称44岁李某因家庭变故酒后泄愤袭击候车群众；司机营救被劫持女孩并使车辆无法启动，自己受伤。</x:v>
      </x:c>
      <x:c r="L55" s="10" t="n">
        <x:v>46281</x:v>
      </x:c>
    </x:row>
    <x:row r="56" ht="38" customHeight="1">
      <x:c r="A56" s="2" t="str">
        <x:v>AS055</x:v>
      </x:c>
      <x:c r="B56" s="7" t="str">
        <x:v>劫持公交案死刑：造成8人死25人伤 龙岩男子被判死刑</x:v>
      </x:c>
      <x:c r="C56" s="7" t="str">
        <x:v>燕赵晚报／中华网</x:v>
      </x:c>
      <x:c r="D56" s="2" t="str">
        <x:v>2019-01-30</x:v>
      </x:c>
      <x:c r="E56" s="7" t="str">
        <x:v>https://news.china.com/socialgd/10000169/20190130/35121335.html</x:v>
      </x:c>
      <x:c r="F56" s="7"/>
      <x:c r="G56" s="2"/>
      <x:c r="H56" s="2" t="str">
        <x:v>公安</x:v>
      </x:c>
      <x:c r="I56" s="2" t="str">
        <x:v>Longyan_court_20190128</x:v>
      </x:c>
      <x:c r="J56" s="7" t="str">
        <x:v>A017</x:v>
      </x:c>
      <x:c r="K56" s="7" t="str">
        <x:v>援引龙岩法院及公安调查：邱日辉与居委会干部有积怨，当日发生争执后杀人并劫持公交车撞人；一审死刑。</x:v>
      </x:c>
      <x:c r="L56" s="10" t="n">
        <x:v>46281</x:v>
      </x:c>
    </x:row>
    <x:row r="57" ht="38" customHeight="1">
      <x:c r="A57" s="2" t="str">
        <x:v>AS056</x:v>
      </x:c>
      <x:c r="B57" s="7" t="str">
        <x:v>【血腥開學日】持刀闖校園 小學生捱斬8死2傷 兇徒疑曾挖女友眼</x:v>
      </x:c>
      <x:c r="C57" s="7" t="str">
        <x:v>香港01</x:v>
      </x:c>
      <x:c r="D57" s="2" t="str">
        <x:v>2019-09-03</x:v>
      </x:c>
      <x:c r="E57" s="7" t="str">
        <x:v>https://www.hk01.com/sns/article/370825</x:v>
      </x:c>
      <x:c r="F57" s="7"/>
      <x:c r="G57" s="2"/>
      <x:c r="H57" s="2" t="str">
        <x:v>独立媒体</x:v>
      </x:c>
      <x:c r="I57" s="2" t="str">
        <x:v>AS056</x:v>
      </x:c>
      <x:c r="J57" s="7" t="str">
        <x:v>A028</x:v>
      </x:c>
      <x:c r="K57" s="7" t="str">
        <x:v>报道引述警方称男子持刀进入朝阳坡小学袭击学生，8死2伤；另有未核实前科与精神状态传言，本数据不采后者。</x:v>
      </x:c>
      <x:c r="L57" s="10" t="n">
        <x:v>46281</x:v>
      </x:c>
    </x:row>
    <x:row r="58" ht="38" customHeight="1">
      <x:c r="A58" s="2" t="str">
        <x:v>BS01</x:v>
      </x:c>
      <x:c r="B58" s="7" t="str">
        <x:v>已伏法的大连开宝马撞人致5死男子：因投资失败故意冲撞行人</x:v>
      </x:c>
      <x:c r="C58" s="7" t="str">
        <x:v>南方都市报（搜狐转载）</x:v>
      </x:c>
      <x:c r="D58" s="2" t="str">
        <x:v>2023-04-07</x:v>
      </x:c>
      <x:c r="E58" s="7" t="str">
        <x:v>https://www.sohu.com/a/664013979_161795</x:v>
      </x:c>
      <x:c r="F58" s="7"/>
      <x:c r="G58" s="2"/>
      <x:c r="H58" s="2" t="str">
        <x:v>官方媒体</x:v>
      </x:c>
      <x:c r="I58" s="2" t="str">
        <x:v>大连中院刘东审理及执行通报</x:v>
      </x:c>
      <x:c r="J58" s="7" t="str">
        <x:v>B01</x:v>
      </x:c>
      <x:c r="K58" s="7" t="str">
        <x:v>法院查明2021年5月22日因投资失败故意冲撞斑马线行人，5死8伤；2021年10月29日一审死刑，2023年4月7日执行。正文已打开。</x:v>
      </x:c>
      <x:c r="L58" s="10" t="n">
        <x:v>46281</x:v>
      </x:c>
    </x:row>
    <x:row r="59" ht="38" customHeight="1">
      <x:c r="A59" s="2" t="str">
        <x:v>BS02</x:v>
      </x:c>
      <x:c r="B59" s="7" t="str">
        <x:v>安庆步行街持刀行凶致7死13伤 罪犯吴亮15日被执行死刑</x:v>
      </x:c>
      <x:c r="C59" s="7" t="str">
        <x:v>央视新闻（环球时报人民号转载）</x:v>
      </x:c>
      <x:c r="D59" s="2" t="str">
        <x:v>2022-02-17</x:v>
      </x:c>
      <x:c r="E59" s="7" t="str">
        <x:v>https://www.peopleapp.com/rmharticle/30026816059</x:v>
      </x:c>
      <x:c r="F59" s="7"/>
      <x:c r="G59" s="2"/>
      <x:c r="H59" s="2" t="str">
        <x:v>官方媒体</x:v>
      </x:c>
      <x:c r="I59" s="2" t="str">
        <x:v>安庆中院吴亮执行布告</x:v>
      </x:c>
      <x:c r="J59" s="7" t="str">
        <x:v>B02</x:v>
      </x:c>
      <x:c r="K59" s="7" t="str">
        <x:v>法院布告记载2021年6月5日连续捅刺20名无辜群众，7死13伤（5重伤）；25岁、无业。2022年2月15日执行死刑。正文已打开。</x:v>
      </x:c>
      <x:c r="L59" s="10" t="n">
        <x:v>46281</x:v>
      </x:c>
    </x:row>
    <x:row r="60" ht="38" customHeight="1">
      <x:c r="A60" s="2" t="str">
        <x:v>BS03</x:v>
      </x:c>
      <x:c r="B60" s="7" t="str">
        <x:v>广州宝马撞人案判决书披露作案动机，被告人称案发前多次高速冲卡逃费</x:v>
      </x:c>
      <x:c r="C60" s="7" t="str">
        <x:v>澎湃新闻</x:v>
      </x:c>
      <x:c r="D60" s="2" t="str">
        <x:v>2023-05-12</x:v>
      </x:c>
      <x:c r="E60" s="7" t="str">
        <x:v>https://www.thepaper.cn/newsDetail_forward_23055693</x:v>
      </x:c>
      <x:c r="F60" s="7"/>
      <x:c r="G60" s="2"/>
      <x:c r="H60" s="2" t="str">
        <x:v>官方媒体</x:v>
      </x:c>
      <x:c r="I60" s="2" t="str">
        <x:v>澎湃广州判决书独立采集</x:v>
      </x:c>
      <x:c r="J60" s="7" t="str">
        <x:v>B04</x:v>
      </x:c>
      <x:c r="K60" s="7" t="str">
        <x:v>记者读取一审判决书并采访家属：2023年1月11日温庆运在天河连续驾车撞人，为发泄个人情绪；最终6死、20余人受伤。29份伤情描述含25名轻伤或轻微伤、3名不构成轻微伤、1名体表未见明显机械性损伤。正文已打开。</x:v>
      </x:c>
      <x:c r="L60" s="10" t="n">
        <x:v>46281</x:v>
      </x:c>
    </x:row>
    <x:row r="61" ht="38" customHeight="1">
      <x:c r="A61" s="2" t="str">
        <x:v>BS04</x:v>
      </x:c>
      <x:c r="B61" s="7" t="str">
        <x:v>广州天河“1·11”驾车撞人案罪犯温庆运被执行死刑</x:v>
      </x:c>
      <x:c r="C61" s="7" t="str">
        <x:v>澎湃新闻</x:v>
      </x:c>
      <x:c r="D61" s="2" t="str">
        <x:v>2024-04-19</x:v>
      </x:c>
      <x:c r="E61" s="7" t="str">
        <x:v>https://www.thepaper.cn/newsDetail_forward_27088401</x:v>
      </x:c>
      <x:c r="F61" s="7"/>
      <x:c r="G61" s="2"/>
      <x:c r="H61" s="2" t="str">
        <x:v>官方媒体</x:v>
      </x:c>
      <x:c r="I61" s="2" t="str">
        <x:v>广州中院温庆运执行通报</x:v>
      </x:c>
      <x:c r="J61" s="7" t="str">
        <x:v>B04</x:v>
      </x:c>
      <x:c r="K61" s="7" t="str">
        <x:v>广州中院通报：温庆运于2024年4月19日执行死刑。正文已打开。</x:v>
      </x:c>
      <x:c r="L61" s="10" t="n">
        <x:v>46281</x:v>
      </x:c>
    </x:row>
    <x:row r="62" ht="38" customHeight="1">
      <x:c r="A62" s="2" t="str">
        <x:v>BS05</x:v>
      </x:c>
      <x:c r="B62" s="7" t="str">
        <x:v>广西北流通报幼儿园持刀行凶案：初步认定犯罪嫌疑人为精神分裂症患者</x:v>
      </x:c>
      <x:c r="C62" s="7" t="str">
        <x:v>新华社</x:v>
      </x:c>
      <x:c r="D62" s="2" t="str">
        <x:v>2021-04-30</x:v>
      </x:c>
      <x:c r="E62" s="7" t="str">
        <x:v>https://www.xinhuanet.com/2021-04/30/c_1127394396.htm</x:v>
      </x:c>
      <x:c r="F62" s="7"/>
      <x:c r="G62" s="2"/>
      <x:c r="H62" s="2" t="str">
        <x:v>官方媒体</x:v>
      </x:c>
      <x:c r="I62" s="2" t="str">
        <x:v>北流公安20210429</x:v>
      </x:c>
      <x:c r="J62" s="7" t="str">
        <x:v>B06</x:v>
      </x:c>
      <x:c r="K62" s="7" t="str">
        <x:v>北流警方通报：4月28日新丰镇幼儿园持刀案，2死16伤；曾某被当场控制，司法鉴定初步认定精神分裂症。正文已打开。</x:v>
      </x:c>
      <x:c r="L62" s="10" t="n">
        <x:v>46281</x:v>
      </x:c>
    </x:row>
    <x:row r="63" ht="38" customHeight="1">
      <x:c r="A63" s="2" t="str">
        <x:v>BS06</x:v>
      </x:c>
      <x:c r="B63" s="7" t="str">
        <x:v>1人死亡7人受伤，昆明通报劫持人质事件</x:v>
      </x:c>
      <x:c r="C63" s="7" t="str">
        <x:v>澎湃号媒体（云南发布等通报转载）</x:v>
      </x:c>
      <x:c r="D63" s="2" t="str">
        <x:v>2021-01-23</x:v>
      </x:c>
      <x:c r="E63" s="7" t="str">
        <x:v>https://www.thepaper.cn/newsDetail_forward_10911592</x:v>
      </x:c>
      <x:c r="F63" s="7"/>
      <x:c r="G63" s="2"/>
      <x:c r="H63" s="2" t="str">
        <x:v>官方媒体</x:v>
      </x:c>
      <x:c r="I63" s="2" t="str">
        <x:v>昆明五华政府警方20210122</x:v>
      </x:c>
      <x:c r="J63" s="7" t="str">
        <x:v>B05</x:v>
      </x:c>
      <x:c r="K63" s="7" t="str">
        <x:v>2021年1月22日云南师大实验中学门口持刀伤人及劫持案，王某侠男56岁，1死7伤；警方击毙嫌疑人、解救人质。正文已打开。</x:v>
      </x:c>
      <x:c r="L63" s="10" t="n">
        <x:v>46281</x:v>
      </x:c>
    </x:row>
    <x:row r="64" ht="38" customHeight="1">
      <x:c r="A64" s="2" t="str">
        <x:v>BS07</x:v>
      </x:c>
      <x:c r="B64" s="7" t="str">
        <x:v>南阳警方：66岁男子持棍行凶，致12名学生2名群众受伤</x:v>
      </x:c>
      <x:c r="C64" s="7" t="str">
        <x:v>观察者网</x:v>
      </x:c>
      <x:c r="D64" s="2" t="str">
        <x:v>2021-05-26</x:v>
      </x:c>
      <x:c r="E64" s="7" t="str">
        <x:v>https://www.guancha.cn/politics/2021_05_26_592016.shtml</x:v>
      </x:c>
      <x:c r="F64" s="7"/>
      <x:c r="G64" s="2"/>
      <x:c r="H64" s="2" t="str">
        <x:v>独立媒体</x:v>
      </x:c>
      <x:c r="I64" s="2" t="str">
        <x:v>南阳公安20210525</x:v>
      </x:c>
      <x:c r="J64" s="7" t="str">
        <x:v>B07</x:v>
      </x:c>
      <x:c r="K64" s="7" t="str">
        <x:v>完整转载警方通报：5月25日68小学附近退休男子吴某某因生活失意报复社会持棍，12名学生及2名群众受伤、均无生命危险。正文已打开。</x:v>
      </x:c>
      <x:c r="L64" s="10" t="n">
        <x:v>46281</x:v>
      </x:c>
    </x:row>
    <x:row r="65" ht="38" customHeight="1">
      <x:c r="A65" s="2" t="str">
        <x:v>BS08</x:v>
      </x:c>
      <x:c r="B65" s="7" t="str">
        <x:v>5名小学生上学途中被砍伤！行凶男被指精神有问题</x:v>
      </x:c>
      <x:c r="C65" s="7" t="str">
        <x:v>生活报（新浪转载）</x:v>
      </x:c>
      <x:c r="D65" s="2" t="str">
        <x:v>2021-05-28</x:v>
      </x:c>
      <x:c r="E65" s="7" t="str">
        <x:v>https://news.sina.cn/sh/2021-05-28/detail-ikmxzfmm5247323.d.html</x:v>
      </x:c>
      <x:c r="F65" s="7"/>
      <x:c r="G65" s="2"/>
      <x:c r="H65" s="2" t="str">
        <x:v>官方媒体</x:v>
      </x:c>
      <x:c r="I65" s="2" t="str">
        <x:v>生活报郴州独立采访</x:v>
      </x:c>
      <x:c r="J65" s="7" t="str">
        <x:v>B08</x:v>
      </x:c>
      <x:c r="K65" s="7" t="str">
        <x:v>记者采访医院、商户与宣传部门：5月28日白露塘镇地下通道5名返校学生被持刀袭击，伤亡仍不明；医护称至少1死，尚无正式确认。正文已打开。</x:v>
      </x:c>
      <x:c r="L65" s="10" t="n">
        <x:v>46281</x:v>
      </x:c>
    </x:row>
    <x:row r="66" ht="38" customHeight="1">
      <x:c r="A66" s="2" t="str">
        <x:v>BS09</x:v>
      </x:c>
      <x:c r="B66" s="7" t="str">
        <x:v>河北一中学发生伤人事件，有学生受伤，嫌疑人被控制</x:v>
      </x:c>
      <x:c r="C66" s="7" t="str">
        <x:v>极目新闻（搜狐转载）</x:v>
      </x:c>
      <x:c r="D66" s="2" t="str">
        <x:v>2021-05-24</x:v>
      </x:c>
      <x:c r="E66" s="7" t="str">
        <x:v>https://www.sohu.com/a/468254554_172952</x:v>
      </x:c>
      <x:c r="F66" s="7"/>
      <x:c r="G66" s="2"/>
      <x:c r="H66" s="2" t="str">
        <x:v>官方媒体</x:v>
      </x:c>
      <x:c r="I66" s="2" t="str">
        <x:v>极目任丘独立采访</x:v>
      </x:c>
      <x:c r="J66" s="7" t="str">
        <x:v>B09</x:v>
      </x:c>
      <x:c r="K66" s="7" t="str">
        <x:v>记者向教育部门和医院核实华北油田采一中学校内发生伤人案、有学生受伤；人数和关系不明。正文已打开。</x:v>
      </x:c>
      <x:c r="L66" s="10" t="n">
        <x:v>46281</x:v>
      </x:c>
    </x:row>
    <x:row r="67" ht="38" customHeight="1">
      <x:c r="A67" s="2" t="str">
        <x:v>BS10</x:v>
      </x:c>
      <x:c r="B67" s="7" t="str">
        <x:v>警方通报南京驾车撞人并持刀捅人案细节</x:v>
      </x:c>
      <x:c r="C67" s="7" t="str">
        <x:v>中国新闻社（新浪转载）</x:v>
      </x:c>
      <x:c r="D67" s="2" t="str">
        <x:v>2021-05-30</x:v>
      </x:c>
      <x:c r="E67" s="7" t="str">
        <x:v>https://news.sina.com.cn/o/2021-05-30/doc-ikmxzfmm5536260.shtml</x:v>
      </x:c>
      <x:c r="F67" s="7"/>
      <x:c r="G67" s="2"/>
      <x:c r="H67" s="2" t="str">
        <x:v>官方媒体</x:v>
      </x:c>
      <x:c r="I67" s="2" t="str">
        <x:v>南京公安20210530</x:v>
      </x:c>
      <x:c r="J67" s="7" t="str">
        <x:v>B10</x:v>
      </x:c>
      <x:c r="K67" s="7" t="str">
        <x:v>5月29日晚吉某某因感情纠纷撞伤前妻和其友人，同时撞伤路人，逃逸途中伤及路人和劝阻者；7名被害人、嫌疑人亦伤。正文已打开。</x:v>
      </x:c>
      <x:c r="L67" s="10" t="n">
        <x:v>46281</x:v>
      </x:c>
    </x:row>
    <x:row r="68" ht="38" customHeight="1">
      <x:c r="A68" s="2" t="str">
        <x:v>BS11</x:v>
      </x:c>
      <x:c r="B68" s="7" t="str">
        <x:v>男子街头持刀伤人，9人送医！目击者：不认识的人，他拿刀就捅</x:v>
      </x:c>
      <x:c r="C68" s="7" t="str">
        <x:v>巨野法院澎湃号转载齐鲁晚报（含浦东公安通报及商户采访）</x:v>
      </x:c>
      <x:c r="D68" s="2" t="str">
        <x:v>2021-12-07</x:v>
      </x:c>
      <x:c r="E68" s="7" t="str">
        <x:v>https://m.thepaper.cn/newsDetail_forward_15729518</x:v>
      </x:c>
      <x:c r="F68" s="7"/>
      <x:c r="G68" s="2"/>
      <x:c r="H68" s="2" t="str">
        <x:v>官方媒体</x:v>
      </x:c>
      <x:c r="I68" s="2" t="str">
        <x:v>浦东公安20211206及上海媒体采访汇编</x:v>
      </x:c>
      <x:c r="J68" s="7" t="str">
        <x:v>B11</x:v>
      </x:c>
      <x:c r="K68" s="7" t="str">
        <x:v>警方通报刘某26岁持剪刀伤7名群众和2名警察，为外省市在册精神病人；目击者称从店内至沿街对陌生人连续行凶。正文已打开。</x:v>
      </x:c>
      <x:c r="L68" s="10" t="n">
        <x:v>46281</x:v>
      </x:c>
    </x:row>
    <x:row r="69" ht="38" customHeight="1">
      <x:c r="A69" s="2" t="str">
        <x:v>BS12</x:v>
      </x:c>
      <x:c r="B69" s="7" t="str">
        <x:v>侯晓飞，死刑</x:v>
      </x:c>
      <x:c r="C69" s="7" t="str">
        <x:v>环球时报转载上海二中院</x:v>
      </x:c>
      <x:c r="D69" s="2" t="str">
        <x:v>2023-10-27</x:v>
      </x:c>
      <x:c r="E69" s="7" t="str">
        <x:v>https://mil.sina.cn/2023-10-27/detail-imzsptxq7188490.d.html</x:v>
      </x:c>
      <x:c r="F69" s="7"/>
      <x:c r="G69" s="2"/>
      <x:c r="H69" s="2" t="str">
        <x:v>法院</x:v>
      </x:c>
      <x:c r="I69" s="2" t="str">
        <x:v>上海二中院20231027</x:v>
      </x:c>
      <x:c r="J69" s="7" t="str">
        <x:v>B03</x:v>
      </x:c>
      <x:c r="K69" s="7" t="str">
        <x:v>法院认定投资失败、无力偿债后预谋报复社会；瑞金医院袭击致6人重伤、9人轻伤轻微伤，一审死刑。</x:v>
      </x:c>
      <x:c r="L69" s="10" t="n">
        <x:v>46281</x:v>
      </x:c>
    </x:row>
    <x:row r="70" ht="38" customHeight="1">
      <x:c r="A70" s="2" t="str">
        <x:v>BS13</x:v>
      </x:c>
      <x:c r="B70" s="7" t="str">
        <x:v>警方通报“杭州爆燃事件”：嫌疑人曾患有偏执性精神障碍</x:v>
      </x:c>
      <x:c r="C70" s="7" t="str">
        <x:v>财新</x:v>
      </x:c>
      <x:c r="D70" s="2" t="str">
        <x:v>2021-01-23</x:v>
      </x:c>
      <x:c r="E70" s="7" t="str">
        <x:v>https://china.caixin.com/2021-01-23/101654861.html</x:v>
      </x:c>
      <x:c r="F70" s="7"/>
      <x:c r="G70" s="2"/>
      <x:c r="H70" s="2" t="str">
        <x:v>独立媒体</x:v>
      </x:c>
      <x:c r="I70" s="2" t="str">
        <x:v>杭州公安20210123</x:v>
      </x:c>
      <x:c r="J70" s="7" t="str">
        <x:v>B12</x:v>
      </x:c>
      <x:c r="K70" s="7" t="str">
        <x:v>警方披露39岁卢某因诊疗不满预谋，在医院引燃爆炸物并持刀伤害患者医护，四名他人和嫌疑人受伤。</x:v>
      </x:c>
      <x:c r="L70" s="10" t="n">
        <x:v>46281</x:v>
      </x:c>
    </x:row>
    <x:row r="71" ht="38" customHeight="1">
      <x:c r="A71" s="2" t="str">
        <x:v>BS14</x:v>
      </x:c>
      <x:c r="B71" s="7" t="str">
        <x:v>四川天府新区通报持刀伤人事件：4名伤者暂无生命危险</x:v>
      </x:c>
      <x:c r="C71" s="7" t="str">
        <x:v>中国新闻网</x:v>
      </x:c>
      <x:c r="D71" s="2" t="str">
        <x:v>2021-04-18</x:v>
      </x:c>
      <x:c r="E71" s="7" t="str">
        <x:v>https://www.chinanews.com/sh/2021/04-18/9457400.shtml</x:v>
      </x:c>
      <x:c r="F71" s="7"/>
      <x:c r="G71" s="2"/>
      <x:c r="H71" s="2" t="str">
        <x:v>公安</x:v>
      </x:c>
      <x:c r="I71" s="2" t="str">
        <x:v>天府新区公安20210417</x:v>
      </x:c>
      <x:c r="J71" s="7" t="str">
        <x:v>B13</x:v>
      </x:c>
      <x:c r="K71" s="7" t="str">
        <x:v>警方称杨某与母亲争吵后持刀伤害4名他人。</x:v>
      </x:c>
      <x:c r="L71" s="10" t="n">
        <x:v>46281</x:v>
      </x:c>
    </x:row>
    <x:row r="72" ht="38" customHeight="1">
      <x:c r="A72" s="2" t="str">
        <x:v>BS15</x:v>
      </x:c>
      <x:c r="B72" s="7" t="str">
        <x:v>广东东莞发生持刀伤人案，6人受伤</x:v>
      </x:c>
      <x:c r="C72" s="7" t="str">
        <x:v>凤凰网转载平安清溪</x:v>
      </x:c>
      <x:c r="D72" s="2" t="str">
        <x:v>2021-07-15</x:v>
      </x:c>
      <x:c r="E72" s="7" t="str">
        <x:v>https://news.ifeng.com/c/87u97pdHf1d</x:v>
      </x:c>
      <x:c r="F72" s="7"/>
      <x:c r="G72" s="2"/>
      <x:c r="H72" s="2" t="str">
        <x:v>公安</x:v>
      </x:c>
      <x:c r="I72" s="2" t="str">
        <x:v>清溪公安20210715</x:v>
      </x:c>
      <x:c r="J72" s="7" t="str">
        <x:v>B14</x:v>
      </x:c>
      <x:c r="K72" s="7" t="str">
        <x:v>警方确认清溪镇李某持刀致6名群众受伤，31岁无业，已抓获。</x:v>
      </x:c>
      <x:c r="L72" s="10" t="n">
        <x:v>46281</x:v>
      </x:c>
    </x:row>
    <x:row r="73" ht="38" customHeight="1">
      <x:c r="A73" s="2" t="str">
        <x:v>BS16</x:v>
      </x:c>
      <x:c r="B73" s="7" t="str">
        <x:v>甘肃临洮县洮阳镇发生2死1伤刑事案件 犯罪嫌疑人已被刑拘</x:v>
      </x:c>
      <x:c r="C73" s="7" t="str">
        <x:v>新京报转载临洮县政府</x:v>
      </x:c>
      <x:c r="D73" s="2" t="str">
        <x:v>2021-08-18</x:v>
      </x:c>
      <x:c r="E73" s="7" t="str">
        <x:v>https://m.bjnews.com.cn/detail/162927093314206.html</x:v>
      </x:c>
      <x:c r="F73" s="7"/>
      <x:c r="G73" s="2"/>
      <x:c r="H73" s="2" t="str">
        <x:v>官方媒体</x:v>
      </x:c>
      <x:c r="I73" s="2" t="str">
        <x:v>临洮政府20210818</x:v>
      </x:c>
      <x:c r="J73" s="7" t="str">
        <x:v>B15</x:v>
      </x:c>
      <x:c r="K73" s="7" t="str">
        <x:v>县政府确认8月16日13时30分发生2死1伤刑案，张某某被刑拘。</x:v>
      </x:c>
      <x:c r="L73" s="10" t="n">
        <x:v>46281</x:v>
      </x:c>
    </x:row>
    <x:row r="74" ht="38" customHeight="1">
      <x:c r="A74" s="2" t="str">
        <x:v>BS17</x:v>
      </x:c>
      <x:c r="B74" s="7" t="str">
        <x:v>甘肃临洮发生凶案致2死1伤 嫌疑人系镇政府工作人员</x:v>
      </x:c>
      <x:c r="C74" s="7" t="str">
        <x:v>财新</x:v>
      </x:c>
      <x:c r="D74" s="2" t="str">
        <x:v>2021-08-18</x:v>
      </x:c>
      <x:c r="E74" s="7" t="str">
        <x:v>https://china.caixin.com/2021-08-18/101756899.html</x:v>
      </x:c>
      <x:c r="F74" s="7"/>
      <x:c r="G74" s="2"/>
      <x:c r="H74" s="2" t="str">
        <x:v>独立媒体</x:v>
      </x:c>
      <x:c r="I74" s="2" t="str">
        <x:v>财新临洮20210818</x:v>
      </x:c>
      <x:c r="J74" s="7" t="str">
        <x:v>B15</x:v>
      </x:c>
      <x:c r="K74" s="7" t="str">
        <x:v>采访镇政府确认嫌疑人职员身份及抑郁说法，三名受害者为7、13、16岁女孩；引述家属去图书馆途中被袭。</x:v>
      </x:c>
      <x:c r="L74" s="10" t="n">
        <x:v>46281</x:v>
      </x:c>
    </x:row>
    <x:row r="75" ht="38" customHeight="1">
      <x:c r="A75" s="2" t="str">
        <x:v>BS18</x:v>
      </x:c>
      <x:c r="B75" s="7" t="str">
        <x:v>广州番禺一男子持刀伤人致3人受伤，嫌疑人被警方开枪击伤</x:v>
      </x:c>
      <x:c r="C75" s="7" t="str">
        <x:v>中国网转载新京报</x:v>
      </x:c>
      <x:c r="D75" s="2" t="str">
        <x:v>2021-08-29</x:v>
      </x:c>
      <x:c r="E75" s="7" t="str">
        <x:v>http://henan.china.com.cn/m/2021-08/29/content_41658061.html</x:v>
      </x:c>
      <x:c r="F75" s="7"/>
      <x:c r="G75" s="2"/>
      <x:c r="H75" s="2" t="str">
        <x:v>公安</x:v>
      </x:c>
      <x:c r="I75" s="2" t="str">
        <x:v>番禺公安20210828</x:v>
      </x:c>
      <x:c r="J75" s="7" t="str">
        <x:v>B16</x:v>
      </x:c>
      <x:c r="K75" s="7" t="str">
        <x:v>番禺公安通报8月28日清河中路郑某43岁持水果刀伤3人，被警方开枪击伤控制。</x:v>
      </x:c>
      <x:c r="L75" s="10" t="n">
        <x:v>46281</x:v>
      </x:c>
    </x:row>
    <x:row r="76" ht="38" customHeight="1">
      <x:c r="A76" s="2" t="str">
        <x:v>BS19</x:v>
      </x:c>
      <x:c r="B76" s="7" t="str">
        <x:v>山西河津一男子当街持刀伤3人被警方控制 有司机驾车撞击持刀者</x:v>
      </x:c>
      <x:c r="C76" s="7" t="str">
        <x:v>北京青年报</x:v>
      </x:c>
      <x:c r="D76" s="2" t="str">
        <x:v>2021-11-04</x:v>
      </x:c>
      <x:c r="E76" s="7" t="str">
        <x:v>https://news.sina.cn/sh/2021-11-04/detail-iktzscyy3587157.d.html</x:v>
      </x:c>
      <x:c r="F76" s="7"/>
      <x:c r="G76" s="2"/>
      <x:c r="H76" s="2" t="str">
        <x:v>公安</x:v>
      </x:c>
      <x:c r="I76" s="2" t="str">
        <x:v>河津公安20211104</x:v>
      </x:c>
      <x:c r="J76" s="7" t="str">
        <x:v>B17</x:v>
      </x:c>
      <x:c r="K76" s="7" t="str">
        <x:v>警方称赵某务工中争执，持菜刀致现场3名劝阻群众受伤。</x:v>
      </x:c>
      <x:c r="L76" s="10" t="n">
        <x:v>46281</x:v>
      </x:c>
    </x:row>
    <x:row r="77" ht="38" customHeight="1">
      <x:c r="A77" s="2" t="str">
        <x:v>BS20</x:v>
      </x:c>
      <x:c r="B77" s="7" t="str">
        <x:v>沈阳一公交车发生爆炸 已致1人死亡、2人重伤、40人轻伤</x:v>
      </x:c>
      <x:c r="C77" s="7" t="str">
        <x:v>中国新闻网</x:v>
      </x:c>
      <x:c r="D77" s="2" t="str">
        <x:v>2022-02-12</x:v>
      </x:c>
      <x:c r="E77" s="7" t="str">
        <x:v>https://www.chinanews.com.cn/sh/2022/02-12/9674807.shtml</x:v>
      </x:c>
      <x:c r="F77" s="7"/>
      <x:c r="G77" s="2"/>
      <x:c r="H77" s="2" t="str">
        <x:v>公安</x:v>
      </x:c>
      <x:c r="I77" s="2" t="str">
        <x:v>沈阳公安20220212</x:v>
      </x:c>
      <x:c r="J77" s="7" t="str">
        <x:v>B18</x:v>
      </x:c>
      <x:c r="K77" s="7" t="str">
        <x:v>警方确认232路公交爆炸1死42伤，原因在查。</x:v>
      </x:c>
      <x:c r="L77" s="10" t="n">
        <x:v>46281</x:v>
      </x:c>
    </x:row>
    <x:row r="78" ht="38" customHeight="1">
      <x:c r="A78" s="2" t="str">
        <x:v>BS21</x:v>
      </x:c>
      <x:c r="B78" s="7" t="str">
        <x:v>福建漳州一货车撞倒行人致3死9伤，司机已被控制</x:v>
      </x:c>
      <x:c r="C78" s="7" t="str">
        <x:v>澎湃转载警方</x:v>
      </x:c>
      <x:c r="D78" s="2" t="str">
        <x:v>2022-02-14</x:v>
      </x:c>
      <x:c r="E78" s="7" t="str">
        <x:v>https://m.thepaper.cn/newsDetail_forward_16694089</x:v>
      </x:c>
      <x:c r="F78" s="7"/>
      <x:c r="G78" s="2"/>
      <x:c r="H78" s="2" t="str">
        <x:v>公安</x:v>
      </x:c>
      <x:c r="I78" s="2" t="str">
        <x:v>南靖公安20220214</x:v>
      </x:c>
      <x:c r="J78" s="7" t="str">
        <x:v>B19</x:v>
      </x:c>
      <x:c r="K78" s="7" t="str">
        <x:v>南靖山城镇货车撞行人3死9伤，具体原因调查中。</x:v>
      </x:c>
      <x:c r="L78" s="10" t="n">
        <x:v>46281</x:v>
      </x:c>
    </x:row>
    <x:row r="79" ht="38" customHeight="1">
      <x:c r="A79" s="2" t="str">
        <x:v>BS22</x:v>
      </x:c>
      <x:c r="B79" s="7" t="str">
        <x:v>邯郸一男子驾车冲撞人群致4人死亡被刑拘，涉嫌超量服药</x:v>
      </x:c>
      <x:c r="C79" s="7" t="str">
        <x:v>新湖南转载中央政法委长安剑</x:v>
      </x:c>
      <x:c r="D79" s="2" t="str">
        <x:v>2022-03-22</x:v>
      </x:c>
      <x:c r="E79" s="7" t="str">
        <x:v>https://www.hunantoday.cn/news/xhn/202203/13900814.html</x:v>
      </x:c>
      <x:c r="F79" s="7"/>
      <x:c r="G79" s="2"/>
      <x:c r="H79" s="2" t="str">
        <x:v>公安</x:v>
      </x:c>
      <x:c r="I79" s="2" t="str">
        <x:v>邯郸公安20220321</x:v>
      </x:c>
      <x:c r="J79" s="7" t="str">
        <x:v>B20</x:v>
      </x:c>
      <x:c r="K79" s="7" t="str">
        <x:v>警方称刘某北31岁长期服镇痛处方药，案发日超量服药；14名初始伤者中4人死亡。</x:v>
      </x:c>
      <x:c r="L79" s="10" t="n">
        <x:v>46281</x:v>
      </x:c>
    </x:row>
    <x:row r="80" ht="38" customHeight="1">
      <x:c r="A80" s="2" t="str">
        <x:v>BS23</x:v>
      </x:c>
      <x:c r="B80" s="7" t="str">
        <x:v>甘肃岷县发生一起故意伤害案致7伤，其中5名为孩子</x:v>
      </x:c>
      <x:c r="C80" s="7" t="str">
        <x:v>新京报转载岷县发布</x:v>
      </x:c>
      <x:c r="D80" s="2" t="str">
        <x:v>2022-04-16</x:v>
      </x:c>
      <x:c r="E80" s="7" t="str">
        <x:v>https://m.bjnews.com.cn/detail/165006491014284.html</x:v>
      </x:c>
      <x:c r="F80" s="7"/>
      <x:c r="G80" s="2"/>
      <x:c r="H80" s="2" t="str">
        <x:v>公安</x:v>
      </x:c>
      <x:c r="I80" s="2" t="str">
        <x:v>岷县发布20220416</x:v>
      </x:c>
      <x:c r="J80" s="7" t="str">
        <x:v>B21</x:v>
      </x:c>
      <x:c r="K80" s="7" t="str">
        <x:v>59岁赵某因院门上锁误认邻居谩骂自己，争吵后伤害同院7人含5儿童。</x:v>
      </x:c>
      <x:c r="L80" s="10" t="n">
        <x:v>46281</x:v>
      </x:c>
    </x:row>
    <x:row r="81" ht="38" customHeight="1">
      <x:c r="A81" s="2" t="str">
        <x:v>BS24</x:v>
      </x:c>
      <x:c r="B81" s="7" t="str">
        <x:v>廣東東莞發生持刀傷人事件 釀6人受傷</x:v>
      </x:c>
      <x:c r="C81" s="7" t="str">
        <x:v>中央社</x:v>
      </x:c>
      <x:c r="D81" s="2" t="str">
        <x:v>2022-06-02</x:v>
      </x:c>
      <x:c r="E81" s="7" t="str">
        <x:v>https://www.cna.com.tw/news/acn/202206020351.aspx</x:v>
      </x:c>
      <x:c r="F81" s="7"/>
      <x:c r="G81" s="2"/>
      <x:c r="H81" s="2" t="str">
        <x:v>独立媒体</x:v>
      </x:c>
      <x:c r="I81" s="2" t="str">
        <x:v>东莞东城公安20220602</x:v>
      </x:c>
      <x:c r="J81" s="7" t="str">
        <x:v>B22</x:v>
      </x:c>
      <x:c r="K81" s="7" t="str">
        <x:v>东城警方确认万达广场附近25岁湛某伤6人；随机伤人细节主要来自社媒视频描述。</x:v>
      </x:c>
      <x:c r="L81" s="10" t="n">
        <x:v>46281</x:v>
      </x:c>
    </x:row>
    <x:row r="82" ht="38" customHeight="1">
      <x:c r="A82" s="2" t="str">
        <x:v>BS25</x:v>
      </x:c>
      <x:c r="B82" s="7" t="str">
        <x:v>上海男子持刀伤人致6人受伤 因与原单位纠纷</x:v>
      </x:c>
      <x:c r="C82" s="7" t="str">
        <x:v>财新</x:v>
      </x:c>
      <x:c r="D82" s="2" t="str">
        <x:v>2022-07-05</x:v>
      </x:c>
      <x:c r="E82" s="7" t="str">
        <x:v>https://china.caixin.com/2022-07-05/101908062.html</x:v>
      </x:c>
      <x:c r="F82" s="7"/>
      <x:c r="G82" s="2"/>
      <x:c r="H82" s="2" t="str">
        <x:v>独立媒体</x:v>
      </x:c>
      <x:c r="I82" s="2" t="str">
        <x:v>财新上海20220705</x:v>
      </x:c>
      <x:c r="J82" s="7" t="str">
        <x:v>B23</x:v>
      </x:c>
      <x:c r="K82" s="7" t="str">
        <x:v>警方称59岁高某与原单位纠纷交涉未果；财新获悉其在SMG办公地点随机攻击进出员工，6伤。</x:v>
      </x:c>
      <x:c r="L82" s="10" t="n">
        <x:v>46281</x:v>
      </x:c>
    </x:row>
    <x:row r="83" ht="38" customHeight="1">
      <x:c r="A83" s="2" t="str">
        <x:v>BS26</x:v>
      </x:c>
      <x:c r="B83" s="7" t="str">
        <x:v>四川沐川涉嫌杀人警察尸体在山中被发现</x:v>
      </x:c>
      <x:c r="C83" s="7" t="str">
        <x:v>财新</x:v>
      </x:c>
      <x:c r="D83" s="2" t="str">
        <x:v>2022-07-30</x:v>
      </x:c>
      <x:c r="E83" s="7" t="str">
        <x:v>https://china.caixin.com/2022-07-30/101920197.html</x:v>
      </x:c>
      <x:c r="F83" s="7"/>
      <x:c r="G83" s="2"/>
      <x:c r="H83" s="2" t="str">
        <x:v>独立媒体</x:v>
      </x:c>
      <x:c r="I83" s="2" t="str">
        <x:v>财新沐川20220730</x:v>
      </x:c>
      <x:c r="J83" s="7" t="str">
        <x:v>B24</x:v>
      </x:c>
      <x:c r="K83" s="7" t="str">
        <x:v>警方确认36岁涉案警察尸体；财新家属与村民采访确认5名受害者为同一家庭及亲属。</x:v>
      </x:c>
      <x:c r="L83" s="10" t="n">
        <x:v>46281</x:v>
      </x:c>
    </x:row>
    <x:row r="84" ht="38" customHeight="1">
      <x:c r="A84" s="2" t="str">
        <x:v>BS27</x:v>
      </x:c>
      <x:c r="B84" s="7" t="str">
        <x:v>河南舞阳交通事故致1死28伤，肇事司机已被控制</x:v>
      </x:c>
      <x:c r="C84" s="7" t="str">
        <x:v>澎湃新闻</x:v>
      </x:c>
      <x:c r="D84" s="2" t="str">
        <x:v>2022-07-28</x:v>
      </x:c>
      <x:c r="E84" s="7" t="str">
        <x:v>https://www.thepaper.cn/newsDetail_forward_19218504</x:v>
      </x:c>
      <x:c r="F84" s="7"/>
      <x:c r="G84" s="2"/>
      <x:c r="H84" s="2" t="str">
        <x:v>官方媒体</x:v>
      </x:c>
      <x:c r="I84" s="2" t="str">
        <x:v>舞阳政府20220728</x:v>
      </x:c>
      <x:c r="J84" s="7" t="str">
        <x:v>B25</x:v>
      </x:c>
      <x:c r="K84" s="7" t="str">
        <x:v>官方称张家港路交通肇事逃逸，1死28伤，司机刘某33岁被控制。</x:v>
      </x:c>
      <x:c r="L84" s="10" t="n">
        <x:v>46281</x:v>
      </x:c>
    </x:row>
    <x:row r="85" ht="38" customHeight="1">
      <x:c r="A85" s="2" t="str">
        <x:v>BS28</x:v>
      </x:c>
      <x:c r="B85" s="7" t="str">
        <x:v>江西安福幼儿园行凶嫌疑人逃跑途中因车祸身亡，另有两位教师遇害</x:v>
      </x:c>
      <x:c r="C85" s="7" t="str">
        <x:v>凤凰网转载封面新闻</x:v>
      </x:c>
      <x:c r="D85" s="2" t="str">
        <x:v>2022-08-10</x:v>
      </x:c>
      <x:c r="E85" s="7" t="str">
        <x:v>https://jx.ifeng.com/c/8IJMUtHuk4x</x:v>
      </x:c>
      <x:c r="F85" s="7"/>
      <x:c r="G85" s="2"/>
      <x:c r="H85" s="2" t="str">
        <x:v>独立媒体</x:v>
      </x:c>
      <x:c r="I85" s="2" t="str">
        <x:v>封面安福20220810</x:v>
      </x:c>
      <x:c r="J85" s="7" t="str">
        <x:v>B26</x:v>
      </x:c>
      <x:c r="K85" s="7" t="str">
        <x:v>截至8月5日4死5伤，伤者无生命危险；嫌疑人逃跑时交通事故死亡。</x:v>
      </x:c>
      <x:c r="L85" s="10" t="n">
        <x:v>46281</x:v>
      </x:c>
    </x:row>
    <x:row r="86" ht="38" customHeight="1">
      <x:c r="A86" s="2" t="str">
        <x:v>BS29</x:v>
      </x:c>
      <x:c r="B86" s="7" t="str">
        <x:v>持刀随机杀害17岁少年，罪犯死刑改判无期，遇害者父亲：彼此无仇</x:v>
      </x:c>
      <x:c r="C86" s="7" t="str">
        <x:v>新晚报</x:v>
      </x:c>
      <x:c r="D86" s="2" t="str">
        <x:v>2026-04-07</x:v>
      </x:c>
      <x:c r="E86" s="7" t="str">
        <x:v>https://www.sohu.com/a/1006507291_338398</x:v>
      </x:c>
      <x:c r="F86" s="7"/>
      <x:c r="G86" s="2"/>
      <x:c r="H86" s="2" t="str">
        <x:v>法院</x:v>
      </x:c>
      <x:c r="I86" s="2" t="str">
        <x:v>莆田曾某彬判决报道20260407</x:v>
      </x:c>
      <x:c r="J86" s="7" t="str">
        <x:v>B27</x:v>
      </x:c>
      <x:c r="K86" s="7" t="str">
        <x:v>报道逐项引用判决和鉴定：2022年8月2日莆田街头随意选择对象杀害1人；重审以未满18岁改判无期。</x:v>
      </x:c>
      <x:c r="L86" s="10" t="n">
        <x:v>46281</x:v>
      </x:c>
    </x:row>
    <x:row r="87" ht="38" customHeight="1">
      <x:c r="A87" s="2" t="str">
        <x:v>BS30</x:v>
      </x:c>
      <x:c r="B87" s="7" t="str">
        <x:v>Z世代 正青春｜吴英杰，英雄豪杰！徒手制伏持刀行凶者</x:v>
      </x:c>
      <x:c r="C87" s="7" t="str">
        <x:v>封面新闻</x:v>
      </x:c>
      <x:c r="D87" s="2" t="str">
        <x:v>2023-07-13</x:v>
      </x:c>
      <x:c r="E87" s="7" t="str">
        <x:v>https://www.sohu.com/a/699423212_120952561</x:v>
      </x:c>
      <x:c r="F87" s="7"/>
      <x:c r="G87" s="2"/>
      <x:c r="H87" s="2" t="str">
        <x:v>独立媒体</x:v>
      </x:c>
      <x:c r="I87" s="2" t="str">
        <x:v>封面吴英杰20230713</x:v>
      </x:c>
      <x:c r="J87" s="7" t="str">
        <x:v>B28</x:v>
      </x:c>
      <x:c r="K87" s="7" t="str">
        <x:v>2023年3月19日重庆轨道一号线何某刺伤邻座女乘客；警方向记者称目的为随机伤害，伤者出院。</x:v>
      </x:c>
      <x:c r="L87" s="10" t="n">
        <x:v>46281</x:v>
      </x:c>
    </x:row>
    <x:row r="88" ht="38" customHeight="1">
      <x:c r="A88" s="2" t="str">
        <x:v>BS31</x:v>
      </x:c>
      <x:c r="B88" s="7" t="str">
        <x:v>见义勇为青年吴英杰</x:v>
      </x:c>
      <x:c r="C88" s="7" t="str">
        <x:v>重庆日报</x:v>
      </x:c>
      <x:c r="D88" s="2" t="str">
        <x:v>2023-12-14</x:v>
      </x:c>
      <x:c r="E88" s="7" t="str">
        <x:v>https://epaper.cqrb.cn/cqrb/2023-12/14/009/cqrb20231214009.pdf</x:v>
      </x:c>
      <x:c r="F88" s="7"/>
      <x:c r="G88" s="2"/>
      <x:c r="H88" s="2" t="str">
        <x:v>官方媒体</x:v>
      </x:c>
      <x:c r="I88" s="2" t="str">
        <x:v>重庆日报吴英杰20231214</x:v>
      </x:c>
      <x:c r="J88" s="7" t="str">
        <x:v>B28</x:v>
      </x:c>
      <x:c r="K88" s="7" t="str">
        <x:v>人物事迹确认3月19日地铁持刀案，事后经查系发病随机伤害，吴英杰与乘客安保协力制止。</x:v>
      </x:c>
      <x:c r="L88" s="10" t="n">
        <x:v>46281</x:v>
      </x:c>
    </x:row>
    <x:row r="89" ht="38" customHeight="1">
      <x:c r="A89" s="2" t="str">
        <x:v>BS32</x:v>
      </x:c>
      <x:c r="B89" s="7" t="str">
        <x:v>邯郸交通事故中肇事者向警方投掷爆炸物？应急管理局回应：不实</x:v>
      </x:c>
      <x:c r="C89" s="7" t="str">
        <x:v>顶端新闻/极目新闻转载</x:v>
      </x:c>
      <x:c r="D89" s="2" t="str">
        <x:v>2023-04-02</x:v>
      </x:c>
      <x:c r="E89" s="7" t="str">
        <x:v>https://www.ctdsb.net/c1476_202304/1704661.html</x:v>
      </x:c>
      <x:c r="F89" s="7"/>
      <x:c r="G89" s="2"/>
      <x:c r="H89" s="2" t="str">
        <x:v>独立媒体</x:v>
      </x:c>
      <x:c r="I89" s="2" t="str">
        <x:v>顶端邯郸20230402</x:v>
      </x:c>
      <x:c r="J89" s="7" t="str">
        <x:v>B29</x:v>
      </x:c>
      <x:c r="K89" s="7" t="str">
        <x:v>应急部门确认3月31日车辆碰撞事件和抓获，伤亡动机仍查，否认网传爆炸物。</x:v>
      </x:c>
      <x:c r="L89" s="10" t="n">
        <x:v>46281</x:v>
      </x:c>
    </x:row>
    <x:row r="90" ht="38" customHeight="1">
      <x:c r="A90" s="2" t="str">
        <x:v>BS33</x:v>
      </x:c>
      <x:c r="B90" s="7" t="str">
        <x:v>重庆警方通报男子持菜刀行凶致4名路人受伤</x:v>
      </x:c>
      <x:c r="C90" s="7" t="str">
        <x:v>环球网转载江北公安</x:v>
      </x:c>
      <x:c r="D90" s="2" t="str">
        <x:v>2023-04-03</x:v>
      </x:c>
      <x:c r="E90" s="7" t="str">
        <x:v>https://mil.news.sina.com.cn/2023-04-03/doc-imypaaar3376321.shtml</x:v>
      </x:c>
      <x:c r="F90" s="7"/>
      <x:c r="G90" s="2"/>
      <x:c r="H90" s="2" t="str">
        <x:v>公安</x:v>
      </x:c>
      <x:c r="I90" s="2" t="str">
        <x:v>重庆江北公安20230403</x:v>
      </x:c>
      <x:c r="J90" s="7" t="str">
        <x:v>B30</x:v>
      </x:c>
      <x:c r="K90" s="7" t="str">
        <x:v>4月2日20:40，46岁淦某江北建新西路持菜刀伤4路人，群众制服；无生命危险。</x:v>
      </x:c>
      <x:c r="L90" s="10" t="n">
        <x:v>46281</x:v>
      </x:c>
    </x:row>
    <x:row r="91" ht="38" customHeight="1">
      <x:c r="A91" s="2" t="str">
        <x:v>BS34</x:v>
      </x:c>
      <x:c r="B91" s="7" t="str">
        <x:v>平顶山一男子驾车冲撞女子，致7人受伤、3人经抢救无效死亡</x:v>
      </x:c>
      <x:c r="C91" s="7" t="str">
        <x:v>澎湃转载平安平顶山</x:v>
      </x:c>
      <x:c r="D91" s="2" t="str">
        <x:v>2023-04-09</x:v>
      </x:c>
      <x:c r="E91" s="7" t="str">
        <x:v>https://www.thepaper.cn/newsDetail_forward_22632762</x:v>
      </x:c>
      <x:c r="F91" s="7"/>
      <x:c r="G91" s="2"/>
      <x:c r="H91" s="2" t="str">
        <x:v>公安</x:v>
      </x:c>
      <x:c r="I91" s="2" t="str">
        <x:v>平顶山公安20230409</x:v>
      </x:c>
      <x:c r="J91" s="7" t="str">
        <x:v>B31</x:v>
      </x:c>
      <x:c r="K91" s="7" t="str">
        <x:v>47岁梁某与48岁女子因感情争执驾车冲撞，造成多人伤亡；关系及伤亡口径未进一步列明。</x:v>
      </x:c>
      <x:c r="L91" s="10" t="n">
        <x:v>46281</x:v>
      </x:c>
    </x:row>
    <x:row r="92" ht="38" customHeight="1">
      <x:c r="A92" s="2" t="str">
        <x:v>BS35</x:v>
      </x:c>
      <x:c r="B92" s="7" t="str">
        <x:v>山东科技大学学生行凶致1死6伤案开庭：凶手当庭翻供并拒绝赔偿受害者</x:v>
      </x:c>
      <x:c r="C92" s="7" t="str">
        <x:v>紫牛新闻（上游/新浪转载）</x:v>
      </x:c>
      <x:c r="D92" s="2" t="str">
        <x:v>2023-11-30</x:v>
      </x:c>
      <x:c r="E92" s="7" t="str">
        <x:v>https://news.sina.cn/sh/2023-11-30/detail-imzwmafq5131352.d.html?vt=4</x:v>
      </x:c>
      <x:c r="F92" s="7"/>
      <x:c r="G92" s="2"/>
      <x:c r="H92" s="2" t="str">
        <x:v>检察院</x:v>
      </x:c>
      <x:c r="I92" s="2" t="str">
        <x:v>紫牛山东科大20231130</x:v>
      </x:c>
      <x:c r="J92" s="7" t="str">
        <x:v>B32</x:v>
      </x:c>
      <x:c r="K92" s="7" t="str">
        <x:v>记者获取起诉书：复学未果后预谋在校园周边袭击；向媒体预告，连续刺伤等车乘客、车内乘客与街边学生，1死6伤。</x:v>
      </x:c>
      <x:c r="L92" s="10" t="n">
        <x:v>46281</x:v>
      </x:c>
    </x:row>
    <x:row r="93" ht="38" customHeight="1">
      <x:c r="A93" s="2" t="str">
        <x:v>BS36</x:v>
      </x:c>
      <x:c r="B93" s="7" t="str">
        <x:v>中山警方通报“男子开铲车在马路上连撞多人”：伤者均无生命危险</x:v>
      </x:c>
      <x:c r="C93" s="7" t="str">
        <x:v>南方网</x:v>
      </x:c>
      <x:c r="D93" s="2" t="str">
        <x:v>2023-05-12</x:v>
      </x:c>
      <x:c r="E93" s="7" t="str">
        <x:v>https://news.southcn.com/node_cde6f9580c/ec0e0475f2.shtml</x:v>
      </x:c>
      <x:c r="F93" s="7"/>
      <x:c r="G93" s="2"/>
      <x:c r="H93" s="2" t="str">
        <x:v>公安</x:v>
      </x:c>
      <x:c r="I93" s="2" t="str">
        <x:v>中山大涌公安20230512</x:v>
      </x:c>
      <x:c r="J93" s="7" t="str">
        <x:v>B33</x:v>
      </x:c>
      <x:c r="K93" s="7" t="str">
        <x:v>大涌警方称48岁惠某驾驶装载作业车碰撞多车，4伤，无生命危险，调查中。</x:v>
      </x:c>
      <x:c r="L93" s="10" t="n">
        <x:v>46281</x:v>
      </x:c>
    </x:row>
    <x:row r="94" ht="38" customHeight="1">
      <x:c r="A94" s="2" t="str">
        <x:v>BS37</x:v>
      </x:c>
      <x:c r="B94" s="7" t="str">
        <x:v>山西兴县发生一起重大刑案致7死11伤，嫌疑人被抓获</x:v>
      </x:c>
      <x:c r="C94" s="7" t="str">
        <x:v>央视新闻/澎湃转载</x:v>
      </x:c>
      <x:c r="D94" s="2" t="str">
        <x:v>2023-05-14</x:v>
      </x:c>
      <x:c r="E94" s="7" t="str">
        <x:v>https://www.thepaper.cn/newsDetail_forward_23077557?commTag=true</x:v>
      </x:c>
      <x:c r="F94" s="7"/>
      <x:c r="G94" s="2"/>
      <x:c r="H94" s="2" t="str">
        <x:v>公安</x:v>
      </x:c>
      <x:c r="I94" s="2" t="str">
        <x:v>兴县政府20230514</x:v>
      </x:c>
      <x:c r="J94" s="7" t="str">
        <x:v>B34</x:v>
      </x:c>
      <x:c r="K94" s="7" t="str">
        <x:v>兴县政府披露：27岁郭某亮感情纠纷先伤害女方及家人，后驾车撞倒1名出警人员和13名行人，总7死11伤。</x:v>
      </x:c>
      <x:c r="L94" s="10" t="n">
        <x:v>46281</x:v>
      </x:c>
    </x:row>
    <x:row r="95" ht="38" customHeight="1">
      <x:c r="A95" s="2" t="str">
        <x:v>BS38</x:v>
      </x:c>
      <x:c r="B95" s="7" t="str">
        <x:v>贵阳警方通报男子持剪刀伤人：系精神障碍患者</x:v>
      </x:c>
      <x:c r="C95" s="7" t="str">
        <x:v>观察者网转载云岩公安</x:v>
      </x:c>
      <x:c r="D95" s="2" t="str">
        <x:v>2023-05-15</x:v>
      </x:c>
      <x:c r="E95" s="7" t="str">
        <x:v>https://www.guancha.cn/politics/2023_05_15_692336.shtml</x:v>
      </x:c>
      <x:c r="F95" s="7"/>
      <x:c r="G95" s="2"/>
      <x:c r="H95" s="2" t="str">
        <x:v>公安</x:v>
      </x:c>
      <x:c r="I95" s="2" t="str">
        <x:v>贵阳云岩公安20230515</x:v>
      </x:c>
      <x:c r="J95" s="7" t="str">
        <x:v>B35</x:v>
      </x:c>
      <x:c r="K95" s="7" t="str">
        <x:v>5月14日40岁张某在盐务街百草巷刺伤路过数名行人，均无生命危险。</x:v>
      </x:c>
      <x:c r="L95" s="10" t="n">
        <x:v>46281</x:v>
      </x:c>
    </x:row>
    <x:row r="96" ht="38" customHeight="1">
      <x:c r="A96" s="2" t="str">
        <x:v>BS39</x:v>
      </x:c>
      <x:c r="B96" s="7" t="str">
        <x:v>四川南部县公安通报一起持刀伤人事件：8人受伤，抓获嫌疑人</x:v>
      </x:c>
      <x:c r="C96" s="7" t="str">
        <x:v>澎湃新闻</x:v>
      </x:c>
      <x:c r="D96" s="2" t="str">
        <x:v>2023-05-18</x:v>
      </x:c>
      <x:c r="E96" s="7" t="str">
        <x:v>https://www.thepaper.cn/newsDetail_forward_23132077</x:v>
      </x:c>
      <x:c r="F96" s="7"/>
      <x:c r="G96" s="2"/>
      <x:c r="H96" s="2" t="str">
        <x:v>公安</x:v>
      </x:c>
      <x:c r="I96" s="2" t="str">
        <x:v>南部公安20230518</x:v>
      </x:c>
      <x:c r="J96" s="7" t="str">
        <x:v>B36</x:v>
      </x:c>
      <x:c r="K96" s="7" t="str">
        <x:v>21岁雍某桂博路持刀伤8人，均无生命危险，被抓获。</x:v>
      </x:c>
      <x:c r="L96" s="10" t="n">
        <x:v>46281</x:v>
      </x:c>
    </x:row>
    <x:row r="97" ht="38" customHeight="1">
      <x:c r="A97" s="2" t="str">
        <x:v>BS40</x:v>
      </x:c>
      <x:c r="B97" s="7" t="str">
        <x:v>“男子当街持剪刀伤人”，天津警方通报</x:v>
      </x:c>
      <x:c r="C97" s="7" t="str">
        <x:v>上观新闻转载平安和平</x:v>
      </x:c>
      <x:c r="D97" s="2" t="str">
        <x:v>2023-05-24</x:v>
      </x:c>
      <x:c r="E97" s="7" t="str">
        <x:v>https://www.jfdaily.com/wx/detail.do?id=615630</x:v>
      </x:c>
      <x:c r="F97" s="7"/>
      <x:c r="G97" s="2"/>
      <x:c r="H97" s="2" t="str">
        <x:v>公安</x:v>
      </x:c>
      <x:c r="I97" s="2" t="str">
        <x:v>天津和平公安20230523</x:v>
      </x:c>
      <x:c r="J97" s="7" t="str">
        <x:v>B37</x:v>
      </x:c>
      <x:c r="K97" s="7" t="str">
        <x:v>5月23日53岁孙某在和平区山西路剪刀划伤一女性路人颈、手，群众控制，伤者无生命危险。</x:v>
      </x:c>
      <x:c r="L97" s="10" t="n">
        <x:v>46281</x:v>
      </x:c>
    </x:row>
    <x:row r="98" ht="38" customHeight="1">
      <x:c r="A98" s="2" t="str">
        <x:v>BS41</x:v>
      </x:c>
      <x:c r="B98" s="7" t="str">
        <x:v>长沙警方通报一面包车撞伤9人：驾驶人已被抓获</x:v>
      </x:c>
      <x:c r="C98" s="7" t="str">
        <x:v>新浪转载警方及上游新闻</x:v>
      </x:c>
      <x:c r="D98" s="2" t="str">
        <x:v>2023-06-06</x:v>
      </x:c>
      <x:c r="E98" s="7" t="str">
        <x:v>https://news.sina.com.cn/s/2023-06-06/doc-imywkaxc4458009.shtml</x:v>
      </x:c>
      <x:c r="F98" s="7"/>
      <x:c r="G98" s="2"/>
      <x:c r="H98" s="2" t="str">
        <x:v>公安</x:v>
      </x:c>
      <x:c r="I98" s="2" t="str">
        <x:v>长沙开福公安20230606</x:v>
      </x:c>
      <x:c r="J98" s="7" t="str">
        <x:v>B38</x:v>
      </x:c>
      <x:c r="K98" s="7" t="str">
        <x:v>39岁兰某滨河路面包车撞9人后弃车逃逸，警方抓获，1人伤势较重。</x:v>
      </x:c>
      <x:c r="L98" s="10" t="n">
        <x:v>46281</x:v>
      </x:c>
    </x:row>
    <x:row r="99" ht="38" customHeight="1">
      <x:c r="A99" s="2" t="str">
        <x:v>BS42</x:v>
      </x:c>
      <x:c r="B99" s="7" t="str">
        <x:v>秦皇岛街头男子持刀伤人，警方称嫌疑人已被控制</x:v>
      </x:c>
      <x:c r="C99" s="7" t="str">
        <x:v>红星新闻</x:v>
      </x:c>
      <x:c r="D99" s="2" t="str">
        <x:v>2023-06-17</x:v>
      </x:c>
      <x:c r="E99" s="7" t="str">
        <x:v>https://finance.sina.com.cn/tech/roll/2023-06-17/doc-imyxqzei8183571.shtml</x:v>
      </x:c>
      <x:c r="F99" s="7"/>
      <x:c r="G99" s="2"/>
      <x:c r="H99" s="2" t="str">
        <x:v>独立媒体</x:v>
      </x:c>
      <x:c r="I99" s="2" t="str">
        <x:v>红星秦皇岛20230617</x:v>
      </x:c>
      <x:c r="J99" s="7" t="str">
        <x:v>B39</x:v>
      </x:c>
      <x:c r="K99" s="7" t="str">
        <x:v>6月16日海港区建国路护城河附近伤人，民警向记者证实控制；网传人数未经核实。</x:v>
      </x:c>
      <x:c r="L99" s="10" t="n">
        <x:v>46281</x:v>
      </x:c>
    </x:row>
    <x:row r="100" ht="38" customHeight="1">
      <x:c r="A100" s="2" t="str">
        <x:v>BS43</x:v>
      </x:c>
      <x:c r="B100" s="7" t="str">
        <x:v>办案检察官解析长春高空抛物致死案：被告人虽自首但不足以对其从轻处罚</x:v>
      </x:c>
      <x:c r="C100" s="7" t="str">
        <x:v>最高检转载法治日报</x:v>
      </x:c>
      <x:c r="D100" s="2" t="str">
        <x:v>2023-12-16</x:v>
      </x:c>
      <x:c r="E100" s="7" t="str">
        <x:v>https://www.spp.gov.cn/zdgz/202312/t20231216_637049.shtml</x:v>
      </x:c>
      <x:c r="F100" s="7"/>
      <x:c r="G100" s="2"/>
      <x:c r="H100" s="2" t="str">
        <x:v>检察院</x:v>
      </x:c>
      <x:c r="I100" s="2" t="str">
        <x:v>法治日报长春20231216</x:v>
      </x:c>
      <x:c r="J100" s="7" t="str">
        <x:v>B40a；B40b；B41</x:v>
      </x:c>
      <x:c r="K100" s="7" t="str">
        <x:v>法院认定6月17日向不特定行人投掷水桶与可乐致2人伤，6月22日投砖致1死；12月13日一审死刑。</x:v>
      </x:c>
      <x:c r="L100" s="10" t="n">
        <x:v>46281</x:v>
      </x:c>
    </x:row>
    <x:row r="101" ht="38" customHeight="1">
      <x:c r="A101" s="2" t="str">
        <x:v>BS44</x:v>
      </x:c>
      <x:c r="B101" s="7" t="str">
        <x:v>长春高空抛物致死案被告人被核准死刑，受害人家属称要追究物业和警方责任</x:v>
      </x:c>
      <x:c r="C101" s="7" t="str">
        <x:v>界面新闻</x:v>
      </x:c>
      <x:c r="D101" s="2" t="str">
        <x:v>2024-10-21</x:v>
      </x:c>
      <x:c r="E101" s="7" t="str">
        <x:v>https://www.jiemian.com/article/11855265.html</x:v>
      </x:c>
      <x:c r="F101" s="7"/>
      <x:c r="G101" s="2"/>
      <x:c r="H101" s="2" t="str">
        <x:v>独立媒体</x:v>
      </x:c>
      <x:c r="I101" s="2" t="str">
        <x:v>界面长春20241021</x:v>
      </x:c>
      <x:c r="J101" s="7" t="str">
        <x:v>B40a；B40b；B41</x:v>
      </x:c>
      <x:c r="K101" s="7" t="str">
        <x:v>采访家属确认10月21日核准死刑并执行；披露司法鉴定无精神疾病、完全刑责。伤亡总数简写与法院逐人事实有差异，以后者为准。</x:v>
      </x:c>
      <x:c r="L101" s="10" t="n">
        <x:v>46281</x:v>
      </x:c>
    </x:row>
    <x:row r="102" ht="38" customHeight="1">
      <x:c r="A102" s="2" t="str">
        <x:v>BS45</x:v>
      </x:c>
      <x:c r="B102" s="7" t="str">
        <x:v>临高警方通报“持刀伤人案”：嫌疑人已被控制</x:v>
      </x:c>
      <x:c r="C102" s="7" t="str">
        <x:v>海南在线转载临高警方</x:v>
      </x:c>
      <x:c r="D102" s="2" t="str">
        <x:v>2023-07-01</x:v>
      </x:c>
      <x:c r="E102" s="7" t="str">
        <x:v>https://news.hainan.net/hainan/shixian/qx/lingao/2023/07/01/4750679.shtml</x:v>
      </x:c>
      <x:c r="F102" s="7"/>
      <x:c r="G102" s="2"/>
      <x:c r="H102" s="2" t="str">
        <x:v>公安</x:v>
      </x:c>
      <x:c r="I102" s="2" t="str">
        <x:v>临高公安20230630</x:v>
      </x:c>
      <x:c r="J102" s="7" t="str">
        <x:v>B42</x:v>
      </x:c>
      <x:c r="K102" s="7" t="str">
        <x:v>6月30日20时临城镇二环路伤人，嫌疑人控制，伤者均无生命危险，人数未公布。</x:v>
      </x:c>
      <x:c r="L102" s="10" t="n">
        <x:v>46281</x:v>
      </x:c>
    </x:row>
    <x:row r="103" ht="38" customHeight="1">
      <x:c r="A103" s="2" t="str">
        <x:v>BS46</x:v>
      </x:c>
      <x:c r="B103" s="7" t="str">
        <x:v>广东廉江一幼儿园发生伤害事件 已致6死1伤</x:v>
      </x:c>
      <x:c r="C103" s="7" t="str">
        <x:v>财新</x:v>
      </x:c>
      <x:c r="D103" s="2" t="str">
        <x:v>2023-07-10</x:v>
      </x:c>
      <x:c r="E103" s="7" t="str">
        <x:v>https://china.caixin.com/2023-07-10/102074089.html</x:v>
      </x:c>
      <x:c r="F103" s="7"/>
      <x:c r="G103" s="2"/>
      <x:c r="H103" s="2" t="str">
        <x:v>独立媒体</x:v>
      </x:c>
      <x:c r="I103" s="2" t="str">
        <x:v>财新廉江20230710</x:v>
      </x:c>
      <x:c r="J103" s="7" t="str">
        <x:v>B43</x:v>
      </x:c>
      <x:c r="K103" s="7" t="str">
        <x:v>警方通报25岁吴某杰横山镇6死1伤，财新采访教育部门确认发生幼儿园且有幼儿遇害。</x:v>
      </x:c>
      <x:c r="L103" s="10" t="n">
        <x:v>46281</x:v>
      </x:c>
    </x:row>
    <x:row r="104" ht="38" customHeight="1">
      <x:c r="A104" s="2" t="str">
        <x:v>BS47</x:v>
      </x:c>
      <x:c r="B104" s="7" t="str">
        <x:v>云南罗平发生持刀伤人案致2死7伤，嫌疑人被抓获</x:v>
      </x:c>
      <x:c r="C104" s="7" t="str">
        <x:v>深圳新闻网转载警方</x:v>
      </x:c>
      <x:c r="D104" s="2" t="str">
        <x:v>2023-08-08</x:v>
      </x:c>
      <x:c r="E104" s="7" t="str">
        <x:v>https://www.sznews.com/news/content/2023-08/08/content_30391821.htm</x:v>
      </x:c>
      <x:c r="F104" s="7"/>
      <x:c r="G104" s="2"/>
      <x:c r="H104" s="2" t="str">
        <x:v>公安</x:v>
      </x:c>
      <x:c r="I104" s="2" t="str">
        <x:v>罗平公安20230808</x:v>
      </x:c>
      <x:c r="J104" s="7" t="str">
        <x:v>B44</x:v>
      </x:c>
      <x:c r="K104" s="7" t="str">
        <x:v>20岁陈某先在家刺母亲，再逃窜刺伤8人，共2死7伤。</x:v>
      </x:c>
      <x:c r="L104" s="10" t="n">
        <x:v>46281</x:v>
      </x:c>
    </x:row>
    <x:row r="105" ht="38" customHeight="1">
      <x:c r="A105" s="2" t="str">
        <x:v>BS48</x:v>
      </x:c>
      <x:c r="B105" s="7" t="str">
        <x:v>男子沿街砍人被市民扔水桶阻止 目击者：有4人受伤，均为老人和女性</x:v>
      </x:c>
      <x:c r="C105" s="7" t="str">
        <x:v>湖北经视/北京头条转载</x:v>
      </x:c>
      <x:c r="D105" s="2" t="str">
        <x:v>2023-08-17</x:v>
      </x:c>
      <x:c r="E105" s="7" t="str">
        <x:v>https://k.sina.com.cn/article_1644948230_m620beb06033010mso.html</x:v>
      </x:c>
      <x:c r="F105" s="7"/>
      <x:c r="G105" s="2"/>
      <x:c r="H105" s="2" t="str">
        <x:v>独立媒体</x:v>
      </x:c>
      <x:c r="I105" s="2" t="str">
        <x:v>湖北经视枣阳20230817</x:v>
      </x:c>
      <x:c r="J105" s="7" t="str">
        <x:v>B45</x:v>
      </x:c>
      <x:c r="K105" s="7" t="str">
        <x:v>目击者称枣阳万象城附近男子沿街砍伤4人；商户泼水阻止；未检出独立官方后续。</x:v>
      </x:c>
      <x:c r="L105" s="10" t="n">
        <x:v>46281</x:v>
      </x:c>
    </x:row>
    <x:row r="106" ht="38" customHeight="1">
      <x:c r="A106" s="2" t="str">
        <x:v>BS49</x:v>
      </x:c>
      <x:c r="B106" s="7" t="str">
        <x:v>成都新都警方通报一男子持刀伤人</x:v>
      </x:c>
      <x:c r="C106" s="7" t="str">
        <x:v>荆楚网转载警方</x:v>
      </x:c>
      <x:c r="D106" s="2" t="str">
        <x:v>2023-12-24</x:v>
      </x:c>
      <x:c r="E106" s="7" t="str">
        <x:v>https://m.cnhubei.com/content/2023-12/24/content_17160212.html</x:v>
      </x:c>
      <x:c r="F106" s="7"/>
      <x:c r="G106" s="2"/>
      <x:c r="H106" s="2" t="str">
        <x:v>公安</x:v>
      </x:c>
      <x:c r="I106" s="2" t="str">
        <x:v>成都新都公安20231224</x:v>
      </x:c>
      <x:c r="J106" s="7" t="str">
        <x:v>B46</x:v>
      </x:c>
      <x:c r="K106" s="7" t="str">
        <x:v>新都同福路21岁刘某持刀伤人，群众控制，伤者无生命危险；有精神病史。</x:v>
      </x:c>
      <x:c r="L106" s="10" t="n">
        <x:v>46281</x:v>
      </x:c>
    </x:row>
    <x:row r="107" ht="38" customHeight="1">
      <x:c r="A107" s="2" t="str">
        <x:v>BS50</x:v>
      </x:c>
      <x:c r="B107" s="7" t="str">
        <x:v>“一男子在某广场附近持刀伤人”，深圳警方通报</x:v>
      </x:c>
      <x:c r="C107" s="7" t="str">
        <x:v>大江网转载深圳龙华公安</x:v>
      </x:c>
      <x:c r="D107" s="2" t="str">
        <x:v>2023-11-09</x:v>
      </x:c>
      <x:c r="E107" s="7" t="str">
        <x:v>https://tt.jxnews.com.cn/news/2337118</x:v>
      </x:c>
      <x:c r="F107" s="7"/>
      <x:c r="G107" s="2"/>
      <x:c r="H107" s="2" t="str">
        <x:v>公安</x:v>
      </x:c>
      <x:c r="I107" s="2" t="str">
        <x:v>深圳龙华公安20231109</x:v>
      </x:c>
      <x:c r="J107" s="7" t="str">
        <x:v>B47</x:v>
      </x:c>
      <x:c r="K107" s="7" t="str">
        <x:v>11月9日18时大浪广场附近37岁唐某持刀，1死3伤。</x:v>
      </x:c>
      <x:c r="L107" s="10" t="n">
        <x:v>46281</x:v>
      </x:c>
    </x:row>
    <x:row r="108" ht="38" customHeight="1">
      <x:c r="A108" s="2" t="str">
        <x:v>BS51</x:v>
      </x:c>
      <x:c r="B108" s="7" t="str">
        <x:v>湖南長沙望城區發生持刀砍人事件 致3死2傷</x:v>
      </x:c>
      <x:c r="C108" s="7" t="str">
        <x:v>香港商报转载望城公安</x:v>
      </x:c>
      <x:c r="D108" s="2" t="str">
        <x:v>2021-12-29</x:v>
      </x:c>
      <x:c r="E108" s="7" t="str">
        <x:v>https://www.hkcd.com/content_app/2021-12/29/content_1315025.html</x:v>
      </x:c>
      <x:c r="F108" s="7"/>
      <x:c r="G108" s="2"/>
      <x:c r="H108" s="2" t="str">
        <x:v>公安</x:v>
      </x:c>
      <x:c r="I108" s="2" t="str">
        <x:v>长沙望城公安20211229</x:v>
      </x:c>
      <x:c r="J108" s="7" t="str">
        <x:v>B48</x:v>
      </x:c>
      <x:c r="K108" s="7" t="str">
        <x:v>23岁赵某与工友因琐事争执，后在车间出入口持刀刺工友，3死2伤。</x:v>
      </x:c>
      <x:c r="L108" s="10" t="n">
        <x:v>46281</x:v>
      </x:c>
    </x:row>
    <x:row r="109" ht="38" customHeight="1">
      <x:c r="A109" s="2" t="str">
        <x:v>BS52</x:v>
      </x:c>
      <x:c r="B109" s="7" t="str">
        <x:v>死刑！安庆男子步行街持刀行凶致7死13伤案宣判</x:v>
      </x:c>
      <x:c r="C109" s="7" t="str">
        <x:v>澎湃新闻</x:v>
      </x:c>
      <x:c r="D109" s="2" t="str">
        <x:v>2021-11-15</x:v>
      </x:c>
      <x:c r="E109" s="7" t="str">
        <x:v>https://www.thepaper.cn/newsDetail_forward_15385084</x:v>
      </x:c>
      <x:c r="F109" s="7"/>
      <x:c r="G109" s="2"/>
      <x:c r="H109" s="2" t="str">
        <x:v>法院</x:v>
      </x:c>
      <x:c r="I109" s="2" t="str">
        <x:v>安庆中院20211115</x:v>
      </x:c>
      <x:c r="J109" s="7" t="str">
        <x:v>B02</x:v>
      </x:c>
      <x:c r="K109" s="7" t="str">
        <x:v>明确一审宣判日11月15日，吴亮当庭服判，7死13伤。</x:v>
      </x:c>
      <x:c r="L109" s="10" t="n">
        <x:v>46281</x:v>
      </x:c>
    </x:row>
    <x:row r="110" ht="38" customHeight="1">
      <x:c r="A110" s="2" t="str">
        <x:v>BS53</x:v>
      </x:c>
      <x:c r="B110" s="7" t="str">
        <x:v>山科大休学学生行凶案一审宣判 凶手获死刑当庭上诉：不会赔偿受害者家属</x:v>
      </x:c>
      <x:c r="C110" s="7" t="str">
        <x:v>紫牛新闻/新浪转载</x:v>
      </x:c>
      <x:c r="D110" s="2" t="str">
        <x:v>2023-12-26</x:v>
      </x:c>
      <x:c r="E110" s="7" t="str">
        <x:v>https://news.sina.cn/sh/2023-12-26/detail-imzzkcmr9504467.d.html</x:v>
      </x:c>
      <x:c r="F110" s="7"/>
      <x:c r="G110" s="2"/>
      <x:c r="H110" s="2" t="str">
        <x:v>法院</x:v>
      </x:c>
      <x:c r="I110" s="2" t="str">
        <x:v>紫牛山科大20231226</x:v>
      </x:c>
      <x:c r="J110" s="7" t="str">
        <x:v>B32</x:v>
      </x:c>
      <x:c r="K110" s="7" t="str">
        <x:v>记者读取判决，法院认定报复学校、捅刺无辜群众1死6伤，判死刑；判决提及之前多次威胁学校。</x:v>
      </x:c>
      <x:c r="L110" s="10" t="n">
        <x:v>46281</x:v>
      </x:c>
    </x:row>
    <x:row r="111" ht="38" customHeight="1">
      <x:c r="A111" s="2" t="str">
        <x:v>BS54</x:v>
      </x:c>
      <x:c r="B111" s="7" t="str">
        <x:v>警方通报：郸城一男子持刀砍伤2人，已被刑拘</x:v>
      </x:c>
      <x:c r="C111" s="7" t="str">
        <x:v>人民网</x:v>
      </x:c>
      <x:c r="D111" s="2" t="str">
        <x:v>2022-08-09</x:v>
      </x:c>
      <x:c r="E111" s="7" t="str">
        <x:v>http://society.people.com.cn/n1/2022/0809/c1008-32498307.html</x:v>
      </x:c>
      <x:c r="F111" s="7"/>
      <x:c r="G111" s="2"/>
      <x:c r="H111" s="2" t="str">
        <x:v>公安</x:v>
      </x:c>
      <x:c r="I111" s="2" t="str">
        <x:v>郸城公安20220809</x:v>
      </x:c>
      <x:c r="J111" s="7" t="str">
        <x:v>B49</x:v>
      </x:c>
      <x:c r="K111" s="7" t="str">
        <x:v>8月8日22:05世纪广场南21岁张某伤2人，22:08警方与群众控制，伤者稳定。</x:v>
      </x:c>
      <x:c r="L111" s="10" t="n">
        <x:v>46281</x:v>
      </x:c>
    </x:row>
    <x:row r="112" ht="38" customHeight="1">
      <x:c r="A112" s="2" t="str">
        <x:v>BS55</x:v>
      </x:c>
      <x:c r="B112" s="7" t="str">
        <x:v>广州警方通报番禺爆炸案：5人当场死亡，包括嫌疑人，另有5人受伤</x:v>
      </x:c>
      <x:c r="C112" s="7" t="str">
        <x:v>每日经济新闻转载番禺公安</x:v>
      </x:c>
      <x:c r="D112" s="2" t="str">
        <x:v>2021-03-22</x:v>
      </x:c>
      <x:c r="E112" s="7" t="str">
        <x:v>https://www.nbd.com.cn/articles/2021-03-22/1665963.html</x:v>
      </x:c>
      <x:c r="F112" s="7"/>
      <x:c r="G112" s="2"/>
      <x:c r="H112" s="2" t="str">
        <x:v>公安</x:v>
      </x:c>
      <x:c r="I112" s="2" t="str">
        <x:v>番禺公安20210322</x:v>
      </x:c>
      <x:c r="J112" s="7" t="str">
        <x:v>B50</x:v>
      </x:c>
      <x:c r="K112" s="7" t="str">
        <x:v>59岁胡某携可燃爆物到明经村建筑内引燃；4名他人死亡、5伤，嫌疑人死亡。</x:v>
      </x:c>
      <x:c r="L112" s="10" t="n">
        <x:v>46281</x:v>
      </x:c>
    </x:row>
    <x:row r="113" ht="38" customHeight="1">
      <x:c r="A113" s="2" t="str">
        <x:v>BS56</x:v>
      </x:c>
      <x:c r="B113" s="7" t="str">
        <x:v>吉某（1980年生），被核准死刑！</x:v>
      </x:c>
      <x:c r="C113" s="7" t="str">
        <x:v>南京晨报/新浪转载</x:v>
      </x:c>
      <x:c r="D113" s="2" t="str">
        <x:v>2025-08-19</x:v>
      </x:c>
      <x:c r="E113" s="7" t="str">
        <x:v>https://finance.sina.com.cn/wm/2025-08-19/doc-infmpuqz5930493.shtml?froms=ggmp</x:v>
      </x:c>
      <x:c r="F113" s="7"/>
      <x:c r="G113" s="2"/>
      <x:c r="H113" s="2" t="str">
        <x:v>法院</x:v>
      </x:c>
      <x:c r="I113" s="2" t="str">
        <x:v>南京吉某最高法裁定</x:v>
      </x:c>
      <x:c r="J113" s="7" t="str">
        <x:v>B10</x:v>
      </x:c>
      <x:c r="K113" s="7" t="str">
        <x:v>完整转述最高法裁定：7名受害人受伤，3重伤二级；2022-11-18一审、2024-05-08二审、2024-12-21核准死刑，2025-08-15文书公开。</x:v>
      </x:c>
      <x:c r="L113" s="10" t="n">
        <x:v>46281</x:v>
      </x:c>
    </x:row>
    <x:row r="114" ht="38" customHeight="1">
      <x:c r="A114" s="2" t="str">
        <x:v>BS57</x:v>
      </x:c>
      <x:c r="B114" s="7" t="str">
        <x:v>江西幼儿园砍人案嫌疑人刘小辉车祸死亡</x:v>
      </x:c>
      <x:c r="C114" s="7" t="str">
        <x:v>联合早报转载央视及安福公安</x:v>
      </x:c>
      <x:c r="D114" s="2" t="str">
        <x:v>2022-08-06</x:v>
      </x:c>
      <x:c r="E114" s="7" t="str">
        <x:v>https://www.zaobao.com.sg/realtime/china/story20220806-1300335</x:v>
      </x:c>
      <x:c r="F114" s="7"/>
      <x:c r="G114" s="2"/>
      <x:c r="H114" s="2" t="str">
        <x:v>公安</x:v>
      </x:c>
      <x:c r="I114" s="2" t="str">
        <x:v>安福公安20220805</x:v>
      </x:c>
      <x:c r="J114" s="7" t="str">
        <x:v>B26</x:v>
      </x:c>
      <x:c r="K114" s="7" t="str">
        <x:v>警方确认刘小辉8月3日横穿高速逃亡遭车祸，8月4日伤重死亡；受害者两人现场死亡、另两人送医死亡。</x:v>
      </x:c>
      <x:c r="L114" s="10" t="n">
        <x:v>46281</x:v>
      </x:c>
    </x:row>
    <x:row r="115" ht="38" customHeight="1">
      <x:c r="A115" s="2" t="str">
        <x:v>BS58</x:v>
      </x:c>
      <x:c r="B115" s="7" t="str">
        <x:v>广州番禺一村委会遭自杀性爆炸 分析：社会矛盾激化的产物</x:v>
      </x:c>
      <x:c r="C115" s="7" t="str">
        <x:v>美国之音</x:v>
      </x:c>
      <x:c r="D115" s="2" t="str">
        <x:v>2021-03-26</x:v>
      </x:c>
      <x:c r="E115" s="7" t="str">
        <x:v>https://www.voachinese.com/a/suicide-bombing-in-Guangzhou-village-government-office-sets-off-concerns-for-social-disturbance-20210326/5829459.html</x:v>
      </x:c>
      <x:c r="F115" s="7"/>
      <x:c r="G115" s="2"/>
      <x:c r="H115" s="2" t="str">
        <x:v>独立媒体</x:v>
      </x:c>
      <x:c r="I115" s="2" t="str">
        <x:v>VOA番禺20210326</x:v>
      </x:c>
      <x:c r="J115" s="7" t="str">
        <x:v>B50</x:v>
      </x:c>
      <x:c r="K115" s="7" t="str">
        <x:v>采访村委会附近人士确认爆炸；报道地点为明经村村委会，与警方4名受害者死亡、5伤相符；土地纠纷说法不作已证实动机。</x:v>
      </x:c>
      <x:c r="L115" s="10" t="n">
        <x:v>46281</x:v>
      </x:c>
    </x:row>
    <x:row r="116" ht="38" customHeight="1">
      <x:c r="A116" s="2" t="str">
        <x:v>CS001</x:v>
      </x:c>
      <x:c r="B116" s="7" t="str">
        <x:v>樊维秋以危险方法危害公共安全案一审宣判</x:v>
      </x:c>
      <x:c r="C116" s="7" t="str">
        <x:v>最高人民法院转载新华社</x:v>
      </x:c>
      <x:c r="D116" s="2" t="str">
        <x:v>2024-12-27</x:v>
      </x:c>
      <x:c r="E116" s="7" t="str">
        <x:v>https://www.court.gov.cn/zixun/xiangqing/451251.html</x:v>
      </x:c>
      <x:c r="F116" s="7"/>
      <x:c r="G116" s="2"/>
      <x:c r="H116" s="2" t="str">
        <x:v>法院</x:v>
      </x:c>
      <x:c r="I116" s="2" t="str">
        <x:v>zhuhai-court-20241227</x:v>
      </x:c>
      <x:c r="J116" s="7" t="str">
        <x:v>C001</x:v>
      </x:c>
      <x:c r="K116" s="7" t="str">
        <x:v>法院认定因婚姻破裂、生活失意及不满财产分割，故意撞击锻炼人群；一审死刑。</x:v>
      </x:c>
      <x:c r="L116" s="10" t="n">
        <x:v>46281</x:v>
      </x:c>
    </x:row>
    <x:row r="117" ht="38" customHeight="1">
      <x:c r="A117" s="2" t="str">
        <x:v>CS002</x:v>
      </x:c>
      <x:c r="B117" s="7" t="str">
        <x:v>樊维秋被执行死刑</x:v>
      </x:c>
      <x:c r="C117" s="7" t="str">
        <x:v>新华社</x:v>
      </x:c>
      <x:c r="D117" s="2" t="str">
        <x:v>2025-01-20</x:v>
      </x:c>
      <x:c r="E117" s="7" t="str">
        <x:v>https://www.news.cn/legal/20250120/4480b6707c27415caf9011c420c35524/c.html</x:v>
      </x:c>
      <x:c r="F117" s="7"/>
      <x:c r="G117" s="2"/>
      <x:c r="H117" s="2" t="str">
        <x:v>官方媒体</x:v>
      </x:c>
      <x:c r="I117" s="2" t="str">
        <x:v>zhuhai-execution-20250120</x:v>
      </x:c>
      <x:c r="J117" s="7" t="str">
        <x:v>C001</x:v>
      </x:c>
      <x:c r="K117" s="7" t="str">
        <x:v>经最高法核准，2025年1月20日执行死刑。</x:v>
      </x:c>
      <x:c r="L117" s="10" t="n">
        <x:v>46281</x:v>
      </x:c>
    </x:row>
    <x:row r="118" ht="38" customHeight="1">
      <x:c r="A118" s="2" t="str">
        <x:v>CS003</x:v>
      </x:c>
      <x:c r="B118" s="7" t="str">
        <x:v>致35人死亡，43人受伤！珠海警方通报驾车冲撞市民重大恶性案件</x:v>
      </x:c>
      <x:c r="C118" s="7" t="str">
        <x:v>澎湃号媒体转载珠海公安</x:v>
      </x:c>
      <x:c r="D118" s="2" t="str">
        <x:v>2024-11-12</x:v>
      </x:c>
      <x:c r="E118" s="7" t="str">
        <x:v>https://www.thepaper.cn/newsDetail_forward_29324635</x:v>
      </x:c>
      <x:c r="F118" s="7"/>
      <x:c r="G118" s="2"/>
      <x:c r="H118" s="2" t="str">
        <x:v>公安</x:v>
      </x:c>
      <x:c r="I118" s="2" t="str">
        <x:v>zhuhai-police-20241112</x:v>
      </x:c>
      <x:c r="J118" s="7" t="str">
        <x:v>C001</x:v>
      </x:c>
      <x:c r="K118" s="7" t="str">
        <x:v>警方确认11月11日发生驾车冲撞市民恶性案件，35死43伤。文字正文已打开，通报完整细节为图片。</x:v>
      </x:c>
      <x:c r="L118" s="10" t="n">
        <x:v>46281</x:v>
      </x:c>
    </x:row>
    <x:row r="119" ht="38" customHeight="1">
      <x:c r="A119" s="2" t="str">
        <x:v>CS004</x:v>
      </x:c>
      <x:c r="B119" s="7" t="str">
        <x:v>致8死17伤 无锡一学院持刀伤人案凶手徐加金被执行死刑</x:v>
      </x:c>
      <x:c r="C119" s="7" t="str">
        <x:v>央视新闻</x:v>
      </x:c>
      <x:c r="D119" s="2" t="str">
        <x:v>2025-01-20</x:v>
      </x:c>
      <x:c r="E119" s="7" t="str">
        <x:v>https://news.cctv.cn/2025/01/20/ARTIRKFXD34m4R9THppujfJO250120.shtml</x:v>
      </x:c>
      <x:c r="F119" s="7"/>
      <x:c r="G119" s="2"/>
      <x:c r="H119" s="2" t="str">
        <x:v>官方媒体</x:v>
      </x:c>
      <x:c r="I119" s="2" t="str">
        <x:v>wuxi-execution-20250120</x:v>
      </x:c>
      <x:c r="J119" s="7" t="str">
        <x:v>C002</x:v>
      </x:c>
      <x:c r="K119" s="7" t="str">
        <x:v>11月16日案致8死17伤；12月17日一审死刑；2025年1月20日执行。</x:v>
      </x:c>
      <x:c r="L119" s="10" t="n">
        <x:v>46281</x:v>
      </x:c>
    </x:row>
    <x:row r="120" ht="38" customHeight="1">
      <x:c r="A120" s="2" t="str">
        <x:v>CS005</x:v>
      </x:c>
      <x:c r="B120" s="7" t="str">
        <x:v>徐某金回校发泄行凶，致8死17伤，警方通报</x:v>
      </x:c>
      <x:c r="C120" s="7" t="str">
        <x:v>澎湃号媒体转载宜兴公安</x:v>
      </x:c>
      <x:c r="D120" s="2" t="str">
        <x:v>2024-11-17</x:v>
      </x:c>
      <x:c r="E120" s="7" t="str">
        <x:v>https://www.thepaper.cn/newsDetail_forward_29374300</x:v>
      </x:c>
      <x:c r="F120" s="7"/>
      <x:c r="G120" s="2"/>
      <x:c r="H120" s="2" t="str">
        <x:v>公安</x:v>
      </x:c>
      <x:c r="I120" s="2" t="str">
        <x:v>wuxi-police-20241116</x:v>
      </x:c>
      <x:c r="J120" s="7" t="str">
        <x:v>C002</x:v>
      </x:c>
      <x:c r="K120" s="7" t="str">
        <x:v>嫌疑人男21岁，为2024届毕业生；警方初查称未获毕业证及不满实习报酬，返校发泄行凶。</x:v>
      </x:c>
      <x:c r="L120" s="10" t="n">
        <x:v>46281</x:v>
      </x:c>
    </x:row>
    <x:row r="121" ht="38" customHeight="1">
      <x:c r="A121" s="2" t="str">
        <x:v>CS006</x:v>
      </x:c>
      <x:c r="B121" s="7" t="str">
        <x:v>湖南常德撞人案一审宣判 被告人黄文被判死缓</x:v>
      </x:c>
      <x:c r="C121" s="7" t="str">
        <x:v>最高人民检察院转载新华社</x:v>
      </x:c>
      <x:c r="D121" s="2" t="str">
        <x:v>2024-12-23</x:v>
      </x:c>
      <x:c r="E121" s="7" t="str">
        <x:v>https://www.spp.gov.cn/zdgz/202412/t20241223_677165.shtml</x:v>
      </x:c>
      <x:c r="F121" s="7"/>
      <x:c r="G121" s="2"/>
      <x:c r="H121" s="2" t="str">
        <x:v>法院</x:v>
      </x:c>
      <x:c r="I121" s="2" t="str">
        <x:v>changde-court-20241223</x:v>
      </x:c>
      <x:c r="J121" s="7" t="str">
        <x:v>C003</x:v>
      </x:c>
      <x:c r="K121" s="7" t="str">
        <x:v>11月19日黄文因投资亏损、家庭矛盾驾车冲撞不特定小学生等人群后持械攻击；30人受伤，含18名学生，判死缓。</x:v>
      </x:c>
      <x:c r="L121" s="10" t="n">
        <x:v>46281</x:v>
      </x:c>
    </x:row>
    <x:row r="122" ht="38" customHeight="1">
      <x:c r="A122" s="2" t="str">
        <x:v>CS007</x:v>
      </x:c>
      <x:c r="B122" s="7" t="str">
        <x:v>上海松江警方：一男子超市内持刀伤人被当场抓获，3人抢救无效死亡</x:v>
      </x:c>
      <x:c r="C122" s="7" t="str">
        <x:v>界面新闻（新浪转载）</x:v>
      </x:c>
      <x:c r="D122" s="2" t="str">
        <x:v>2024-10-01</x:v>
      </x:c>
      <x:c r="E122" s="7" t="str">
        <x:v>https://news.sina.com.cn/s/2024-10-01/doc-incqyxry4462222.shtml</x:v>
      </x:c>
      <x:c r="F122" s="7"/>
      <x:c r="G122" s="2"/>
      <x:c r="H122" s="2" t="str">
        <x:v>公安</x:v>
      </x:c>
      <x:c r="I122" s="2" t="str">
        <x:v>songjiang-police-20241001</x:v>
      </x:c>
      <x:c r="J122" s="7" t="str">
        <x:v>C004</x:v>
      </x:c>
      <x:c r="K122" s="7" t="str">
        <x:v>9月30日松汇中路超市林某某37岁持刀伤18人，其中3人死亡；警方初查个人经济纠纷后来沪泄愤。</x:v>
      </x:c>
      <x:c r="L122" s="10" t="n">
        <x:v>46281</x:v>
      </x:c>
    </x:row>
    <x:row r="123" ht="38" customHeight="1">
      <x:c r="A123" s="2" t="str">
        <x:v>CS008</x:v>
      </x:c>
      <x:c r="B123" s="7" t="str">
        <x:v>山东德州交通肇事已致2人死亡6人重伤</x:v>
      </x:c>
      <x:c r="C123" s="7" t="str">
        <x:v>新华社</x:v>
      </x:c>
      <x:c r="D123" s="2" t="str">
        <x:v>2024-03-01</x:v>
      </x:c>
      <x:c r="E123" s="7" t="str">
        <x:v>https://www.news.cn/20240301/ee8b277f478c4a2fbfa81522cc7cada5/c.html</x:v>
      </x:c>
      <x:c r="F123" s="7"/>
      <x:c r="G123" s="2"/>
      <x:c r="H123" s="2" t="str">
        <x:v>公安</x:v>
      </x:c>
      <x:c r="I123" s="2" t="str">
        <x:v>dezhou-police-20240301</x:v>
      </x:c>
      <x:c r="J123" s="7" t="str">
        <x:v>C005</x:v>
      </x:c>
      <x:c r="K123" s="7" t="str">
        <x:v>3月1日安居苑小区南侧道路车辆撞人，2死6重伤，驾驶人被抓；未披露故意性。</x:v>
      </x:c>
      <x:c r="L123" s="10" t="n">
        <x:v>46281</x:v>
      </x:c>
    </x:row>
    <x:row r="124" ht="38" customHeight="1">
      <x:c r="A124" s="2" t="str">
        <x:v>CS009</x:v>
      </x:c>
      <x:c r="B124" s="7" t="str">
        <x:v>高校内开车撞人致3死16伤：撞向同学的大专学生</x:v>
      </x:c>
      <x:c r="C124" s="7" t="str">
        <x:v>三联生活周刊</x:v>
      </x:c>
      <x:c r="D124" s="2" t="str">
        <x:v>2024-03-30</x:v>
      </x:c>
      <x:c r="E124" s="7" t="str">
        <x:v>https://www.lifeweek.com.cn/h5/article/detail.do?artId=222951</x:v>
      </x:c>
      <x:c r="F124" s="7"/>
      <x:c r="G124" s="2"/>
      <x:c r="H124" s="2" t="str">
        <x:v>独立媒体</x:v>
      </x:c>
      <x:c r="I124" s="2" t="str">
        <x:v>taizhou-lifeweek-20240330</x:v>
      </x:c>
      <x:c r="J124" s="7" t="str">
        <x:v>C006</x:v>
      </x:c>
      <x:c r="K124" s="7" t="str">
        <x:v>采访学生及家属，确认校内冲撞致3死16伤；报道同学辨认的威胁聊天截图及学业背景，无法替代司法动机认定。</x:v>
      </x:c>
      <x:c r="L124" s="10" t="n">
        <x:v>46281</x:v>
      </x:c>
    </x:row>
    <x:row r="125" ht="38" customHeight="1">
      <x:c r="A125" s="2" t="str">
        <x:v>CS010</x:v>
      </x:c>
      <x:c r="B125" s="7" t="str">
        <x:v>浙江台州通报高校车辆冲撞事件：3死16伤</x:v>
      </x:c>
      <x:c r="C125" s="7" t="str">
        <x:v>新华报业网转载台州公安</x:v>
      </x:c>
      <x:c r="D125" s="2" t="str">
        <x:v>2024-03-19</x:v>
      </x:c>
      <x:c r="E125" s="7" t="str">
        <x:v>https://www.xhby.net/content/s65f991e0e4b0a2749b86e065.html</x:v>
      </x:c>
      <x:c r="F125" s="7"/>
      <x:c r="G125" s="2"/>
      <x:c r="H125" s="2" t="str">
        <x:v>公安</x:v>
      </x:c>
      <x:c r="I125" s="2" t="str">
        <x:v>taizhou-police-20240319</x:v>
      </x:c>
      <x:c r="J125" s="7" t="str">
        <x:v>C006</x:v>
      </x:c>
      <x:c r="K125" s="7" t="str">
        <x:v>校内车辆撞人，学生驾驶家庭车辆，19人送医其中3人死亡；已控制并立案。</x:v>
      </x:c>
      <x:c r="L125" s="10" t="n">
        <x:v>46281</x:v>
      </x:c>
    </x:row>
    <x:row r="126" ht="38" customHeight="1">
      <x:c r="A126" s="2" t="str">
        <x:v>CS011</x:v>
      </x:c>
      <x:c r="B126" s="7" t="str">
        <x:v>云南镇雄警方通报医院持刀行凶案件：造成2死21伤</x:v>
      </x:c>
      <x:c r="C126" s="7" t="str">
        <x:v>如东县检察院转载镇雄融媒</x:v>
      </x:c>
      <x:c r="D126" s="2" t="str">
        <x:v>2024-05-14</x:v>
      </x:c>
      <x:c r="E126" s="7" t="str">
        <x:v>https://ntrd.jsjc.gov.cn/zt/fzxw/202405/t20240514_1624128.shtml</x:v>
      </x:c>
      <x:c r="F126" s="7"/>
      <x:c r="G126" s="2" t="str">
        <x:v>2026-09-16复核404</x:v>
      </x:c>
      <x:c r="H126" s="2" t="str">
        <x:v>公安</x:v>
      </x:c>
      <x:c r="I126" s="2" t="str">
        <x:v>zhenxiong-police-20240507</x:v>
      </x:c>
      <x:c r="J126" s="7" t="str">
        <x:v>C007</x:v>
      </x:c>
      <x:c r="K126" s="7" t="str">
        <x:v>镇雄城南医院5月7日11:37发生持刀案，2死21伤，嫌犯为男性村民。</x:v>
      </x:c>
      <x:c r="L126" s="10" t="n">
        <x:v>46281</x:v>
      </x:c>
    </x:row>
    <x:row r="127" ht="38" customHeight="1">
      <x:c r="A127" s="2" t="str">
        <x:v>CS012</x:v>
      </x:c>
      <x:c r="B127" s="7" t="str">
        <x:v>官方人士称镇雄医院行凶者朋友圈动机信息不实</x:v>
      </x:c>
      <x:c r="C127" s="7" t="str">
        <x:v>红星新闻（澎湃转载）</x:v>
      </x:c>
      <x:c r="D127" s="2" t="str">
        <x:v>2024-05-08</x:v>
      </x:c>
      <x:c r="E127" s="7" t="str">
        <x:v>https://m.thepaper.cn/newsDetail_forward_27295726</x:v>
      </x:c>
      <x:c r="F127" s="7"/>
      <x:c r="G127" s="2"/>
      <x:c r="H127" s="2" t="str">
        <x:v>独立媒体</x:v>
      </x:c>
      <x:c r="I127" s="2" t="str">
        <x:v>zhenxiong-redstar-20240508</x:v>
      </x:c>
      <x:c r="J127" s="7" t="str">
        <x:v>C007</x:v>
      </x:c>
      <x:c r="K127" s="7" t="str">
        <x:v>警方续报40岁男子李某当日下午被抓；相关部门否认网传朋友圈动机。患者描述与袭击者对峙及追赶。</x:v>
      </x:c>
      <x:c r="L127" s="10" t="n">
        <x:v>46281</x:v>
      </x:c>
    </x:row>
    <x:row r="128" ht="38" customHeight="1">
      <x:c r="A128" s="2" t="str">
        <x:v>CS013</x:v>
      </x:c>
      <x:c r="B128" s="7" t="str">
        <x:v>贵溪明德小学持刀伤人案警方通报</x:v>
      </x:c>
      <x:c r="C128" s="7" t="str">
        <x:v>天津广播转载贵溪公安（澎湃号）</x:v>
      </x:c>
      <x:c r="D128" s="2" t="str">
        <x:v>2024-05-20</x:v>
      </x:c>
      <x:c r="E128" s="7" t="str">
        <x:v>https://www.thepaper.cn/newsDetail_forward_27445134</x:v>
      </x:c>
      <x:c r="F128" s="7"/>
      <x:c r="G128" s="2"/>
      <x:c r="H128" s="2" t="str">
        <x:v>公安</x:v>
      </x:c>
      <x:c r="I128" s="2" t="str">
        <x:v>guixi-police-20240520</x:v>
      </x:c>
      <x:c r="J128" s="7" t="str">
        <x:v>C008</x:v>
      </x:c>
      <x:c r="K128" s="7" t="str">
        <x:v>45岁女子持水果刀伤人，2死4名直接伤者另6人躲闪擦伤。</x:v>
      </x:c>
      <x:c r="L128" s="10" t="n">
        <x:v>46281</x:v>
      </x:c>
    </x:row>
    <x:row r="129" ht="38" customHeight="1">
      <x:c r="A129" s="2" t="str">
        <x:v>CS014</x:v>
      </x:c>
      <x:c r="B129" s="7" t="str">
        <x:v>江西贵溪小学伤人案凶手系村中医护</x:v>
      </x:c>
      <x:c r="C129" s="7" t="str">
        <x:v>南风窗（新浪转载）</x:v>
      </x:c>
      <x:c r="D129" s="2" t="str">
        <x:v>2024-05-21</x:v>
      </x:c>
      <x:c r="E129" s="7" t="str">
        <x:v>https://news.sina.com.cn/c/2024-05-21/doc-inavyuwi5410331.shtml</x:v>
      </x:c>
      <x:c r="F129" s="7"/>
      <x:c r="G129" s="2"/>
      <x:c r="H129" s="2" t="str">
        <x:v>独立媒体</x:v>
      </x:c>
      <x:c r="I129" s="2" t="str">
        <x:v>guixi-nanfeng-20240521</x:v>
      </x:c>
      <x:c r="J129" s="7" t="str">
        <x:v>C008</x:v>
      </x:c>
      <x:c r="K129" s="7" t="str">
        <x:v>采访家长、学生及居民，案发于小学低年级教室，涉及多名学生；未确认作案动机。</x:v>
      </x:c>
      <x:c r="L129" s="10" t="n">
        <x:v>46281</x:v>
      </x:c>
    </x:row>
    <x:row r="130" ht="38" customHeight="1">
      <x:c r="A130" s="2" t="str">
        <x:v>CS015</x:v>
      </x:c>
      <x:c r="B130" s="7" t="str">
        <x:v>指尖新闻：湖南男子持刀在小学行凶</x:v>
      </x:c>
      <x:c r="C130" s="7" t="str">
        <x:v>指尖新闻（中国数字时代存档）</x:v>
      </x:c>
      <x:c r="D130" s="2" t="str">
        <x:v>2024-03-12</x:v>
      </x:c>
      <x:c r="E130" s="7" t="str">
        <x:v>https://chinadigitaltimes.net/chinese/705851.html</x:v>
      </x:c>
      <x:c r="F130" s="7"/>
      <x:c r="G130" s="2"/>
      <x:c r="H130" s="2" t="str">
        <x:v>独立媒体</x:v>
      </x:c>
      <x:c r="I130" s="2" t="str">
        <x:v>qidong-zhijian-20240312</x:v>
      </x:c>
      <x:c r="J130" s="7" t="str">
        <x:v>C009</x:v>
      </x:c>
      <x:c r="K130" s="7" t="str">
        <x:v>记者采访村民称3月4日三友小学两女生遭袭一死一伤；官方未正面公布详细案情。只有单一采集源。</x:v>
      </x:c>
      <x:c r="L130" s="10" t="n">
        <x:v>46281</x:v>
      </x:c>
    </x:row>
    <x:row r="131" ht="38" customHeight="1">
      <x:c r="A131" s="2" t="str">
        <x:v>CS016</x:v>
      </x:c>
      <x:c r="B131" s="7" t="str">
        <x:v>湖南郴州一公园发生刑事案件，致3死2伤</x:v>
      </x:c>
      <x:c r="C131" s="7" t="str">
        <x:v>央广网转载苏仙公安</x:v>
      </x:c>
      <x:c r="D131" s="2" t="str">
        <x:v>2024-05-21</x:v>
      </x:c>
      <x:c r="E131" s="7" t="str">
        <x:v>https://news.cnr.cn/dj/20240521/t20240521_526712688.shtml</x:v>
      </x:c>
      <x:c r="F131" s="7"/>
      <x:c r="G131" s="2"/>
      <x:c r="H131" s="2" t="str">
        <x:v>公安</x:v>
      </x:c>
      <x:c r="I131" s="2" t="str">
        <x:v>chenzhou-police-20240521</x:v>
      </x:c>
      <x:c r="J131" s="7" t="str">
        <x:v>C010</x:v>
      </x:c>
      <x:c r="K131" s="7" t="str">
        <x:v>5月20日晚公园刑案3死2伤，黄某朋35岁被抓；未披露对象关系及作案方式。</x:v>
      </x:c>
      <x:c r="L131" s="10" t="n">
        <x:v>46281</x:v>
      </x:c>
    </x:row>
    <x:row r="132" ht="38" customHeight="1">
      <x:c r="A132" s="2" t="str">
        <x:v>CS017</x:v>
      </x:c>
      <x:c r="B132" s="7" t="str">
        <x:v>4名外籍人士和1名中国游客被刺伤，吉林警方通报</x:v>
      </x:c>
      <x:c r="C132" s="7" t="str">
        <x:v>北京日报客户端转载吉林船营公安</x:v>
      </x:c>
      <x:c r="D132" s="2" t="str">
        <x:v>2024-06-11</x:v>
      </x:c>
      <x:c r="E132" s="7" t="str">
        <x:v>https://xinwen.bjd.com.cn/content/s666825b1e4b035c6ca5ea1ee.html</x:v>
      </x:c>
      <x:c r="F132" s="7"/>
      <x:c r="G132" s="2"/>
      <x:c r="H132" s="2" t="str">
        <x:v>公安</x:v>
      </x:c>
      <x:c r="I132" s="2" t="str">
        <x:v>jilin-police-20240611</x:v>
      </x:c>
      <x:c r="J132" s="7" t="str">
        <x:v>C011</x:v>
      </x:c>
      <x:c r="K132" s="7" t="str">
        <x:v>55岁男子走路与外籍游客碰撞后刺伤其及3同行者、1劝阻中国游客；当日被抓。</x:v>
      </x:c>
      <x:c r="L132" s="10" t="n">
        <x:v>46281</x:v>
      </x:c>
    </x:row>
    <x:row r="133" ht="38" customHeight="1">
      <x:c r="A133" s="2" t="str">
        <x:v>CS018</x:v>
      </x:c>
      <x:c r="B133" s="7" t="str">
        <x:v>上海地铁54岁男子持刀伤人，3人受伤</x:v>
      </x:c>
      <x:c r="C133" s="7" t="str">
        <x:v>观察者网转载轨交公安</x:v>
      </x:c>
      <x:c r="D133" s="2" t="str">
        <x:v>2024-06-19</x:v>
      </x:c>
      <x:c r="E133" s="7" t="str">
        <x:v>https://www.guancha.cn/politics/2024_06_19_738469.shtml</x:v>
      </x:c>
      <x:c r="F133" s="7"/>
      <x:c r="G133" s="2"/>
      <x:c r="H133" s="2" t="str">
        <x:v>公安</x:v>
      </x:c>
      <x:c r="I133" s="2" t="str">
        <x:v>shmetro-police-20240619</x:v>
      </x:c>
      <x:c r="J133" s="7" t="str">
        <x:v>C012</x:v>
      </x:c>
      <x:c r="K133" s="7" t="str">
        <x:v>合川路地铁站内持刀伤3人，54岁男子沈某被抓；动机及关系未公布。</x:v>
      </x:c>
      <x:c r="L133" s="10" t="n">
        <x:v>46281</x:v>
      </x:c>
    </x:row>
    <x:row r="134" ht="38" customHeight="1">
      <x:c r="A134" s="2" t="str">
        <x:v>CS019</x:v>
      </x:c>
      <x:c r="B134" s="7" t="str">
        <x:v>苏州市认定校车工作人员见义勇为行为（原题姓名略）</x:v>
      </x:c>
      <x:c r="C134" s="7" t="str">
        <x:v>江苏省政府转载新华日报</x:v>
      </x:c>
      <x:c r="D134" s="2" t="str">
        <x:v>2024-06-29</x:v>
      </x:c>
      <x:c r="E134" s="7" t="str">
        <x:v>https://www.jiangsu.gov.cn/art/2024/6/29/art_84324_11283716.html</x:v>
      </x:c>
      <x:c r="F134" s="7"/>
      <x:c r="G134" s="2"/>
      <x:c r="H134" s="2" t="str">
        <x:v>官方媒体</x:v>
      </x:c>
      <x:c r="I134" s="2" t="str">
        <x:v>suzhou-huyouping-20240629</x:v>
      </x:c>
      <x:c r="J134" s="7" t="str">
        <x:v>C013</x:v>
      </x:c>
      <x:c r="K134" s="7" t="str">
        <x:v>6月24日新地中心公交站日本母子及救人者受伤；救人者6月26日死亡；2日籍伤者存活。</x:v>
      </x:c>
      <x:c r="L134" s="10" t="n">
        <x:v>46281</x:v>
      </x:c>
    </x:row>
    <x:row r="135" ht="38" customHeight="1">
      <x:c r="A135" s="2" t="str">
        <x:v>CS020</x:v>
      </x:c>
      <x:c r="B135" s="7" t="str">
        <x:v>深圳日本人学校被刺学生不幸去世，警方通报称嫌犯单人作案</x:v>
      </x:c>
      <x:c r="C135" s="7" t="str">
        <x:v>深圳特区报（澎湃转载）</x:v>
      </x:c>
      <x:c r="D135" s="2" t="str">
        <x:v>2024-09-20</x:v>
      </x:c>
      <x:c r="E135" s="7" t="str">
        <x:v>https://www.thepaper.cn/newsDetail_forward_28800862</x:v>
      </x:c>
      <x:c r="F135" s="7"/>
      <x:c r="G135" s="2"/>
      <x:c r="H135" s="2" t="str">
        <x:v>公安</x:v>
      </x:c>
      <x:c r="I135" s="2" t="str">
        <x:v>shenzhen-police-20240920</x:v>
      </x:c>
      <x:c r="J135" s="7" t="str">
        <x:v>C014</x:v>
      </x:c>
      <x:c r="K135" s="7" t="str">
        <x:v>9月18日10岁男童上学途中被44岁无固定职业男子刺伤，19日凌晨死亡；嫌犯当场被抓。</x:v>
      </x:c>
      <x:c r="L135" s="10" t="n">
        <x:v>46281</x:v>
      </x:c>
    </x:row>
    <x:row r="136" ht="38" customHeight="1">
      <x:c r="A136" s="2" t="str">
        <x:v>CS021</x:v>
      </x:c>
      <x:c r="B136" s="7" t="str">
        <x:v>岩屋外务大臣会见记录（深圳案执行通报）</x:v>
      </x:c>
      <x:c r="C136" s="7" t="str">
        <x:v>日本外务省</x:v>
      </x:c>
      <x:c r="D136" s="2" t="str">
        <x:v>2025-04-22</x:v>
      </x:c>
      <x:c r="E136" s="7" t="str">
        <x:v>https://www.mofa.go.jp/mofaj/press/kaiken/kaikenit_000001_00080.html</x:v>
      </x:c>
      <x:c r="F136" s="7"/>
      <x:c r="G136" s="2"/>
      <x:c r="H136" s="2" t="str">
        <x:v>官方媒体</x:v>
      </x:c>
      <x:c r="I136" s="2" t="str">
        <x:v>shenzhen-mofa-20250422</x:v>
      </x:c>
      <x:c r="J136" s="7" t="str">
        <x:v>C014</x:v>
      </x:c>
      <x:c r="K136" s="7" t="str">
        <x:v>中方4月21日告知已执行死刑，但执行具体日期仍在确认，不能把通知日写成执行日。</x:v>
      </x:c>
      <x:c r="L136" s="10" t="n">
        <x:v>46281</x:v>
      </x:c>
    </x:row>
    <x:row r="137" ht="38" customHeight="1">
      <x:c r="A137" s="2" t="str">
        <x:v>CS022</x:v>
      </x:c>
      <x:c r="B137" s="7" t="str">
        <x:v>China executes man for fatal stabbing near Japanese school</x:v>
      </x:c>
      <x:c r="C137" s="7" t="str">
        <x:v>The Independent</x:v>
      </x:c>
      <x:c r="D137" s="2" t="str">
        <x:v>2025-04-18</x:v>
      </x:c>
      <x:c r="E137" s="7" t="str">
        <x:v>https://www.the-independent.com/asia/china/suzhou-stabbing-japan-school-bus-stop-death-sentence-b2735645.html</x:v>
      </x:c>
      <x:c r="F137" s="7"/>
      <x:c r="G137" s="2"/>
      <x:c r="H137" s="2" t="str">
        <x:v>独立媒体</x:v>
      </x:c>
      <x:c r="I137" s="2" t="str">
        <x:v>suzhou-independent-20250418</x:v>
      </x:c>
      <x:c r="J137" s="7" t="str">
        <x:v>C013</x:v>
      </x:c>
      <x:c r="K137" s="7" t="str">
        <x:v>转述日方中方4月16日通知已执行苏州案死刑；同文深圳案庭审状态有滞后错误，需官方源复核。</x:v>
      </x:c>
      <x:c r="L137" s="10" t="n">
        <x:v>46281</x:v>
      </x:c>
    </x:row>
    <x:row r="138" ht="38" customHeight="1">
      <x:c r="A138" s="2" t="str">
        <x:v>CS023</x:v>
      </x:c>
      <x:c r="B138" s="7" t="str">
        <x:v>刑释男子在广州一小学门口持刀伤人 伤者含两名小学生</x:v>
      </x:c>
      <x:c r="C138" s="7" t="str">
        <x:v>财新</x:v>
      </x:c>
      <x:c r="D138" s="2" t="str">
        <x:v>2024-10-09</x:v>
      </x:c>
      <x:c r="E138" s="7" t="str">
        <x:v>https://china.caixin.com/m/2024-10-08/102243146.html</x:v>
      </x:c>
      <x:c r="F138" s="7"/>
      <x:c r="G138" s="2"/>
      <x:c r="H138" s="2" t="str">
        <x:v>独立媒体</x:v>
      </x:c>
      <x:c r="I138" s="2" t="str">
        <x:v>guangzhou-caixin-20241009</x:v>
      </x:c>
      <x:c r="J138" s="7" t="str">
        <x:v>C015</x:v>
      </x:c>
      <x:c r="K138" s="7" t="str">
        <x:v>3名伤者含2名小学生；60岁嫌疑人当场制服。司法旧案证实曾因持刀攻击前女友获刑。</x:v>
      </x:c>
      <x:c r="L138" s="10" t="n">
        <x:v>46281</x:v>
      </x:c>
    </x:row>
    <x:row r="139" ht="38" customHeight="1">
      <x:c r="A139" s="2" t="str">
        <x:v>CS024</x:v>
      </x:c>
      <x:c r="B139" s="7" t="str">
        <x:v>北京海淀发生持刀伤人案件，5人受伤</x:v>
      </x:c>
      <x:c r="C139" s="7" t="str">
        <x:v>央视网转载海淀公安</x:v>
      </x:c>
      <x:c r="D139" s="2" t="str">
        <x:v>2024-10-28</x:v>
      </x:c>
      <x:c r="E139" s="7" t="str">
        <x:v>https://news.cctv.cn/2024/10/28/ARTIaGmYW8QmzQqhgVIepwzP241028.shtml</x:v>
      </x:c>
      <x:c r="F139" s="7"/>
      <x:c r="G139" s="2"/>
      <x:c r="H139" s="2" t="str">
        <x:v>公安</x:v>
      </x:c>
      <x:c r="I139" s="2" t="str">
        <x:v>beijing-police-20241028</x:v>
      </x:c>
      <x:c r="J139" s="7" t="str">
        <x:v>C016</x:v>
      </x:c>
      <x:c r="K139" s="7" t="str">
        <x:v>5名路人包括3名未成年人受伤，50岁唐某某当场被控。</x:v>
      </x:c>
      <x:c r="L139" s="10" t="n">
        <x:v>46281</x:v>
      </x:c>
    </x:row>
    <x:row r="140" ht="38" customHeight="1">
      <x:c r="A140" s="2" t="str">
        <x:v>CS025</x:v>
      </x:c>
      <x:c r="B140" s="7" t="str">
        <x:v>北京一小学放学时发生伤害事件 五人受伤含三名学生</x:v>
      </x:c>
      <x:c r="C140" s="7" t="str">
        <x:v>财新</x:v>
      </x:c>
      <x:c r="D140" s="2" t="str">
        <x:v>2024-10-29</x:v>
      </x:c>
      <x:c r="E140" s="7" t="str">
        <x:v>https://china.caixin.com/m/2024-10-28/102250558.html</x:v>
      </x:c>
      <x:c r="F140" s="7"/>
      <x:c r="G140" s="2"/>
      <x:c r="H140" s="2" t="str">
        <x:v>独立媒体</x:v>
      </x:c>
      <x:c r="I140" s="2" t="str">
        <x:v>beijing-caixin-20241029</x:v>
      </x:c>
      <x:c r="J140" s="7" t="str">
        <x:v>C016</x:v>
      </x:c>
      <x:c r="K140" s="7" t="str">
        <x:v>案发于中关村三小北校区门外，一名家长和棒球教练因阻止行凶受伤。</x:v>
      </x:c>
      <x:c r="L140" s="10" t="n">
        <x:v>46281</x:v>
      </x:c>
    </x:row>
    <x:row r="141" ht="38" customHeight="1">
      <x:c r="A141" s="2" t="str">
        <x:v>CS026</x:v>
      </x:c>
      <x:c r="B141" s="7" t="str">
        <x:v>成都地铁站外男子持剪刀伤人，警方：3人轻微伤</x:v>
      </x:c>
      <x:c r="C141" s="7" t="str">
        <x:v>南国早报</x:v>
      </x:c>
      <x:c r="D141" s="2" t="str">
        <x:v>2024-12-11</x:v>
      </x:c>
      <x:c r="E141" s="7" t="str">
        <x:v>https://www.ngzb.com.cn/news/2024/12/11/chengdu-xingju-yibei-xianyiren-qingwei-3ren-jingfang-shangren-ji.html</x:v>
      </x:c>
      <x:c r="F141" s="7"/>
      <x:c r="G141" s="2"/>
      <x:c r="H141" s="2" t="str">
        <x:v>官方媒体</x:v>
      </x:c>
      <x:c r="I141" s="2" t="str">
        <x:v>chengdu-ngzb-20241211</x:v>
      </x:c>
      <x:c r="J141" s="7" t="str">
        <x:v>C017</x:v>
      </x:c>
      <x:c r="K141" s="7" t="str">
        <x:v>警方证实29岁曲某某持剪刀伤3人；目击者称对路过女子刺击，视频伤者称不认识袭击者。</x:v>
      </x:c>
      <x:c r="L141" s="10" t="n">
        <x:v>46281</x:v>
      </x:c>
    </x:row>
    <x:row r="142" ht="38" customHeight="1">
      <x:c r="A142" s="2" t="str">
        <x:v>CS027</x:v>
      </x:c>
      <x:c r="B142" s="7" t="str">
        <x:v>广东中山警方通报小汽车碰撞行人：8人受伤</x:v>
      </x:c>
      <x:c r="C142" s="7" t="str">
        <x:v>央广网转载央视/横栏公安</x:v>
      </x:c>
      <x:c r="D142" s="2" t="str">
        <x:v>2024-08-13</x:v>
      </x:c>
      <x:c r="E142" s="7" t="str">
        <x:v>https://news.cnr.cn/native/gd/kx/20240813/t20240813_526850173.shtml</x:v>
      </x:c>
      <x:c r="F142" s="7"/>
      <x:c r="G142" s="2"/>
      <x:c r="H142" s="2" t="str">
        <x:v>公安</x:v>
      </x:c>
      <x:c r="I142" s="2" t="str">
        <x:v>zhongshan-police-20240813</x:v>
      </x:c>
      <x:c r="J142" s="7" t="str">
        <x:v>C018</x:v>
      </x:c>
      <x:c r="K142" s="7" t="str">
        <x:v>厨卫工厂内陈某胜29岁驾车撞伤8人，原因及对象关系未公布。</x:v>
      </x:c>
      <x:c r="L142" s="10" t="n">
        <x:v>46281</x:v>
      </x:c>
    </x:row>
    <x:row r="143" ht="38" customHeight="1">
      <x:c r="A143" s="2" t="str">
        <x:v>CS028</x:v>
      </x:c>
      <x:c r="B143" s="7" t="str">
        <x:v>警方通报武汉大学伤人事件：犯罪嫌疑人被当场控制</x:v>
      </x:c>
      <x:c r="C143" s="7" t="str">
        <x:v>央广网/央视新闻</x:v>
      </x:c>
      <x:c r="D143" s="2" t="str">
        <x:v>2025-06-06</x:v>
      </x:c>
      <x:c r="E143" s="7" t="str">
        <x:v>https://news.cnr.cn/rebang/20250606/t20250606_527198591.shtml</x:v>
      </x:c>
      <x:c r="F143" s="7"/>
      <x:c r="G143" s="2"/>
      <x:c r="H143" s="2" t="str">
        <x:v>官方媒体</x:v>
      </x:c>
      <x:c r="I143" s="2" t="str">
        <x:v>武汉洪山公安20250606</x:v>
      </x:c>
      <x:c r="J143" s="7" t="str">
        <x:v>C019</x:v>
      </x:c>
      <x:c r="K143" s="7" t="str">
        <x:v>全文转述警方通报：6月4日武汉大学食堂，23岁朱某因学业不顺行凶，3伤；未披露被害关系。</x:v>
      </x:c>
      <x:c r="L143" s="10" t="n">
        <x:v>46281</x:v>
      </x:c>
    </x:row>
    <x:row r="144" ht="38" customHeight="1">
      <x:c r="A144" s="2" t="str">
        <x:v>CS029</x:v>
      </x:c>
      <x:c r="B144" s="7" t="str">
        <x:v>故意伤害致2死3伤，段某超被抓获</x:v>
      </x:c>
      <x:c r="C144" s="7" t="str">
        <x:v>澎湃号媒体</x:v>
      </x:c>
      <x:c r="D144" s="2" t="str">
        <x:v>2025-08-03</x:v>
      </x:c>
      <x:c r="E144" s="7" t="str">
        <x:v>https://www.thepaper.cn/newsDetail_forward_31292390</x:v>
      </x:c>
      <x:c r="F144" s="7"/>
      <x:c r="G144" s="2"/>
      <x:c r="H144" s="2" t="str">
        <x:v>官方媒体</x:v>
      </x:c>
      <x:c r="I144" s="2" t="str">
        <x:v>耒阳公安20250803及原媒体采访</x:v>
      </x:c>
      <x:c r="J144" s="7" t="str">
        <x:v>C020</x:v>
      </x:c>
      <x:c r="K144" s="7" t="str">
        <x:v>通报2死3伤、31岁男性；记者采访目击者称男子从路口进入并进入麻将馆伤人。未确认与各被害者关系。</x:v>
      </x:c>
      <x:c r="L144" s="10" t="n">
        <x:v>46281</x:v>
      </x:c>
    </x:row>
    <x:row r="145" ht="38" customHeight="1">
      <x:c r="A145" s="2" t="str">
        <x:v>CS030</x:v>
      </x:c>
      <x:c r="B145" s="7" t="str">
        <x:v>天津医院6医护遇袭 两人死亡包括一医生</x:v>
      </x:c>
      <x:c r="C145" s="7" t="str">
        <x:v>东网</x:v>
      </x:c>
      <x:c r="D145" s="2" t="str">
        <x:v>2025-05-01</x:v>
      </x:c>
      <x:c r="E145" s="7" t="str">
        <x:v>https://hk.on.cc/cnt/news/20250501/bkn-20250501084137284-0501_00822_001_cn.html</x:v>
      </x:c>
      <x:c r="F145" s="7"/>
      <x:c r="G145" s="2"/>
      <x:c r="H145" s="2" t="str">
        <x:v>独立媒体</x:v>
      </x:c>
      <x:c r="I145" s="2" t="str">
        <x:v>东网天津医院20250501</x:v>
      </x:c>
      <x:c r="J145" s="7" t="str">
        <x:v>C021</x:v>
      </x:c>
      <x:c r="K145" s="7" t="str">
        <x:v>报道称4月28日6名医护遇袭，2死1重伤，并称见到警方通报；本文无可回溯通报原件，动机与嫌疑人资料仍待核。</x:v>
      </x:c>
      <x:c r="L145" s="10" t="n">
        <x:v>46281</x:v>
      </x:c>
    </x:row>
    <x:row r="146" ht="38" customHeight="1">
      <x:c r="A146" s="2" t="str">
        <x:v>CS031</x:v>
      </x:c>
      <x:c r="B146" s="7" t="str">
        <x:v>湖北十堰男子驾车撞人致一死多伤 事发两天后警方回应</x:v>
      </x:c>
      <x:c r="C146" s="7" t="str">
        <x:v>财新</x:v>
      </x:c>
      <x:c r="D146" s="2" t="str">
        <x:v>2025-10-25</x:v>
      </x:c>
      <x:c r="E146" s="7" t="str">
        <x:v>https://china.caixin.com/2025-10-25/102375498.html</x:v>
      </x:c>
      <x:c r="F146" s="7"/>
      <x:c r="G146" s="2"/>
      <x:c r="H146" s="2" t="str">
        <x:v>独立媒体</x:v>
      </x:c>
      <x:c r="I146" s="2" t="str">
        <x:v>财新覃建行十堰20251025</x:v>
      </x:c>
      <x:c r="J146" s="7" t="str">
        <x:v>C022</x:v>
      </x:c>
      <x:c r="K146" s="7" t="str">
        <x:v>记者核实事发重庆路小学附近路口，视频显示车冲向等候人群；通报危险方法危害公共安全1死4人伤较重及多人轻伤。</x:v>
      </x:c>
      <x:c r="L146" s="10" t="n">
        <x:v>46281</x:v>
      </x:c>
    </x:row>
    <x:row r="147" ht="38" customHeight="1">
      <x:c r="A147" s="2" t="str">
        <x:v>CS032</x:v>
      </x:c>
      <x:c r="B147" s="7" t="str">
        <x:v>湖北十堰警方通报：致1人遇难4人重伤，陈某被刑拘</x:v>
      </x:c>
      <x:c r="C147" s="7" t="str">
        <x:v>羊城晚报/平安茅箭</x:v>
      </x:c>
      <x:c r="D147" s="2" t="str">
        <x:v>2025-10-25</x:v>
      </x:c>
      <x:c r="E147" s="7" t="str">
        <x:v>https://news.ycwb.com/ikinvjktin/content_53752479.htm</x:v>
      </x:c>
      <x:c r="F147" s="7"/>
      <x:c r="G147" s="2"/>
      <x:c r="H147" s="2" t="str">
        <x:v>官方媒体</x:v>
      </x:c>
      <x:c r="I147" s="2" t="str">
        <x:v>十堰茅箭公安20251024</x:v>
      </x:c>
      <x:c r="J147" s="7" t="str">
        <x:v>C022</x:v>
      </x:c>
      <x:c r="K147" s="7" t="str">
        <x:v>完整通报：10月22日事件，48岁陈某以危险方法危害公共安全；1死4人伤情较重，多人轻微伤，不能将伤者总数写成4。</x:v>
      </x:c>
      <x:c r="L147" s="10" t="n">
        <x:v>46281</x:v>
      </x:c>
    </x:row>
    <x:row r="148" ht="38" customHeight="1">
      <x:c r="A148" s="2" t="str">
        <x:v>CS033</x:v>
      </x:c>
      <x:c r="B148" s="7" t="str">
        <x:v>成都警方通报一起持刀伤人案件：2名伤者和嫌犯均无生命危险</x:v>
      </x:c>
      <x:c r="C148" s="7" t="str">
        <x:v>央广网/央视网</x:v>
      </x:c>
      <x:c r="D148" s="2" t="str">
        <x:v>2025-05-30</x:v>
      </x:c>
      <x:c r="E148" s="7" t="str">
        <x:v>https://news.cnr.cn/native/gd/kx/20250530/t20250530_527190837.shtml</x:v>
      </x:c>
      <x:c r="F148" s="7"/>
      <x:c r="G148" s="2"/>
      <x:c r="H148" s="2" t="str">
        <x:v>官方媒体</x:v>
      </x:c>
      <x:c r="I148" s="2" t="str">
        <x:v>成都锦江公安20250530</x:v>
      </x:c>
      <x:c r="J148" s="7" t="str">
        <x:v>C023</x:v>
      </x:c>
      <x:c r="K148" s="7" t="str">
        <x:v>完整通报26岁陆某因感情纠纷刺伤前女友及其上前劝阻同事，后自伤颈；受害者2伤与嫌疑人自伤分开。</x:v>
      </x:c>
      <x:c r="L148" s="10" t="n">
        <x:v>46281</x:v>
      </x:c>
    </x:row>
    <x:row r="149" ht="38" customHeight="1">
      <x:c r="A149" s="2" t="str">
        <x:v>CS034</x:v>
      </x:c>
      <x:c r="B149" s="7" t="str">
        <x:v>广州警方通报男子持刀伤人事件</x:v>
      </x:c>
      <x:c r="C149" s="7" t="str">
        <x:v>央广网/广州番禺公安</x:v>
      </x:c>
      <x:c r="D149" s="2" t="str">
        <x:v>2026-09-14</x:v>
      </x:c>
      <x:c r="E149" s="7" t="str">
        <x:v>https://news.cnr.cn/native/gd/kx/20260914/t20260914_527813785.shtml</x:v>
      </x:c>
      <x:c r="F149" s="7"/>
      <x:c r="G149" s="2"/>
      <x:c r="H149" s="2" t="str">
        <x:v>官方媒体</x:v>
      </x:c>
      <x:c r="I149" s="2" t="str">
        <x:v>广州番禺公安20260914</x:v>
      </x:c>
      <x:c r="J149" s="7" t="str">
        <x:v>C024</x:v>
      </x:c>
      <x:c r="K149" s="7" t="str">
        <x:v>小谷围街火锅店门口李某35岁持刀伤人；均无生命危险，未公布人数与动机。</x:v>
      </x:c>
      <x:c r="L149" s="10" t="n">
        <x:v>46281</x:v>
      </x:c>
    </x:row>
    <x:row r="150" ht="38" customHeight="1">
      <x:c r="A150" s="2" t="str">
        <x:v>CS035</x:v>
      </x:c>
      <x:c r="B150" s="7" t="str">
        <x:v>男子鸣笛引路人不满，驾车强行驶离致1死4伤，重庆警方通报</x:v>
      </x:c>
      <x:c r="C150" s="7" t="str">
        <x:v>四川在线/重庆巴南公安</x:v>
      </x:c>
      <x:c r="D150" s="2" t="str">
        <x:v>2025-06-15</x:v>
      </x:c>
      <x:c r="E150" s="7" t="str">
        <x:v>https://focus.scol.com.cn/zgsz/202506/83064620.html</x:v>
      </x:c>
      <x:c r="F150" s="7"/>
      <x:c r="G150" s="2"/>
      <x:c r="H150" s="2" t="str">
        <x:v>官方媒体</x:v>
      </x:c>
      <x:c r="I150" s="2" t="str">
        <x:v>重庆巴南公安20250615</x:v>
      </x:c>
      <x:c r="J150" s="7" t="str">
        <x:v>C025</x:v>
      </x:c>
      <x:c r="K150" s="7" t="str">
        <x:v>完整通报：6月14日38岁熊某鸣笛与围车群众争执，强行离开伤及阻拦者1死4伤。</x:v>
      </x:c>
      <x:c r="L150" s="10" t="n">
        <x:v>46281</x:v>
      </x:c>
    </x:row>
    <x:row r="151" ht="38" customHeight="1">
      <x:c r="A151" s="2" t="str">
        <x:v>CS036</x:v>
      </x:c>
      <x:c r="B151" s="7" t="str">
        <x:v>警方通报男子广州南站持刀伤人</x:v>
      </x:c>
      <x:c r="C151" s="7" t="str">
        <x:v>央广网</x:v>
      </x:c>
      <x:c r="D151" s="2" t="str">
        <x:v>2025-05-15</x:v>
      </x:c>
      <x:c r="E151" s="7" t="str">
        <x:v>https://www.cnr.cn/gd/dwqgc/20250515/t20250515_527170600.shtml</x:v>
      </x:c>
      <x:c r="F151" s="7"/>
      <x:c r="G151" s="2"/>
      <x:c r="H151" s="2" t="str">
        <x:v>官方媒体</x:v>
      </x:c>
      <x:c r="I151" s="2" t="str">
        <x:v>广州铁路公安20250515</x:v>
      </x:c>
      <x:c r="J151" s="7" t="str">
        <x:v>C026</x:v>
      </x:c>
      <x:c r="K151" s="7" t="str">
        <x:v>通报5月15日安检区外35岁男子李某某持水果刀伤1人，未说明被害关系。</x:v>
      </x:c>
      <x:c r="L151" s="10" t="n">
        <x:v>46281</x:v>
      </x:c>
    </x:row>
    <x:row r="152" ht="38" customHeight="1">
      <x:c r="A152" s="2" t="str">
        <x:v>CS037</x:v>
      </x:c>
      <x:c r="B152" s="7" t="str">
        <x:v>武汉发生一起持刀伤人事件 警方通报</x:v>
      </x:c>
      <x:c r="C152" s="7" t="str">
        <x:v>央广网</x:v>
      </x:c>
      <x:c r="D152" s="2" t="str">
        <x:v>2026-03-31</x:v>
      </x:c>
      <x:c r="E152" s="7" t="str">
        <x:v>https://www.cnr.cn/hubei/jcgd/20260331/t20260331_527568472.shtml</x:v>
      </x:c>
      <x:c r="F152" s="7"/>
      <x:c r="G152" s="2"/>
      <x:c r="H152" s="2" t="str">
        <x:v>官方媒体</x:v>
      </x:c>
      <x:c r="I152" s="2" t="str">
        <x:v>武汉江岸公安20260331</x:v>
      </x:c>
      <x:c r="J152" s="7" t="str">
        <x:v>C027</x:v>
      </x:c>
      <x:c r="K152" s="7" t="str">
        <x:v>青松路吴某某44岁持水果刀伤4人，均无生命危险，未披露被害关系。</x:v>
      </x:c>
      <x:c r="L152" s="10" t="n">
        <x:v>46281</x:v>
      </x:c>
    </x:row>
    <x:row r="153" ht="38" customHeight="1">
      <x:c r="A153" s="2" t="str">
        <x:v>CS038</x:v>
      </x:c>
      <x:c r="B153" s="7" t="str">
        <x:v>浙江杭州警方通报一起持刀伤人警情</x:v>
      </x:c>
      <x:c r="C153" s="7" t="str">
        <x:v>央广网</x:v>
      </x:c>
      <x:c r="D153" s="2" t="str">
        <x:v>2026-07-13</x:v>
      </x:c>
      <x:c r="E153" s="7" t="str">
        <x:v>https://zj.cnr.cn/zjyw/20260713/t20260713_527708145.shtml</x:v>
      </x:c>
      <x:c r="F153" s="7"/>
      <x:c r="G153" s="2"/>
      <x:c r="H153" s="2" t="str">
        <x:v>官方媒体</x:v>
      </x:c>
      <x:c r="I153" s="2" t="str">
        <x:v>杭州钱塘公安20260713</x:v>
      </x:c>
      <x:c r="J153" s="7" t="str">
        <x:v>C028</x:v>
      </x:c>
      <x:c r="K153" s="7" t="str">
        <x:v>钱塘54岁纺织厂员工金某某刺伤甜品店27岁店主，店主死亡；未披露关系与原因。</x:v>
      </x:c>
      <x:c r="L153" s="10" t="n">
        <x:v>46281</x:v>
      </x:c>
    </x:row>
    <x:row r="154" ht="38" customHeight="1">
      <x:c r="A154" s="2" t="str">
        <x:v>CS039</x:v>
      </x:c>
      <x:c r="B154" s="7" t="str">
        <x:v>上海日系大楼内发生持刀伤人事件＝2名日本人受伤皆无生命危险</x:v>
      </x:c>
      <x:c r="C154" s="7" t="str">
        <x:v>时事通信/Nippon.com</x:v>
      </x:c>
      <x:c r="D154" s="2" t="str">
        <x:v>2026-05-20</x:v>
      </x:c>
      <x:c r="E154" s="7" t="str">
        <x:v>https://www.nippon.com/hk/news/yjj2026051900961/</x:v>
      </x:c>
      <x:c r="F154" s="7"/>
      <x:c r="G154" s="2"/>
      <x:c r="H154" s="2" t="str">
        <x:v>独立媒体</x:v>
      </x:c>
      <x:c r="I154" s="2" t="str">
        <x:v>Jiji上海20260520</x:v>
      </x:c>
      <x:c r="J154" s="7" t="str">
        <x:v>C029</x:v>
      </x:c>
      <x:c r="K154" s="7" t="str">
        <x:v>上海环球金融中心餐厅3人受伤，59岁男性被制服；警方称有精神病治疗史，附近店员转述现场经过。</x:v>
      </x:c>
      <x:c r="L154" s="10" t="n">
        <x:v>46281</x:v>
      </x:c>
    </x:row>
    <x:row r="155" ht="38" customHeight="1">
      <x:c r="A155" s="2" t="str">
        <x:v>CS040</x:v>
      </x:c>
      <x:c r="B155" s="7" t="str">
        <x:v>2026年5月20日外交部发言人郭嘉昆主持例行记者会</x:v>
      </x:c>
      <x:c r="C155" s="7" t="str">
        <x:v>外交部</x:v>
      </x:c>
      <x:c r="D155" s="2" t="str">
        <x:v>2026-05-20</x:v>
      </x:c>
      <x:c r="E155" s="7" t="str">
        <x:v>https://www.fmprc.gov.cn/fyrbt_673021/jzhsl_673025/202605/t20260520_11914508.shtml</x:v>
      </x:c>
      <x:c r="F155" s="7"/>
      <x:c r="G155" s="2"/>
      <x:c r="H155" s="2" t="str">
        <x:v>官方媒体</x:v>
      </x:c>
      <x:c r="I155" s="2" t="str">
        <x:v>外交部20260520</x:v>
      </x:c>
      <x:c r="J155" s="7" t="str">
        <x:v>C029</x:v>
      </x:c>
      <x:c r="K155" s="7" t="str">
        <x:v>原文确认上海餐厅持刀案3伤、嫌犯被抓获、精神障碍患者；未说明随机性或针对国籍。</x:v>
      </x:c>
      <x:c r="L155" s="10" t="n">
        <x:v>46281</x:v>
      </x:c>
    </x:row>
    <x:row r="156" ht="38" customHeight="1">
      <x:c r="A156" s="2" t="str">
        <x:v>CS041</x:v>
      </x:c>
      <x:c r="B156" s="7" t="str">
        <x:v>江西吉安警方：男子持刀划伤两名路人后逃匿，已被抓捕归案</x:v>
      </x:c>
      <x:c r="C156" s="7" t="str">
        <x:v>澎湃新闻/吉州公安</x:v>
      </x:c>
      <x:c r="D156" s="2" t="str">
        <x:v>2024-04-11</x:v>
      </x:c>
      <x:c r="E156" s="7" t="str">
        <x:v>https://www.thepaper.cn/newsDetail_forward_26990155</x:v>
      </x:c>
      <x:c r="F156" s="7"/>
      <x:c r="G156" s="2"/>
      <x:c r="H156" s="2" t="str">
        <x:v>官方媒体</x:v>
      </x:c>
      <x:c r="I156" s="2" t="str">
        <x:v>吉州公安20240410</x:v>
      </x:c>
      <x:c r="J156" s="7" t="str">
        <x:v>C030</x:v>
      </x:c>
      <x:c r="K156" s="7" t="str">
        <x:v>通报4月10日翠岭路38岁余某伤2名路人，均无生命危险。</x:v>
      </x:c>
      <x:c r="L156" s="10" t="n">
        <x:v>46281</x:v>
      </x:c>
    </x:row>
    <x:row r="157" ht="38" customHeight="1">
      <x:c r="A157" s="2" t="str">
        <x:v>CS042</x:v>
      </x:c>
      <x:c r="B157" s="7" t="str">
        <x:v>一男子驾驶小客车与行人发生碰撞，北京密云警方发布通报</x:v>
      </x:c>
      <x:c r="C157" s="7" t="str">
        <x:v>澎湃新闻/平安密云</x:v>
      </x:c>
      <x:c r="D157" s="2" t="str">
        <x:v>2025-06-26</x:v>
      </x:c>
      <x:c r="E157" s="7" t="str">
        <x:v>https://www.thepaper.cn/newsDetail_forward_31046919</x:v>
      </x:c>
      <x:c r="F157" s="7"/>
      <x:c r="G157" s="2"/>
      <x:c r="H157" s="2" t="str">
        <x:v>官方媒体</x:v>
      </x:c>
      <x:c r="I157" s="2" t="str">
        <x:v>北京密云公安20250626</x:v>
      </x:c>
      <x:c r="J157" s="7" t="str">
        <x:v>C031</x:v>
      </x:c>
      <x:c r="K157" s="7" t="str">
        <x:v>35岁韩某某驾车操作不当撞行人；人数未公布。</x:v>
      </x:c>
      <x:c r="L157" s="10" t="n">
        <x:v>46281</x:v>
      </x:c>
    </x:row>
    <x:row r="158" ht="38" customHeight="1">
      <x:c r="A158" s="2" t="str">
        <x:v>CS043</x:v>
      </x:c>
      <x:c r="B158" s="7" t="str">
        <x:v>北京警方：海淀小客车刮碰行人事故致4人受伤，肇事司机被查获</x:v>
      </x:c>
      <x:c r="C158" s="7" t="str">
        <x:v>澎湃新闻/北京交警</x:v>
      </x:c>
      <x:c r="D158" s="2" t="str">
        <x:v>2025-05-15</x:v>
      </x:c>
      <x:c r="E158" s="7" t="str">
        <x:v>https://www.thepaper.cn/newsDetail_forward_30822710</x:v>
      </x:c>
      <x:c r="F158" s="7"/>
      <x:c r="G158" s="2"/>
      <x:c r="H158" s="2" t="str">
        <x:v>官方媒体</x:v>
      </x:c>
      <x:c r="I158" s="2" t="str">
        <x:v>北京交警20250515</x:v>
      </x:c>
      <x:c r="J158" s="7" t="str">
        <x:v>C032</x:v>
      </x:c>
      <x:c r="K158" s="7" t="str">
        <x:v>健安西路4伤；官方称刮碰行人交通事故，原因进一步调查。</x:v>
      </x:c>
      <x:c r="L158" s="10" t="n">
        <x:v>46281</x:v>
      </x:c>
    </x:row>
    <x:row r="159" ht="38" customHeight="1">
      <x:c r="A159" s="2" t="str">
        <x:v>CS044</x:v>
      </x:c>
      <x:c r="B159" s="7" t="str">
        <x:v>青岛警方深夜通报</x:v>
      </x:c>
      <x:c r="C159" s="7" t="str">
        <x:v>北京日报/长安街知事</x:v>
      </x:c>
      <x:c r="D159" s="2" t="str">
        <x:v>2024-10-24</x:v>
      </x:c>
      <x:c r="E159" s="7" t="str">
        <x:v>https://xinwen.bjd.com.cn/content/s671989e0e4b01a5d71ca5efa.html</x:v>
      </x:c>
      <x:c r="F159" s="7"/>
      <x:c r="G159" s="2"/>
      <x:c r="H159" s="2" t="str">
        <x:v>官方媒体</x:v>
      </x:c>
      <x:c r="I159" s="2" t="str">
        <x:v>青岛市北公安20241024</x:v>
      </x:c>
      <x:c r="J159" s="7" t="str">
        <x:v>C033</x:v>
      </x:c>
      <x:c r="K159" s="7" t="str">
        <x:v>搅拌车与多车碰撞，3人留院、无生命危险；48岁孙某某涉嫌醉驾。</x:v>
      </x:c>
      <x:c r="L159" s="10" t="n">
        <x:v>46281</x:v>
      </x:c>
    </x:row>
    <x:row r="160" ht="38" customHeight="1">
      <x:c r="A160" s="2" t="str">
        <x:v>CS045</x:v>
      </x:c>
      <x:c r="B160" s="7" t="str">
        <x:v>传北京市集有重型铲泥车冲撞人群致多人死伤</x:v>
      </x:c>
      <x:c r="C160" s="7" t="str">
        <x:v>香港01</x:v>
      </x:c>
      <x:c r="D160" s="2" t="str">
        <x:v>2026-03-31</x:v>
      </x:c>
      <x:c r="E160" s="7" t="str">
        <x:v>https://www.hk01.com/article/60335629</x:v>
      </x:c>
      <x:c r="F160" s="7"/>
      <x:c r="G160" s="2"/>
      <x:c r="H160" s="2" t="str">
        <x:v>独立媒体</x:v>
      </x:c>
      <x:c r="I160" s="2" t="str">
        <x:v>网络视频房山20260329</x:v>
      </x:c>
      <x:c r="J160" s="7" t="str">
        <x:v>C034</x:v>
      </x:c>
      <x:c r="K160" s="7" t="str">
        <x:v>报道3月29日大韩继集市铲车冲撞传言；全文主要据社交视频和网络目击者，明确无官方通报、死伤未核实。</x:v>
      </x:c>
      <x:c r="L160" s="10" t="n">
        <x:v>46281</x:v>
      </x:c>
    </x:row>
    <x:row r="161" ht="38" customHeight="1">
      <x:c r="A161" s="2" t="str">
        <x:v>CS046</x:v>
      </x:c>
      <x:c r="B161" s="7" t="str">
        <x:v>传福建男子中秋夜随机砍人 多人受伤包括儿童</x:v>
      </x:c>
      <x:c r="C161" s="7" t="str">
        <x:v>看中国</x:v>
      </x:c>
      <x:c r="D161" s="2" t="str">
        <x:v>2025-10-07</x:v>
      </x:c>
      <x:c r="E161" s="7" t="str">
        <x:v>https://www.secretchina.com/news/gb/2025/10/07/1089077.html</x:v>
      </x:c>
      <x:c r="F161" s="7"/>
      <x:c r="G161" s="2"/>
      <x:c r="H161" s="2" t="str">
        <x:v>汇编线索</x:v>
      </x:c>
      <x:c r="I161" s="2" t="str">
        <x:v>社交视频泉港20251006</x:v>
      </x:c>
      <x:c r="J161" s="7" t="str">
        <x:v>C035</x:v>
      </x:c>
      <x:c r="K161" s="7" t="str">
        <x:v>仅记录泉港永嘉天地持刀网传线索；7至8伤、儿童和离异精神病等均未交叉核实，不取其分析为事实。</x:v>
      </x:c>
      <x:c r="L161" s="10" t="n">
        <x:v>46281</x:v>
      </x:c>
    </x:row>
    <x:row r="162" ht="38" customHeight="1">
      <x:c r="A162" s="2" t="str">
        <x:v>CS047</x:v>
      </x:c>
      <x:c r="B162" s="7" t="str">
        <x:v>放学时分 浙江金华轿车直冲校门撞倒一片</x:v>
      </x:c>
      <x:c r="C162" s="7" t="str">
        <x:v>新唐人</x:v>
      </x:c>
      <x:c r="D162" s="2" t="str">
        <x:v>2025-04-23</x:v>
      </x:c>
      <x:c r="E162" s="7" t="str">
        <x:v>https://www.ntdtv.com/gb/2025/04/22/a103978828.html</x:v>
      </x:c>
      <x:c r="F162" s="7"/>
      <x:c r="G162" s="2"/>
      <x:c r="H162" s="2" t="str">
        <x:v>汇编线索</x:v>
      </x:c>
      <x:c r="I162" s="2" t="str">
        <x:v>社交视频金华20250422</x:v>
      </x:c>
      <x:c r="J162" s="7" t="str">
        <x:v>C036</x:v>
      </x:c>
      <x:c r="K162" s="7" t="str">
        <x:v>主要据社交视频记录4月22日苏孟小学车撞人线索；缺通报、实际人数未核。</x:v>
      </x:c>
      <x:c r="L162" s="10" t="n">
        <x:v>46281</x:v>
      </x:c>
    </x:row>
    <x:row r="163" ht="38" customHeight="1">
      <x:c r="A163" s="2" t="str">
        <x:v>CS048</x:v>
      </x:c>
      <x:c r="B163" s="7" t="str">
        <x:v>传沈阳男子连砍6人后跳楼</x:v>
      </x:c>
      <x:c r="C163" s="7" t="str">
        <x:v>新唐人</x:v>
      </x:c>
      <x:c r="D163" s="2" t="str">
        <x:v>2026-04-05</x:v>
      </x:c>
      <x:c r="E163" s="7" t="str">
        <x:v>https://www.ntdtv.com/gb/2026/04/04/a104083185.html</x:v>
      </x:c>
      <x:c r="F163" s="7"/>
      <x:c r="G163" s="2"/>
      <x:c r="H163" s="2" t="str">
        <x:v>汇编线索</x:v>
      </x:c>
      <x:c r="I163" s="2" t="str">
        <x:v>社交视频沈阳20260404</x:v>
      </x:c>
      <x:c r="J163" s="7" t="str">
        <x:v>C037</x:v>
      </x:c>
      <x:c r="K163" s="7" t="str">
        <x:v>网传4月4日太原街伤人，文本明确称真实性不明、未见官方；数字互相冲突，不用作精确伤亡。</x:v>
      </x:c>
      <x:c r="L163" s="10" t="n">
        <x:v>46281</x:v>
      </x:c>
    </x:row>
    <x:row r="164" ht="38" customHeight="1">
      <x:c r="A164" s="2" t="str">
        <x:v>CS049</x:v>
      </x:c>
      <x:c r="B164" s="7" t="str">
        <x:v>广西柳州警方深夜通报：一小区发生刑事案件，造成4人死亡（其中1人有重大嫌疑），1人受伤</x:v>
      </x:c>
      <x:c r="C164" s="7" t="str">
        <x:v>中国江苏网/柳州城中警方</x:v>
      </x:c>
      <x:c r="D164" s="2" t="str">
        <x:v>2026-05-03</x:v>
      </x:c>
      <x:c r="E164" s="7" t="str">
        <x:v>https://wz.jschina.com.cn/jrgc/202605/t20260503_s69f6b72ee4b0d4f4536434af.shtml</x:v>
      </x:c>
      <x:c r="F164" s="7"/>
      <x:c r="G164" s="2"/>
      <x:c r="H164" s="2" t="str">
        <x:v>官方媒体</x:v>
      </x:c>
      <x:c r="I164" s="2" t="str">
        <x:v>柳州城中公安20260502</x:v>
      </x:c>
      <x:c r="J164" s="7" t="str">
        <x:v>C038</x:v>
      </x:c>
      <x:c r="K164" s="7" t="str">
        <x:v>官方通报4名死者含1名重大嫌疑人；受害者记3死1伤、嫌疑人死亡另列，关系和作案方法未知。</x:v>
      </x:c>
      <x:c r="L164" s="10" t="n">
        <x:v>46281</x:v>
      </x:c>
    </x:row>
    <x:row r="165" ht="38" customHeight="1">
      <x:c r="A165" s="2" t="str">
        <x:v>CS050</x:v>
      </x:c>
      <x:c r="B165" s="7" t="str">
        <x:v>肇庆发生一起小汽车碰撞摩托车交通事故，警方通报</x:v>
      </x:c>
      <x:c r="C165" s="7" t="str">
        <x:v>广州日报大洋网/平安封开</x:v>
      </x:c>
      <x:c r="D165" s="2" t="str">
        <x:v>2024-04-26</x:v>
      </x:c>
      <x:c r="E165" s="7" t="str">
        <x:v>https://news.dayoo.com/guangdong/202404/26/139996_54661857.htm</x:v>
      </x:c>
      <x:c r="F165" s="7"/>
      <x:c r="G165" s="2"/>
      <x:c r="H165" s="2" t="str">
        <x:v>官方媒体</x:v>
      </x:c>
      <x:c r="I165" s="2" t="str">
        <x:v>封开公安20240426</x:v>
      </x:c>
      <x:c r="J165" s="7" t="str">
        <x:v>C039</x:v>
      </x:c>
      <x:c r="K165" s="7" t="str">
        <x:v>仅确认4月26日江口街道汽车撞摩托车，有人受伤；无人数与主动攻击证据。</x:v>
      </x:c>
      <x:c r="L165" s="10" t="n">
        <x:v>46281</x:v>
      </x:c>
    </x:row>
    <x:row r="166" ht="38" customHeight="1">
      <x:c r="A166" s="2" t="str">
        <x:v>CS051</x:v>
      </x:c>
      <x:c r="B166" s="7" t="str">
        <x:v>湖南长沙机动车撞人案致8死5伤 犯罪嫌疑人已被警方控制</x:v>
      </x:c>
      <x:c r="C166" s="7" t="str">
        <x:v>央广网/央视新闻</x:v>
      </x:c>
      <x:c r="D166" s="2" t="str">
        <x:v>2024-07-27</x:v>
      </x:c>
      <x:c r="E166" s="7" t="str">
        <x:v>https://news.cnr.cn/native/gd/kx/20240727/t20240727_526818744.shtml</x:v>
      </x:c>
      <x:c r="F166" s="7"/>
      <x:c r="G166" s="2"/>
      <x:c r="H166" s="2" t="str">
        <x:v>官方媒体</x:v>
      </x:c>
      <x:c r="I166" s="2" t="str">
        <x:v>长沙开福公安20240727</x:v>
      </x:c>
      <x:c r="J166" s="7" t="str">
        <x:v>C040</x:v>
      </x:c>
      <x:c r="K166" s="7" t="str">
        <x:v>7月27日月湖街道舟桥路8死2重伤3轻伤，55岁粟某某被控制；未明动机与被害关系。</x:v>
      </x:c>
      <x:c r="L166" s="10" t="n">
        <x:v>46281</x:v>
      </x:c>
    </x:row>
    <x:row r="167" ht="38" customHeight="1">
      <x:c r="A167" s="2" t="str">
        <x:v>CS052</x:v>
      </x:c>
      <x:c r="B167" s="7" t="str">
        <x:v>外卖小哥骑车撞翻持刀伤人醉酒男子</x:v>
      </x:c>
      <x:c r="C167" s="7" t="str">
        <x:v>华声在线/红星新闻</x:v>
      </x:c>
      <x:c r="D167" s="2" t="str">
        <x:v>2026-08-19</x:v>
      </x:c>
      <x:c r="E167" s="7" t="str">
        <x:v>https://hunan.voc.com.cn/news/202608/33525425.html</x:v>
      </x:c>
      <x:c r="F167" s="7"/>
      <x:c r="G167" s="2"/>
      <x:c r="H167" s="2" t="str">
        <x:v>官方媒体</x:v>
      </x:c>
      <x:c r="I167" s="2" t="str">
        <x:v>红星新闻西宁20260819</x:v>
      </x:c>
      <x:c r="J167" s="7" t="str">
        <x:v>C041</x:v>
      </x:c>
      <x:c r="K167" s="7" t="str">
        <x:v>报道8月18日西宁持刀者被外卖员和群众制服、警方强制措施；未披露伤亡数字与关系。</x:v>
      </x:c>
      <x:c r="L167" s="10" t="n">
        <x:v>46281</x:v>
      </x:c>
    </x:row>
    <x:row r="168" ht="38" customHeight="1">
      <x:c r="A168" s="2" t="str">
        <x:v>CS053</x:v>
      </x:c>
      <x:c r="B168" s="7" t="str">
        <x:v>传汕头和西宁连发当街砍人事件</x:v>
      </x:c>
      <x:c r="C168" s="7" t="str">
        <x:v>新唐人</x:v>
      </x:c>
      <x:c r="D168" s="2" t="str">
        <x:v>2026-08-20</x:v>
      </x:c>
      <x:c r="E168" s="7" t="str">
        <x:v>https://www.ntdtv.com/b5/mkt_ipad/2026/08/19/a104125555.html</x:v>
      </x:c>
      <x:c r="F168" s="7"/>
      <x:c r="G168" s="2"/>
      <x:c r="H168" s="2" t="str">
        <x:v>汇编线索</x:v>
      </x:c>
      <x:c r="I168" s="2" t="str">
        <x:v>社交视频汕头西宁20260818</x:v>
      </x:c>
      <x:c r="J168" s="7" t="str">
        <x:v>C041；C042</x:v>
      </x:c>
      <x:c r="K168" s="7" t="str">
        <x:v>仅用于记录汕头8月18日晚陈厝合线索及西宁网传日期/人数冲突；无独立核实。</x:v>
      </x:c>
      <x:c r="L168" s="10" t="n">
        <x:v>46281</x:v>
      </x:c>
    </x:row>
    <x:row r="169" ht="38" customHeight="1">
      <x:c r="A169" s="2" t="str">
        <x:v>CS054</x:v>
      </x:c>
      <x:c r="B169" s="7" t="str">
        <x:v>为泄愤四处纵火 男子犯放火罪获刑3年</x:v>
      </x:c>
      <x:c r="C169" s="7" t="str">
        <x:v>南充长安网/四川法治报</x:v>
      </x:c>
      <x:c r="D169" s="2" t="str">
        <x:v>2025-05-14</x:v>
      </x:c>
      <x:c r="E169" s="7" t="str">
        <x:v>https://www.nanchongpeace.gov.cn/yasf/20250514/2970328.html</x:v>
      </x:c>
      <x:c r="F169" s="7"/>
      <x:c r="G169" s="2"/>
      <x:c r="H169" s="2" t="str">
        <x:v>官方媒体</x:v>
      </x:c>
      <x:c r="I169" s="2" t="str">
        <x:v>四川法治报曾昌文新津20250514</x:v>
      </x:c>
      <x:c r="J169" s="7" t="str">
        <x:v>C043</x:v>
      </x:c>
      <x:c r="K169" s="7" t="str">
        <x:v>记者从新津法院获知2024年11月25日任某四处烧车和棋牌室财物，刑期3年；报道无人员受伤或直接袭击人员事实，排除核心。</x:v>
      </x:c>
      <x:c r="L169" s="10" t="n">
        <x:v>46281</x:v>
      </x:c>
    </x:row>
    <x:row r="170" ht="38" customHeight="1">
      <x:c r="A170" s="2" t="str">
        <x:v>CS055</x:v>
      </x:c>
      <x:c r="B170" s="7" t="str">
        <x:v>成都车祸致人死伤，警方通报</x:v>
      </x:c>
      <x:c r="C170" s="7" t="str">
        <x:v>界面新闻/成都交警</x:v>
      </x:c>
      <x:c r="D170" s="2" t="str">
        <x:v>2026-05-01</x:v>
      </x:c>
      <x:c r="E170" s="7" t="str">
        <x:v>https://www.jiemian.com/article/14379624.html</x:v>
      </x:c>
      <x:c r="F170" s="7"/>
      <x:c r="G170" s="2"/>
      <x:c r="H170" s="2" t="str">
        <x:v>官方媒体</x:v>
      </x:c>
      <x:c r="I170" s="2" t="str">
        <x:v>成都交警20260501</x:v>
      </x:c>
      <x:c r="J170" s="7" t="str">
        <x:v>C044</x:v>
      </x:c>
      <x:c r="K170" s="7" t="str">
        <x:v>完整通报31岁李某某转弯撞人后逃逸继续碰撞；1死11伤，初查交通肇事逃逸。</x:v>
      </x:c>
      <x:c r="L170" s="10" t="n">
        <x:v>46281</x:v>
      </x:c>
    </x:row>
    <x:row r="171" ht="38" customHeight="1">
      <x:c r="A171" s="2" t="str">
        <x:v>CS056</x:v>
      </x:c>
      <x:c r="B171" s="7" t="str">
        <x:v>沈阳大东商场外爆炸报道</x:v>
      </x:c>
      <x:c r="C171" s="7" t="str">
        <x:v>自由亚洲电台</x:v>
      </x:c>
      <x:c r="D171" s="2" t="str">
        <x:v>2025-01-27</x:v>
      </x:c>
      <x:c r="E171" s="7" t="str">
        <x:v>https://www.rfa.org/mandarin/shehui/2025/01/27/shenyang-food-shopping-mall-explosion-xi-jinping-inspection/</x:v>
      </x:c>
      <x:c r="F171" s="7"/>
      <x:c r="G171" s="2"/>
      <x:c r="H171" s="2" t="str">
        <x:v>独立媒体</x:v>
      </x:c>
      <x:c r="I171" s="2" t="str">
        <x:v>RFA夏小华乾朗沈阳20250127</x:v>
      </x:c>
      <x:c r="J171" s="7" t="str">
        <x:v>C045</x:v>
      </x:c>
      <x:c r="K171" s="7" t="str">
        <x:v>报道1月26日大东副食品商场外爆炸，原因及死伤未知；转述红星采访警方仍调查。政治动机仅评论猜测，不采纳。</x:v>
      </x:c>
      <x:c r="L171" s="10" t="n">
        <x:v>46281</x:v>
      </x:c>
    </x:row>
    <x:row r="172" ht="38" customHeight="1">
      <x:c r="A172" s="2" t="str">
        <x:v>CS057</x:v>
      </x:c>
      <x:c r="B172" s="7" t="str">
        <x:v>山东东平一中学门口校车失控致11死13伤，公交公司相关人员被带走</x:v>
      </x:c>
      <x:c r="C172" s="7" t="str">
        <x:v>界面新闻</x:v>
      </x:c>
      <x:c r="D172" s="2" t="str">
        <x:v>2024-09-03</x:v>
      </x:c>
      <x:c r="E172" s="7" t="str">
        <x:v>https://www.jiemian.com/article/11670636.html</x:v>
      </x:c>
      <x:c r="F172" s="7"/>
      <x:c r="G172" s="2"/>
      <x:c r="H172" s="2" t="str">
        <x:v>官方媒体</x:v>
      </x:c>
      <x:c r="I172" s="2" t="str">
        <x:v>东平公安20240903及界面新闻采访</x:v>
      </x:c>
      <x:c r="J172" s="7" t="str">
        <x:v>C046</x:v>
      </x:c>
      <x:c r="K172" s="7" t="str">
        <x:v>全文转载通报车辆失控，11死13伤；记者采访公交公司确认车辆与人员被调查。</x:v>
      </x:c>
      <x:c r="L172" s="10" t="n">
        <x:v>46281</x:v>
      </x:c>
    </x:row>
    <x:row r="173" ht="38" customHeight="1">
      <x:c r="A173" s="2" t="str">
        <x:v>CS058</x:v>
      </x:c>
      <x:c r="B173" s="7" t="str">
        <x:v>昆明警方发布警情通报</x:v>
      </x:c>
      <x:c r="C173" s="7" t="str">
        <x:v>云南网/昆明交警</x:v>
      </x:c>
      <x:c r="D173" s="2" t="str">
        <x:v>2025-07-21</x:v>
      </x:c>
      <x:c r="E173" s="7" t="str">
        <x:v>https://society.yunnan.cn/system/2025/07/21/033552544.shtml</x:v>
      </x:c>
      <x:c r="F173" s="7"/>
      <x:c r="G173" s="2"/>
      <x:c r="H173" s="2" t="str">
        <x:v>官方媒体</x:v>
      </x:c>
      <x:c r="I173" s="2" t="str">
        <x:v>昆明交警20250721</x:v>
      </x:c>
      <x:c r="J173" s="7" t="str">
        <x:v>C047</x:v>
      </x:c>
      <x:c r="K173" s="7" t="str">
        <x:v>7月20日49岁李某某越野车碰撞后逃逸，2死9伤；初查交通肇事逃逸。</x:v>
      </x:c>
      <x:c r="L173" s="10" t="n">
        <x:v>46281</x:v>
      </x:c>
    </x:row>
    <x:row r="174" ht="38" customHeight="1">
      <x:c r="A174" s="2" t="str">
        <x:v>CS059</x:v>
      </x:c>
      <x:c r="B174" s="7" t="str">
        <x:v>苏州日本母子遇袭案判死刑，日本外务省说明判决</x:v>
      </x:c>
      <x:c r="C174" s="7" t="str">
        <x:v>富士电视台FNN</x:v>
      </x:c>
      <x:c r="D174" s="2" t="str">
        <x:v>2025-01-23</x:v>
      </x:c>
      <x:c r="E174" s="7" t="str">
        <x:v>https://www.fnn.jp/articles/-/818910</x:v>
      </x:c>
      <x:c r="F174" s="7"/>
      <x:c r="G174" s="2"/>
      <x:c r="H174" s="2" t="str">
        <x:v>独立媒体</x:v>
      </x:c>
      <x:c r="I174" s="2" t="str">
        <x:v>日本外务省苏州判决20250123</x:v>
      </x:c>
      <x:c r="J174" s="7" t="str">
        <x:v>C013</x:v>
      </x:c>
      <x:c r="K174" s="7" t="str">
        <x:v>记者援引日本外务省说明：1月23日故意杀人罪死刑，无业被告因债务厌世杀伤3人，判决未谈是否针对日本人。</x:v>
      </x:c>
      <x:c r="L174" s="10" t="n">
        <x:v>46281</x:v>
      </x:c>
    </x:row>
    <x:row r="175" ht="38" customHeight="1">
      <x:c r="A175" s="2" t="str">
        <x:v>CS060</x:v>
      </x:c>
      <x:c r="B175" s="7" t="str">
        <x:v>为博关注行凶 深圳日本孩童遇袭案嫌犯被判死刑</x:v>
      </x:c>
      <x:c r="C175" s="7" t="str">
        <x:v>联合早报</x:v>
      </x:c>
      <x:c r="D175" s="2" t="str">
        <x:v>2025-01-24</x:v>
      </x:c>
      <x:c r="E175" s="7" t="str">
        <x:v>https://www.zaobao.com.sg/news/china/story20250124-5786878</x:v>
      </x:c>
      <x:c r="F175" s="7"/>
      <x:c r="G175" s="2"/>
      <x:c r="H175" s="2" t="str">
        <x:v>独立媒体</x:v>
      </x:c>
      <x:c r="I175" s="2" t="str">
        <x:v>联合早报林煇智及日本使馆说明20250124</x:v>
      </x:c>
      <x:c r="J175" s="7" t="str">
        <x:v>C013；C014</x:v>
      </x:c>
      <x:c r="K175" s="7" t="str">
        <x:v>驻深圳记者核实1月24日深圳宣判；援引日驻华大使介绍判决称买刀杀儿童为网络关注。亦记苏州1月23日死刑。</x:v>
      </x:c>
      <x:c r="L175" s="10" t="n">
        <x:v>46281</x:v>
      </x:c>
    </x:row>
    <x:row r="176" ht="38" customHeight="1">
      <x:c r="A176" s="2" t="str">
        <x:v>R_NBS_POP</x:v>
      </x:c>
      <x:c r="B176" s="7" t="str">
        <x:v>中国统计年鉴2025：分地区年末人口数</x:v>
      </x:c>
      <x:c r="C176" s="7" t="str">
        <x:v>国家统计局</x:v>
      </x:c>
      <x:c r="D176" s="2" t="str">
        <x:v>2025</x:v>
      </x:c>
      <x:c r="E176" s="7" t="str">
        <x:v>https://www.stats.gov.cn/sj/ndsj/2025/html/C02-05.jpg</x:v>
      </x:c>
      <x:c r="F176" s="7"/>
      <x:c r="G176" s="2"/>
      <x:c r="H176" s="2" t="str">
        <x:v>统计</x:v>
      </x:c>
      <x:c r="I176" s="2" t="str">
        <x:v>NBS2025</x:v>
      </x:c>
      <x:c r="J176" s="7" t="str">
        <x:v>provincial_context</x:v>
      </x:c>
      <x:c r="K176" s="7" t="str">
        <x:v>31省2018—2024逐年数据，原表图片逐行转录；人口为年末常住人口，分省不含现役军人。</x:v>
      </x:c>
      <x:c r="L176" s="10" t="n">
        <x:v>46281</x:v>
      </x:c>
    </x:row>
    <x:row r="177" ht="38" customHeight="1">
      <x:c r="A177" s="2" t="str">
        <x:v>R_NBS_URBAN</x:v>
      </x:c>
      <x:c r="B177" s="7" t="str">
        <x:v>中国统计年鉴2025：分地区年末城镇人口比重</x:v>
      </x:c>
      <x:c r="C177" s="7" t="str">
        <x:v>国家统计局</x:v>
      </x:c>
      <x:c r="D177" s="2" t="str">
        <x:v>2025</x:v>
      </x:c>
      <x:c r="E177" s="7" t="str">
        <x:v>https://www.stats.gov.cn/sj/ndsj/2025/html/C02-06.jpg</x:v>
      </x:c>
      <x:c r="F177" s="7"/>
      <x:c r="G177" s="2"/>
      <x:c r="H177" s="2" t="str">
        <x:v>统计</x:v>
      </x:c>
      <x:c r="I177" s="2" t="str">
        <x:v>NBS2025</x:v>
      </x:c>
      <x:c r="J177" s="7" t="str">
        <x:v>provincial_context</x:v>
      </x:c>
      <x:c r="K177" s="7" t="str">
        <x:v>31省2018—2024逐年数据，原表图片逐行转录；人口为年末常住人口，分省不含现役军人。</x:v>
      </x:c>
      <x:c r="L177" s="10" t="n">
        <x:v>46281</x:v>
      </x:c>
    </x:row>
    <x:row r="178" ht="38" customHeight="1">
      <x:c r="A178" s="2" t="str">
        <x:v>R_NBS_INCOME</x:v>
      </x:c>
      <x:c r="B178" s="7" t="str">
        <x:v>中国统计年鉴2025：分地区居民人均可支配收入</x:v>
      </x:c>
      <x:c r="C178" s="7" t="str">
        <x:v>国家统计局</x:v>
      </x:c>
      <x:c r="D178" s="2" t="str">
        <x:v>2025</x:v>
      </x:c>
      <x:c r="E178" s="7" t="str">
        <x:v>https://www.stats.gov.cn/sj/ndsj/2025/html/C06-18.jpg</x:v>
      </x:c>
      <x:c r="F178" s="7"/>
      <x:c r="G178" s="2"/>
      <x:c r="H178" s="2" t="str">
        <x:v>统计</x:v>
      </x:c>
      <x:c r="I178" s="2" t="str">
        <x:v>NBS2025</x:v>
      </x:c>
      <x:c r="J178" s="7" t="str">
        <x:v>provincial_context</x:v>
      </x:c>
      <x:c r="K178" s="7" t="str">
        <x:v>31省2018—2024逐年数据，原表图片逐行转录；人口为年末常住人口，分省不含现役军人。</x:v>
      </x:c>
      <x:c r="L178" s="10" t="n">
        <x:v>46281</x:v>
      </x:c>
    </x:row>
    <x:row r="179" ht="38" customHeight="1">
      <x:c r="A179" s="2" t="str">
        <x:v>R_NBS_EMPLOYMENT</x:v>
      </x:c>
      <x:c r="B179" s="7" t="str">
        <x:v>中国统计年鉴2025：4-3分地区就业人员构成（2024年底数）</x:v>
      </x:c>
      <x:c r="C179" s="7" t="str">
        <x:v>国家统计局</x:v>
      </x:c>
      <x:c r="D179" s="2" t="str">
        <x:v>2025</x:v>
      </x:c>
      <x:c r="E179" s="7" t="str">
        <x:v>https://www.stats.gov.cn/sj/ndsj/2025/html/C04-03.jpg</x:v>
      </x:c>
      <x:c r="F179" s="7"/>
      <x:c r="G179" s="2"/>
      <x:c r="H179" s="2" t="str">
        <x:v>统计</x:v>
      </x:c>
      <x:c r="I179" s="2" t="str">
        <x:v>NBS2025</x:v>
      </x:c>
      <x:c r="J179" s="7" t="str">
        <x:v>provincial_context</x:v>
      </x:c>
      <x:c r="K179" s="7" t="str">
        <x:v>31省2024就业人员与第三产业就业人数，单位万人；就业结构不可当作失业率。</x:v>
      </x:c>
      <x:c r="L179" s="10" t="n">
        <x:v>46281</x:v>
      </x:c>
    </x:row>
    <x:row r="180" ht="38" customHeight="1">
      <x:c r="A180" s="2" t="str">
        <x:v>R_POP2025_MEDIA</x:v>
      </x:c>
      <x:c r="B180" s="7" t="str">
        <x:v>31省份去年常住人口数据公布（附31省2025年末人口表）</x:v>
      </x:c>
      <x:c r="C180" s="7" t="str">
        <x:v>第一财经</x:v>
      </x:c>
      <x:c r="D180" s="2" t="str">
        <x:v>2026-04-28</x:v>
      </x:c>
      <x:c r="E180" s="7" t="str">
        <x:v>https://m.yicai.com/news/103157557.html</x:v>
      </x:c>
      <x:c r="F180" s="7"/>
      <x:c r="G180" s="2"/>
      <x:c r="H180" s="2" t="str">
        <x:v>媒体统计整理</x:v>
      </x:c>
      <x:c r="I180" s="2" t="str">
        <x:v>YICAI20260428</x:v>
      </x:c>
      <x:c r="J180" s="7" t="str">
        <x:v>provincial_context</x:v>
      </x:c>
      <x:c r="K180" s="7" t="str">
        <x:v>据各省披露汇总31省2025年末人口；图表仅转录数值。与NBS年鉴口径分列，并保留原始统计公报追溯缺口。</x:v>
      </x:c>
      <x:c r="L180" s="10" t="n">
        <x:v>46281</x:v>
      </x:c>
    </x:row>
    <x:row r="181" ht="38" customHeight="1">
      <x:c r="A181" s="2" t="str">
        <x:v>R_SAFETY_SZ</x:v>
      </x:c>
      <x:c r="B181" s="7" t="str">
        <x:v>遇到有人企图持刀行凶怎么办？</x:v>
      </x:c>
      <x:c r="C181" s="7" t="str">
        <x:v>深圳市公安局</x:v>
      </x:c>
      <x:c r="D181" s="2" t="str">
        <x:v>2024-02-08</x:v>
      </x:c>
      <x:c r="E181" s="7" t="str">
        <x:v>https://ga.sz.gov.cn/gkmlpt/content/11/11134/post_11134265.html</x:v>
      </x:c>
      <x:c r="F181" s="7"/>
      <x:c r="G181" s="2"/>
      <x:c r="H181" s="2" t="str">
        <x:v>公安</x:v>
      </x:c>
      <x:c r="I181" s="2" t="str">
        <x:v>SZPSB20240208</x:v>
      </x:c>
      <x:c r="J181" s="7" t="str">
        <x:v>prevention</x:v>
      </x:c>
      <x:c r="K181" s="7" t="str">
        <x:v>确保自身安全后报警；脱险后在力所能及范围提醒其他人远离，并通知附近巡逻力量。检索工具呈现完整短文，直接打开曾超时。</x:v>
      </x:c>
      <x:c r="L181" s="10" t="n">
        <x:v>46281</x:v>
      </x:c>
    </x:row>
    <x:row r="182" ht="38" customHeight="1">
      <x:c r="A182" s="2" t="str">
        <x:v>R_SAFETY_MOE</x:v>
      </x:c>
      <x:c r="B182" s="7" t="str">
        <x:v>幼儿园应如何加强安全管理？</x:v>
      </x:c>
      <x:c r="C182" s="7" t="str">
        <x:v>教育部</x:v>
      </x:c>
      <x:c r="D182" s="2" t="str">
        <x:v>2025-05-19</x:v>
      </x:c>
      <x:c r="E182" s="7" t="str">
        <x:v>https://www.moe.gov.cn/jyb_xwfb/xw_zt/moe_357/2025/2025_zt09/nwwd/202505/t20250519_1191192.html</x:v>
      </x:c>
      <x:c r="F182" s="7"/>
      <x:c r="G182" s="2"/>
      <x:c r="H182" s="2" t="str">
        <x:v>公共安全指引</x:v>
      </x:c>
      <x:c r="I182" s="2" t="str">
        <x:v>MOE20250519</x:v>
      </x:c>
      <x:c r="J182" s="7" t="str">
        <x:v>prevention</x:v>
      </x:c>
      <x:c r="K182" s="7" t="str">
        <x:v>提出定期培训演练、门口硬质防冲撞设施、专职保安、一键紧急报警、视频监控和护学岗等措施。检索工具呈现完整正文，直接打开曾发生重定向循环。</x:v>
      </x:c>
      <x:c r="L182" s="10" t="n">
        <x:v>46281</x:v>
      </x:c>
    </x:row>
    <x:row r="183" ht="38" customHeight="1">
      <x:c r="A183" s="2" t="str">
        <x:v>R_SAFETY_UK</x:v>
      </x:c>
      <x:c r="B183" s="7" t="str">
        <x:v>RUN HIDE TELL</x:v>
      </x:c>
      <x:c r="C183" s="7" t="str">
        <x:v>英国反恐警务 ProtectUK</x:v>
      </x:c>
      <x:c r="D183" s="2" t="str">
        <x:v>2026-05-21</x:v>
      </x:c>
      <x:c r="E183" s="7" t="str">
        <x:v>https://www.protectuk.police.uk/advice-and-guidance/response/run-hide-tell</x:v>
      </x:c>
      <x:c r="F183" s="7"/>
      <x:c r="G183" s="2"/>
      <x:c r="H183" s="2" t="str">
        <x:v>公共安全指引</x:v>
      </x:c>
      <x:c r="I183" s="2" t="str">
        <x:v>PROTECTUK20260521</x:v>
      </x:c>
      <x:c r="J183" s="7" t="str">
        <x:v>prevention</x:v>
      </x:c>
      <x:c r="K183" s="7" t="str">
        <x:v>安全路线撤离，无法撤离时躲藏并减少暴露，在安全后报告事件、位置和伤亡。中国情境须使用110/120，不沿用英国报警号码。</x:v>
      </x:c>
      <x:c r="L183" s="10" t="n">
        <x:v>46281</x:v>
      </x:c>
    </x:row>
    <x:row r="184" ht="38" customHeight="1">
      <x:c r="A184" s="2" t="str">
        <x:v>R_NTAC2024</x:v>
      </x:c>
      <x:c r="B184" s="7" t="str">
        <x:v>Behavioral Threat Assessment Units: A Guide for State and Local Law Enforcement to Prevent Targeted Violence</x:v>
      </x:c>
      <x:c r="C184" s="7" t="str">
        <x:v>美国特勤局国家威胁评估中心</x:v>
      </x:c>
      <x:c r="D184" s="2" t="str">
        <x:v>2024-10-16</x:v>
      </x:c>
      <x:c r="E184" s="7" t="str">
        <x:v>https://www.secretservice.gov/sites/default/files/reports/2024-10/Behavioral-Threat-Assessment-Units-A-Guide-for-State-and-Local-Law-Enforcement-to-Prevent-Targeted-Violence.pdf</x:v>
      </x:c>
      <x:c r="F184" s="7"/>
      <x:c r="G184" s="2"/>
      <x:c r="H184" s="2" t="str">
        <x:v>研究与防范指引</x:v>
      </x:c>
      <x:c r="I184" s="2" t="str">
        <x:v>NTAC2024</x:v>
      </x:c>
      <x:c r="J184" s="7" t="str">
        <x:v>prevention</x:v>
      </x:c>
      <x:c r="K184" s="7" t="str">
        <x:v>第12页强调无法以特定人口画像识别施袭者，关注行为与沟通线索、旁观者报告和干预。第16页列出评估、管理和持续改进步骤。公共PDF已下载并用pypdf核对，研究背景为美国定向暴力，不可直接推为中国统计因果。</x:v>
      </x:c>
      <x:c r="L184" s="10" t="n">
        <x:v>46281</x:v>
      </x:c>
    </x:row>
    <x:row r="185" ht="38" customHeight="1">
      <x:c r="A185" s="2" t="str">
        <x:v>R_NBS_UNEMP</x:v>
      </x:c>
      <x:c r="B185" s="7" t="str">
        <x:v>什么是调查失业率</x:v>
      </x:c>
      <x:c r="C185" s="7" t="str">
        <x:v>国家统计局</x:v>
      </x:c>
      <x:c r="D185" s="2"/>
      <x:c r="E185" s="7" t="str">
        <x:v>https://www.stats.gov.cn/zs/tjws/tjzb/202301/t20230101_1903672.html</x:v>
      </x:c>
      <x:c r="F185" s="7"/>
      <x:c r="G185" s="2"/>
      <x:c r="H185" s="2" t="str">
        <x:v>统计</x:v>
      </x:c>
      <x:c r="I185" s="2" t="str">
        <x:v>NBS_METHOD</x:v>
      </x:c>
      <x:c r="J185" s="7" t="str">
        <x:v>context_method</x:v>
      </x:c>
      <x:c r="K185" s="7" t="str">
        <x:v>区分调查失业率口径；本研究未取得覆盖全研究期的同口径省级失业率面板，保留缺失，不用登记失业率替代。</x:v>
      </x:c>
      <x:c r="L185" s="10" t="n">
        <x:v>46281</x:v>
      </x:c>
    </x:row>
    <x:row r="186" ht="38" customHeight="1">
      <x:c r="A186" s="2" t="str">
        <x:v>R_GEO</x:v>
      </x:c>
      <x:c r="B186" s="7" t="str">
        <x:v>中国省级行政区地理边界</x:v>
      </x:c>
      <x:c r="C186" s="7" t="str">
        <x:v>阿里云DataV</x:v>
      </x:c>
      <x:c r="D186" s="2"/>
      <x:c r="E186" s="7" t="str">
        <x:v>https://geo.datav.aliyun.com/areas_v3/bound/100000_full.json</x:v>
      </x:c>
      <x:c r="F186" s="7"/>
      <x:c r="G186" s="2"/>
      <x:c r="H186" s="2" t="str">
        <x:v>地图</x:v>
      </x:c>
      <x:c r="I186" s="2" t="str">
        <x:v>DATAV</x:v>
      </x:c>
      <x:c r="J186" s="7" t="str">
        <x:v>map</x:v>
      </x:c>
      <x:c r="K186" s="7" t="str">
        <x:v>仅作为行政区可视化边界；分析范围为大陆31省级地区，港澳台不着统计色。</x:v>
      </x:c>
      <x:c r="L186" s="10" t="n">
        <x:v>46281</x:v>
      </x:c>
    </x:row>
    <x:row r="187" ht="38" customHeight="1">
      <x:c r="A187" s="2" t="str">
        <x:v>RS002</x:v>
      </x:c>
      <x:c r="B187" s="7" t="str">
        <x:v>办案检察官详解长春高空抛物致死案</x:v>
      </x:c>
      <x:c r="C187" s="7" t="str">
        <x:v>法治日报（澎湃转载）</x:v>
      </x:c>
      <x:c r="D187" s="2" t="str">
        <x:v>2023-12-16</x:v>
      </x:c>
      <x:c r="E187" s="7" t="str">
        <x:v>https://www.thepaper.cn/newsDetail_forward_25680410</x:v>
      </x:c>
      <x:c r="F187" s="7"/>
      <x:c r="G187" s="2"/>
      <x:c r="H187" s="2" t="str">
        <x:v>检察院与法院事实转载</x:v>
      </x:c>
      <x:c r="I187" s="2" t="str">
        <x:v>法治日报长春20231216</x:v>
      </x:c>
      <x:c r="J187" s="7" t="str">
        <x:v>B40a；B40b；B41</x:v>
      </x:c>
      <x:c r="K187" s="7" t="str">
        <x:v>法院查明6月17日16:30投水桶致1伤，22:40再次投罐装饮料致另1伤；6月22日21至23时投砖致1死。两个同日过程相隔6小时10分，分别计件。同源于BS43，不能当作额外独立印证。</x:v>
      </x:c>
      <x:c r="L187" s="10" t="n">
        <x:v>46281</x:v>
      </x:c>
    </x:row>
    <x:row r="188" ht="38" customHeight="1">
      <x:c r="A188" s="2" t="str">
        <x:v>RS001</x:v>
      </x:c>
      <x:c r="B188" s="7" t="str">
        <x:v>镇江精神疾患男子持2把菜刀砍伤7人 交警戴手套夺刀</x:v>
      </x:c>
      <x:c r="C188" s="7" t="str">
        <x:v>扬子晚报网／凤凰网江苏</x:v>
      </x:c>
      <x:c r="D188" s="2" t="str">
        <x:v>2018-08-22</x:v>
      </x:c>
      <x:c r="E188" s="7" t="str">
        <x:v>https://ijs.ifeng.com/6823540/news.shtml</x:v>
      </x:c>
      <x:c r="F188" s="7"/>
      <x:c r="G188" s="2"/>
      <x:c r="H188" s="2" t="str">
        <x:v>公安</x:v>
      </x:c>
      <x:c r="I188" s="2" t="str">
        <x:v>镇江润州公安20180821通气会</x:v>
      </x:c>
      <x:c r="J188" s="7" t="str">
        <x:v>A010</x:v>
      </x:c>
      <x:c r="K188" s="7" t="str">
        <x:v>记者报道8月21日警方通气会，伤者由初报5人更新为7人；警方披露沿途持刀伤人、砍伤过路女子并抢其电动车；嫌疑人另有伤情并送医。</x:v>
      </x:c>
      <x:c r="L188" s="10" t="n">
        <x:v>46281</x:v>
      </x:c>
    </x:row>
    <x:row r="189" ht="38" customHeight="1">
      <x:c r="A189" s="2" t="str">
        <x:v>RCS001</x:v>
      </x:c>
      <x:c r="B189" s="7" t="str">
        <x:v>云南镇雄医院持刀伤人男子已被抓获</x:v>
      </x:c>
      <x:c r="C189" s="7" t="str">
        <x:v>新京报</x:v>
      </x:c>
      <x:c r="D189" s="2" t="str">
        <x:v>2024-05-07</x:v>
      </x:c>
      <x:c r="E189" s="7" t="str">
        <x:v>https://m.bjnews.com.cn/detail/1715079361168094.html</x:v>
      </x:c>
      <x:c r="F189" s="7"/>
      <x:c r="G189" s="2" t="str">
        <x:v>正文已打开</x:v>
      </x:c>
      <x:c r="H189" s="2" t="str">
        <x:v>独立媒体（引述官方渠道）</x:v>
      </x:c>
      <x:c r="I189" s="2" t="str">
        <x:v>zhenxiong-bjnews-20240507</x:v>
      </x:c>
      <x:c r="J189" s="7" t="str">
        <x:v>C007</x:v>
      </x:c>
      <x:c r="K189" s="7" t="str">
        <x:v>记者闫沫琛、赵敏从当地官方渠道核实嫌犯被捕及伤者含儿童；正文转载警方2死21伤，未披露攻击选择方式。</x:v>
      </x:c>
      <x:c r="L189" s="10" t="n">
        <x:v>46281</x:v>
      </x:c>
    </x:row>
    <x:row r="190" ht="38" customHeight="1">
      <x:c r="A190" s="2" t="str">
        <x:v>RCS002</x:v>
      </x:c>
      <x:c r="B190" s="7" t="str">
        <x:v>广州一小学附近发生持刀伤人事件 三人受伤</x:v>
      </x:c>
      <x:c r="C190" s="7" t="str">
        <x:v>大皖新闻（极目新闻转载）</x:v>
      </x:c>
      <x:c r="D190" s="2" t="str">
        <x:v>2024-10-08</x:v>
      </x:c>
      <x:c r="E190" s="7" t="str">
        <x:v>https://www.ctdsb.net/c1716_202410/2273430.html</x:v>
      </x:c>
      <x:c r="F190" s="7"/>
      <x:c r="G190" s="2" t="str">
        <x:v>正文已打开</x:v>
      </x:c>
      <x:c r="H190" s="2" t="str">
        <x:v>公安与记者核实</x:v>
      </x:c>
      <x:c r="I190" s="2" t="str">
        <x:v>tianhe-police-20241008</x:v>
      </x:c>
      <x:c r="J190" s="7" t="str">
        <x:v>C015</x:v>
      </x:c>
      <x:c r="K190" s="7" t="str">
        <x:v>完整转载天河公安：华强路持刀伤害路人，3名群众受伤；记者联系辖区派出所确认发生。网友所述2儿童1女性与财新身份核实分开，不当独立现场采集。</x:v>
      </x:c>
      <x:c r="L190" s="10" t="n">
        <x:v>46281</x:v>
      </x:c>
    </x:row>
    <x:row r="191" ht="38" customHeight="1">
      <x:c r="A191" s="2" t="str">
        <x:v>RCS003</x:v>
      </x:c>
      <x:c r="B191" s="7" t="str">
        <x:v>刑释男子，在医院随机杀人</x:v>
      </x:c>
      <x:c r="C191" s="7" t="str">
        <x:v>南风窗（新浪转载）</x:v>
      </x:c>
      <x:c r="D191" s="2" t="str">
        <x:v>2024-05-08</x:v>
      </x:c>
      <x:c r="E191" s="7" t="str">
        <x:v>https://finance.sina.com.cn/wm/2024-05-08/doc-inaunxuw9473291.shtml</x:v>
      </x:c>
      <x:c r="F191" s="7"/>
      <x:c r="G191" s="2" t="str">
        <x:v>正文已打开</x:v>
      </x:c>
      <x:c r="H191" s="2" t="str">
        <x:v>独立媒体</x:v>
      </x:c>
      <x:c r="I191" s="2" t="str">
        <x:v>zhenxiong-nanfeng-20240508</x:v>
      </x:c>
      <x:c r="J191" s="7" t="str">
        <x:v>C007</x:v>
      </x:c>
      <x:c r="K191" s="7" t="str">
        <x:v>独立采访伤者之女，母亲陪儿童就诊时受伤；标题使用随机，但正文未明确施害者与伤者是否相识。记者比对旧案姓名、户籍、年龄，称匹配，不能推定旧案不满即本案动机。</x:v>
      </x:c>
      <x:c r="L191" s="10" t="n">
        <x:v>46281</x:v>
      </x:c>
    </x:row>
    <x:row r="192" ht="38" customHeight="1">
      <x:c r="A192" s="2" t="str">
        <x:v>RCS004</x:v>
      </x:c>
      <x:c r="B192" s="7" t="str">
        <x:v>警方通报街头持刀伤人致4伤</x:v>
      </x:c>
      <x:c r="C192" s="7" t="str">
        <x:v>封面新闻（新浪官方账号）</x:v>
      </x:c>
      <x:c r="D192" s="2" t="str">
        <x:v>2026-03-31</x:v>
      </x:c>
      <x:c r="E192" s="7" t="str">
        <x:v>https://k.sina.com.cn/article_1496814565_m593793e503301zdlw.html</x:v>
      </x:c>
      <x:c r="F192" s="7"/>
      <x:c r="G192" s="2" t="str">
        <x:v>正文已打开</x:v>
      </x:c>
      <x:c r="H192" s="2" t="str">
        <x:v>独立媒体</x:v>
      </x:c>
      <x:c r="I192" s="2" t="str">
        <x:v>wuhan-qingsong-cover-20260331</x:v>
      </x:c>
      <x:c r="J192" s="7" t="str">
        <x:v>C027</x:v>
      </x:c>
      <x:c r="K192" s="7" t="str">
        <x:v>封面记者现场走访店主：施害者平日住附近，目击者没有看到事情起因；见其水果刀伤人后又去另一店拿裁纸刀，民警与群众制服。没有明确证实受害者关系，不改变pending；不将异常观感写成精神医学诊断。</x:v>
      </x:c>
      <x:c r="L192" s="10" t="n">
        <x:v>46281</x:v>
      </x:c>
    </x:row>
    <x:row r="193" ht="38" customHeight="1">
      <x:c r="A193" s="2" t="str">
        <x:v>RSD001</x:v>
      </x:c>
      <x:c r="B193" s="7" t="str">
        <x:v>珠海警方通报重大恶性案件：35人死亡，43人受伤</x:v>
      </x:c>
      <x:c r="C193" s="7" t="str">
        <x:v>南海融媒／搜狐转载珠海公安</x:v>
      </x:c>
      <x:c r="D193" s="2" t="str">
        <x:v>2024-11-12</x:v>
      </x:c>
      <x:c r="E193" s="7" t="str">
        <x:v>https://www.sohu.com/a/826134372_355825</x:v>
      </x:c>
      <x:c r="F193" s="7"/>
      <x:c r="G193" s="2"/>
      <x:c r="H193" s="2" t="str">
        <x:v>公安</x:v>
      </x:c>
      <x:c r="I193" s="2" t="str">
        <x:v>zhuhai-police-20241112</x:v>
      </x:c>
      <x:c r="J193" s="7" t="str">
        <x:v>C001</x:v>
      </x:c>
      <x:c r="K193" s="7" t="str">
        <x:v>完整警情文字明确樊某男、62岁、离异；未披露职业。用于补年龄性别，不据司机一词推定以驾驶为职业。</x:v>
      </x:c>
      <x:c r="L193" s="10" t="n">
        <x:v>46281</x:v>
      </x:c>
    </x:row>
    <x:row r="194" ht="38" customHeight="1">
      <x:c r="A194" s="2" t="str">
        <x:v>RSD002</x:v>
      </x:c>
      <x:c r="B194" s="7" t="str">
        <x:v>案发一个月后落槌 湖南常德驾车撞人凶手获判死缓</x:v>
      </x:c>
      <x:c r="C194" s="7" t="str">
        <x:v>财新</x:v>
      </x:c>
      <x:c r="D194" s="2" t="str">
        <x:v>2024-12-23</x:v>
      </x:c>
      <x:c r="E194" s="7" t="str">
        <x:v>https://china.caixin.com/m/2024-12-23/102271255.html</x:v>
      </x:c>
      <x:c r="F194" s="7"/>
      <x:c r="G194" s="2"/>
      <x:c r="H194" s="2" t="str">
        <x:v>独立媒体</x:v>
      </x:c>
      <x:c r="I194" s="2" t="str">
        <x:v>changde-police-20241119</x:v>
      </x:c>
      <x:c r="J194" s="7" t="str">
        <x:v>C003</x:v>
      </x:c>
      <x:c r="K194" s="7" t="str">
        <x:v>正文引用11月19日鼎城区公安警情：黄某男39岁，并明确与后来被判死缓的黄文为同一人；未披露职业。</x:v>
      </x:c>
      <x:c r="L194" s="10" t="n">
        <x:v>46281</x:v>
      </x:c>
    </x:row>
    <x:row r="195" ht="38" customHeight="1">
      <x:c r="A195" s="2" t="str">
        <x:v>RSD003</x:v>
      </x:c>
      <x:c r="B195" s="7" t="str">
        <x:v>苏州警方通报日本公民遇袭事件：嫌犯已被刑拘</x:v>
      </x:c>
      <x:c r="C195" s="7" t="str">
        <x:v>澎湃新闻转载高新公安微警务</x:v>
      </x:c>
      <x:c r="D195" s="2" t="str">
        <x:v>2024-06-25</x:v>
      </x:c>
      <x:c r="E195" s="7" t="str">
        <x:v>https://www.thepaper.cn/newsDetail_forward_27849958</x:v>
      </x:c>
      <x:c r="F195" s="7"/>
      <x:c r="G195" s="2"/>
      <x:c r="H195" s="2" t="str">
        <x:v>公安</x:v>
      </x:c>
      <x:c r="I195" s="2" t="str">
        <x:v>suzhou-police-20240625</x:v>
      </x:c>
      <x:c r="J195" s="7" t="str">
        <x:v>C013</x:v>
      </x:c>
      <x:c r="K195" s="7" t="str">
        <x:v>警方案发次日通报周某某男52岁，为近期从外地来苏州的无业人员。仅补人口特征，不回退后续伤亡结论。</x:v>
      </x:c>
      <x:c r="L195" s="10" t="n">
        <x:v>46281</x:v>
      </x:c>
    </x:row>
    <x:row r="196" ht="38" customHeight="1">
      <x:c r="A196" s="2" t="str">
        <x:v>LXS26A01</x:v>
      </x:c>
      <x:c r="B196" s="7" t="str">
        <x:v>李老师：2026年12起线索及往年汇总</x:v>
      </x:c>
      <x:c r="C196" s="7" t="str">
        <x:v>李老师不是你老师／Instalker</x:v>
      </x:c>
      <x:c r="D196" s="2" t="str">
        <x:v>2026-04-02</x:v>
      </x:c>
      <x:c r="E196" s="7" t="str">
        <x:v>https://instalker.org/whyyoutouzhele/status/2039625155404509246</x:v>
      </x:c>
      <x:c r="F196" s="7" t="str">
        <x:v>https://x.com/whyyoutouzhele/status/2039625155404509246</x:v>
      </x:c>
      <x:c r="G196" s="2" t="str">
        <x:v>X原站访问失败；Instalker完整文字可读；Telegram 35533同源摘录可读</x:v>
      </x:c>
      <x:c r="H196" s="2" t="str">
        <x:v>汇编线索</x:v>
      </x:c>
      <x:c r="I196" s="2" t="str">
        <x:v>li-2039625155404509246</x:v>
      </x:c>
      <x:c r="J196" s="7" t="str">
        <x:v>LX26A01；LX26A02；LX26A03；LX26A04；LX26A05；LX26A06；LX26A07；LX26A08；LX26A09；LX26A10；LX26A11；C034；C027</x:v>
      </x:c>
      <x:c r="K196" s="7" t="str">
        <x:v>2026段列12项，深圳同一项含两地；名单混有交通事故、定向纠纷，部分日期与同期帖或警方通报不同，逐案复核。</x:v>
      </x:c>
      <x:c r="L196" s="10" t="n">
        <x:v>46281</x:v>
      </x:c>
    </x:row>
    <x:row r="197" ht="38" customHeight="1">
      <x:c r="A197" s="2" t="str">
        <x:v>LXS26A02</x:v>
      </x:c>
      <x:c r="B197" s="7" t="str">
        <x:v>中山港口货车冲撞线索</x:v>
      </x:c>
      <x:c r="C197" s="7" t="str">
        <x:v>李老师不是你老师／Telegram公开镜像</x:v>
      </x:c>
      <x:c r="D197" s="2" t="str">
        <x:v>2026-01-19</x:v>
      </x:c>
      <x:c r="E197" s="7" t="str">
        <x:v>https://t.me/s/lilaoshibushinilaoshi/28333</x:v>
      </x:c>
      <x:c r="F197" s="7" t="str">
        <x:v>https://x.com/whyyoutouzhele/status/2013240567606464850</x:v>
      </x:c>
      <x:c r="G197" s="2" t="str">
        <x:v>X仅登录外壳；Telegram文字可读</x:v>
      </x:c>
      <x:c r="H197" s="2" t="str">
        <x:v>汇编线索</x:v>
      </x:c>
      <x:c r="I197" s="2" t="str">
        <x:v>li-2013240567606464850</x:v>
      </x:c>
      <x:c r="J197" s="7" t="str">
        <x:v>LX26A01</x:v>
      </x:c>
      <x:c r="K197" s="7" t="str">
        <x:v>称1月19日港口镇货车冲撞及重复碾压；故意性、枪声等未获独立印证。</x:v>
      </x:c>
      <x:c r="L197" s="10" t="n">
        <x:v>46281</x:v>
      </x:c>
    </x:row>
    <x:row r="198" ht="38" customHeight="1">
      <x:c r="A198" s="2" t="str">
        <x:v>LXS26A03</x:v>
      </x:c>
      <x:c r="B198" s="7" t="str">
        <x:v>警方通报中山货车碰撞多车</x:v>
      </x:c>
      <x:c r="C198" s="7" t="str">
        <x:v>新黄河／新浪香港</x:v>
      </x:c>
      <x:c r="D198" s="2" t="str">
        <x:v>2026-01-19</x:v>
      </x:c>
      <x:c r="E198" s="7" t="str">
        <x:v>https://portal.sina.com.hk/news-china/sina/2026/01/19/1453890/</x:v>
      </x:c>
      <x:c r="F198" s="7"/>
      <x:c r="G198" s="2" t="str">
        <x:v>web正文访问失败；HTTP 200获取并核对完整文字</x:v>
      </x:c>
      <x:c r="H198" s="2" t="str">
        <x:v>官方媒体</x:v>
      </x:c>
      <x:c r="I198" s="2" t="str">
        <x:v>gangkou-police-20260119</x:v>
      </x:c>
      <x:c r="J198" s="7" t="str">
        <x:v>LX26A01</x:v>
      </x:c>
      <x:c r="K198" s="7" t="str">
        <x:v>通报世纪西路货车碰撞汽车、电动摩托，2伤；27岁司机被控制，语言行为异常，未定性故意袭击。</x:v>
      </x:c>
      <x:c r="L198" s="10" t="n">
        <x:v>46281</x:v>
      </x:c>
    </x:row>
    <x:row r="199" ht="38" customHeight="1">
      <x:c r="A199" s="2" t="str">
        <x:v>LXS26A04</x:v>
      </x:c>
      <x:c r="B199" s="7" t="str">
        <x:v>广州太和街头夫妻遇袭投稿</x:v>
      </x:c>
      <x:c r="C199" s="7" t="str">
        <x:v>李老师不是你老师／Telegram公开镜像</x:v>
      </x:c>
      <x:c r="D199" s="2" t="str">
        <x:v>2026-01-27</x:v>
      </x:c>
      <x:c r="E199" s="7" t="str">
        <x:v>https://t.me/s/lilaoshibushinilaoshi/28881</x:v>
      </x:c>
      <x:c r="F199" s="7" t="str">
        <x:v>https://x.com/whyyoutouzhele/status/2016096346025939186</x:v>
      </x:c>
      <x:c r="G199" s="2" t="str">
        <x:v>X原站403；Telegram公开页文字与原帖链接可读</x:v>
      </x:c>
      <x:c r="H199" s="2" t="str">
        <x:v>汇编线索</x:v>
      </x:c>
      <x:c r="I199" s="2" t="str">
        <x:v>social-taihe-20260126</x:v>
      </x:c>
      <x:c r="J199" s="7" t="str">
        <x:v>LX26A02</x:v>
      </x:c>
      <x:c r="K199" s="7" t="str">
        <x:v>原帖明确写1月26日，描述带孩子夫妻遇持刀袭击；癌症与伤情是投稿说法，汇总误写1月27日。</x:v>
      </x:c>
      <x:c r="L199" s="10" t="n">
        <x:v>46281</x:v>
      </x:c>
    </x:row>
    <x:row r="200" ht="38" customHeight="1">
      <x:c r="A200" s="2" t="str">
        <x:v>LXS26A05</x:v>
      </x:c>
      <x:c r="B200" s="7" t="str">
        <x:v>传广州街头持刀袭击夫妻</x:v>
      </x:c>
      <x:c r="C200" s="7" t="str">
        <x:v>新唐人</x:v>
      </x:c>
      <x:c r="D200" s="2" t="str">
        <x:v>2026-01-27</x:v>
      </x:c>
      <x:c r="E200" s="7" t="str">
        <x:v>https://www.ntdtv.com/b5/2026/01/27/a104060679.html</x:v>
      </x:c>
      <x:c r="F200" s="7"/>
      <x:c r="G200" s="2" t="str">
        <x:v>正文已打开</x:v>
      </x:c>
      <x:c r="H200" s="2" t="str">
        <x:v>独立媒体</x:v>
      </x:c>
      <x:c r="I200" s="2" t="str">
        <x:v>social-taihe-20260126</x:v>
      </x:c>
      <x:c r="J200" s="7" t="str">
        <x:v>LX26A02</x:v>
      </x:c>
      <x:c r="K200" s="7" t="str">
        <x:v>转述网络监控和知情网友，案发写1月26日；没有独立采访核实癌症、关系及死伤。</x:v>
      </x:c>
      <x:c r="L200" s="10" t="n">
        <x:v>46281</x:v>
      </x:c>
    </x:row>
    <x:row r="201" ht="38" customHeight="1">
      <x:c r="A201" s="2" t="str">
        <x:v>LXS26A06</x:v>
      </x:c>
      <x:c r="B201" s="7" t="str">
        <x:v>银川朝阳巷持刀杀人初帖</x:v>
      </x:c>
      <x:c r="C201" s="7" t="str">
        <x:v>李老师不是你老师／Telegram公开镜像</x:v>
      </x:c>
      <x:c r="D201" s="2" t="str">
        <x:v>2026-02-01</x:v>
      </x:c>
      <x:c r="E201" s="7" t="str">
        <x:v>https://t.me/s/lilaoshibushinilaoshi/29195</x:v>
      </x:c>
      <x:c r="F201" s="7" t="str">
        <x:v>https://x.com/whyyoutouzhele/status/2017756836741468453</x:v>
      </x:c>
      <x:c r="G201" s="2" t="str">
        <x:v>X cache miss；Telegram文字可读</x:v>
      </x:c>
      <x:c r="H201" s="2" t="str">
        <x:v>汇编线索</x:v>
      </x:c>
      <x:c r="I201" s="2" t="str">
        <x:v>li-2017756836741468453</x:v>
      </x:c>
      <x:c r="J201" s="7" t="str">
        <x:v>LX26A03</x:v>
      </x:c>
      <x:c r="K201" s="7" t="str">
        <x:v>初帖称税费口角，后续警方明确为同小区群组琐事争执约见，不能采信税费说法。</x:v>
      </x:c>
      <x:c r="L201" s="10" t="n">
        <x:v>46281</x:v>
      </x:c>
    </x:row>
    <x:row r="202" ht="38" customHeight="1">
      <x:c r="A202" s="2" t="str">
        <x:v>LXS26A07</x:v>
      </x:c>
      <x:c r="B202" s="7" t="str">
        <x:v>银川警方通报小区群争吵后持刀致1死</x:v>
      </x:c>
      <x:c r="C202" s="7" t="str">
        <x:v>平安兴庆／北京日报客户端</x:v>
      </x:c>
      <x:c r="D202" s="2" t="str">
        <x:v>2026-02-01</x:v>
      </x:c>
      <x:c r="E202" s="7" t="str">
        <x:v>https://xinwen.bjd.com.cn/content/s697ed8d6e4b0cd719e9d0524.html</x:v>
      </x:c>
      <x:c r="F202" s="7"/>
      <x:c r="G202" s="2" t="str">
        <x:v>正文已打开</x:v>
      </x:c>
      <x:c r="H202" s="2" t="str">
        <x:v>公安</x:v>
      </x:c>
      <x:c r="I202" s="2" t="str">
        <x:v>xingqing-police-20260201</x:v>
      </x:c>
      <x:c r="J202" s="7" t="str">
        <x:v>LX26A03</x:v>
      </x:c>
      <x:c r="K202" s="7" t="str">
        <x:v>1月31日同小区两居民群内口角后约见，44岁嫌疑人持刀杀死对方，被刑拘；未见无关受害者。</x:v>
      </x:c>
      <x:c r="L202" s="10" t="n">
        <x:v>46281</x:v>
      </x:c>
    </x:row>
    <x:row r="203" ht="38" customHeight="1">
      <x:c r="A203" s="2" t="str">
        <x:v>LXS26A08</x:v>
      </x:c>
      <x:c r="B203" s="7" t="str">
        <x:v>深圳万丰海岸城女子遭刺线索</x:v>
      </x:c>
      <x:c r="C203" s="7" t="str">
        <x:v>李老师不是你老师／Telegram公开镜像</x:v>
      </x:c>
      <x:c r="D203" s="2" t="str">
        <x:v>2026-02-03</x:v>
      </x:c>
      <x:c r="E203" s="7" t="str">
        <x:v>https://t.me/s/lilaoshibushinilaoshi/29367</x:v>
      </x:c>
      <x:c r="F203" s="7" t="str">
        <x:v>https://x.com/whyyoutouzhele/status/2018738337733914646</x:v>
      </x:c>
      <x:c r="G203" s="2" t="str">
        <x:v>X原站403；Telegram公开页文字与原帖链接可读</x:v>
      </x:c>
      <x:c r="H203" s="2" t="str">
        <x:v>汇编线索</x:v>
      </x:c>
      <x:c r="I203" s="2" t="str">
        <x:v>li-2018738337733914646</x:v>
      </x:c>
      <x:c r="J203" s="7" t="str">
        <x:v>LX26A04</x:v>
      </x:c>
      <x:c r="K203" s="7" t="str">
        <x:v>2月3日商场女子遭男子刺伤，群众和保安制止；关系、动机与伤亡未经警方或独立采访核实。</x:v>
      </x:c>
      <x:c r="L203" s="10" t="n">
        <x:v>46281</x:v>
      </x:c>
    </x:row>
    <x:row r="204" ht="38" customHeight="1">
      <x:c r="A204" s="2" t="str">
        <x:v>LXS26A09</x:v>
      </x:c>
      <x:c r="B204" s="7" t="str">
        <x:v>德润龙庭业主举报车辆冲撞原帖引用</x:v>
      </x:c>
      <x:c r="C204" s="7" t="str">
        <x:v>李老师不是你老师／Telegram公开镜像</x:v>
      </x:c>
      <x:c r="D204" s="2" t="str">
        <x:v>2026-02-12</x:v>
      </x:c>
      <x:c r="E204" s="7" t="str">
        <x:v>https://t.me/s/lilaoshibushinilaoshi/30537</x:v>
      </x:c>
      <x:c r="F204" s="7" t="str">
        <x:v>https://x.com/whyyoutouzhele/status/2021957529614659891</x:v>
      </x:c>
      <x:c r="G204" s="2" t="str">
        <x:v>X返回0行空页；Telegram后续帖中原帖引用文字可读</x:v>
      </x:c>
      <x:c r="H204" s="2" t="str">
        <x:v>汇编线索</x:v>
      </x:c>
      <x:c r="I204" s="2" t="str">
        <x:v>social-derun-202602</x:v>
      </x:c>
      <x:c r="J204" s="7" t="str">
        <x:v>LX26A05</x:v>
      </x:c>
      <x:c r="K204" s="7" t="str">
        <x:v>2月12日发布的举报未明确案发日，称开发商驾车冲撞维权一家；属于具名定向争议线索。</x:v>
      </x:c>
      <x:c r="L204" s="10" t="n">
        <x:v>46281</x:v>
      </x:c>
    </x:row>
    <x:row r="205" ht="38" customHeight="1">
      <x:c r="A205" s="2" t="str">
        <x:v>LXS26A10</x:v>
      </x:c>
      <x:c r="B205" s="7" t="str">
        <x:v>德润龙庭车辆冲撞举报后续</x:v>
      </x:c>
      <x:c r="C205" s="7" t="str">
        <x:v>李老师不是你老师／Telegram公开镜像</x:v>
      </x:c>
      <x:c r="D205" s="2" t="str">
        <x:v>2026-02-16</x:v>
      </x:c>
      <x:c r="E205" s="7" t="str">
        <x:v>https://t.me/s/lilaoshibushinilaoshi/30537</x:v>
      </x:c>
      <x:c r="F205" s="7" t="str">
        <x:v>https://x.com/whyyoutouzhele/status/2023245955009818757</x:v>
      </x:c>
      <x:c r="G205" s="2" t="str">
        <x:v>原X未另直开；Telegram后续文字和原X链接可读</x:v>
      </x:c>
      <x:c r="H205" s="2" t="str">
        <x:v>汇编线索</x:v>
      </x:c>
      <x:c r="I205" s="2" t="str">
        <x:v>social-derun-202602</x:v>
      </x:c>
      <x:c r="J205" s="7" t="str">
        <x:v>LX26A05</x:v>
      </x:c>
      <x:c r="K205" s="7" t="str">
        <x:v>称处罚为拘留5日，未取得处罚决定原文及独立调查；不据此认定刑事事实或无关公众受袭。</x:v>
      </x:c>
      <x:c r="L205" s="10" t="n">
        <x:v>46281</x:v>
      </x:c>
    </x:row>
    <x:row r="206" ht="38" customHeight="1">
      <x:c r="A206" s="2" t="str">
        <x:v>LXS26A11</x:v>
      </x:c>
      <x:c r="B206" s="7" t="str">
        <x:v>河南开封街头持刀线索</x:v>
      </x:c>
      <x:c r="C206" s="7" t="str">
        <x:v>李老师不是你老师／Telegram公开镜像</x:v>
      </x:c>
      <x:c r="D206" s="2" t="str">
        <x:v>2026-02-21</x:v>
      </x:c>
      <x:c r="E206" s="7" t="str">
        <x:v>https://t.me/s/lilaoshibushinilaoshi/30834</x:v>
      </x:c>
      <x:c r="F206" s="7" t="str">
        <x:v>https://x.com/whyyoutouzhele/status/2025057897718124649</x:v>
      </x:c>
      <x:c r="G206" s="2" t="str">
        <x:v>X仅登录外壳；Telegram文字可读</x:v>
      </x:c>
      <x:c r="H206" s="2" t="str">
        <x:v>汇编线索</x:v>
      </x:c>
      <x:c r="I206" s="2" t="str">
        <x:v>li-2025057897718124649</x:v>
      </x:c>
      <x:c r="J206" s="7" t="str">
        <x:v>LX26A06</x:v>
      </x:c>
      <x:c r="K206" s="7" t="str">
        <x:v>原帖仅写近日，无明确案发年月日；精神病与死亡均为未印证投稿，不把2月21日发帖日当案发日。</x:v>
      </x:c>
      <x:c r="L206" s="10" t="n">
        <x:v>46281</x:v>
      </x:c>
    </x:row>
    <x:row r="207" ht="38" customHeight="1">
      <x:c r="A207" s="2" t="str">
        <x:v>LXS26A12</x:v>
      </x:c>
      <x:c r="B207" s="7" t="str">
        <x:v>横琴女大学生遇袭初帖</x:v>
      </x:c>
      <x:c r="C207" s="7" t="str">
        <x:v>李老师不是你老师／Telegram公开镜像</x:v>
      </x:c>
      <x:c r="D207" s="2" t="str">
        <x:v>2026-03-22</x:v>
      </x:c>
      <x:c r="E207" s="7" t="str">
        <x:v>https://t.me/s/lilaoshibushinilaoshi/34174</x:v>
      </x:c>
      <x:c r="F207" s="7" t="str">
        <x:v>https://x.com/whyyoutouzhele/status/2035510951944819083</x:v>
      </x:c>
      <x:c r="G207" s="2" t="str">
        <x:v>X原站403；Telegram公开页文字与原帖链接可读</x:v>
      </x:c>
      <x:c r="H207" s="2" t="str">
        <x:v>汇编线索</x:v>
      </x:c>
      <x:c r="I207" s="2" t="str">
        <x:v>li-2035510951944819083</x:v>
      </x:c>
      <x:c r="J207" s="7" t="str">
        <x:v>LX26A07</x:v>
      </x:c>
      <x:c r="K207" s="7" t="str">
        <x:v>3月22日初帖日期和随机性为猜测；后续警方指出实际案发3月20日晚，为抢劫案。</x:v>
      </x:c>
      <x:c r="L207" s="10" t="n">
        <x:v>46281</x:v>
      </x:c>
    </x:row>
    <x:row r="208" ht="38" customHeight="1">
      <x:c r="A208" s="2" t="str">
        <x:v>LXS26A13</x:v>
      </x:c>
      <x:c r="B208" s="7" t="str">
        <x:v>横琴警方通报抢劫致1死</x:v>
      </x:c>
      <x:c r="C208" s="7" t="str">
        <x:v>横琴发布／北京日报客户端</x:v>
      </x:c>
      <x:c r="D208" s="2" t="str">
        <x:v>2026-03-22</x:v>
      </x:c>
      <x:c r="E208" s="7" t="str">
        <x:v>https://xinwen.bjd.com.cn/content/s69bf8e49e4b0cd719e9f5995.html</x:v>
      </x:c>
      <x:c r="F208" s="7"/>
      <x:c r="G208" s="2" t="str">
        <x:v>web打开失败；HTTP 200获取正文核对</x:v>
      </x:c>
      <x:c r="H208" s="2" t="str">
        <x:v>公安</x:v>
      </x:c>
      <x:c r="I208" s="2" t="str">
        <x:v>hengqin-police-20260322</x:v>
      </x:c>
      <x:c r="J208" s="7" t="str">
        <x:v>LX26A07</x:v>
      </x:c>
      <x:c r="K208" s="7" t="str">
        <x:v>警方确认3月20日晚26岁男子进入小区抢劫两人、1人死亡，3月21日抓获。受害关系和具体方式未披露。</x:v>
      </x:c>
      <x:c r="L208" s="10" t="n">
        <x:v>46281</x:v>
      </x:c>
    </x:row>
    <x:row r="209" ht="38" customHeight="1">
      <x:c r="A209" s="2" t="str">
        <x:v>LXS26A14</x:v>
      </x:c>
      <x:c r="B209" s="7" t="str">
        <x:v>重庆观音桥冲撞初帖</x:v>
      </x:c>
      <x:c r="C209" s="7" t="str">
        <x:v>李老师不是你老师／Telegram公开镜像</x:v>
      </x:c>
      <x:c r="D209" s="2" t="str">
        <x:v>2026-03-22</x:v>
      </x:c>
      <x:c r="E209" s="7" t="str">
        <x:v>https://t.me/s/lilaoshibushinilaoshi/34257</x:v>
      </x:c>
      <x:c r="F209" s="7" t="str">
        <x:v>https://x.com/whyyoutouzhele/status/2035710493772382393</x:v>
      </x:c>
      <x:c r="G209" s="2" t="str">
        <x:v>X仅登录外壳；Telegram文字可读</x:v>
      </x:c>
      <x:c r="H209" s="2" t="str">
        <x:v>汇编线索</x:v>
      </x:c>
      <x:c r="I209" s="2" t="str">
        <x:v>social-guanyinqiao-20260322</x:v>
      </x:c>
      <x:c r="J209" s="7" t="str">
        <x:v>LX26A08</x:v>
      </x:c>
      <x:c r="K209" s="7" t="str">
        <x:v>最初称疑似报复社会；本人翌日转述官方疑似疾病说法。</x:v>
      </x:c>
      <x:c r="L209" s="10" t="n">
        <x:v>46281</x:v>
      </x:c>
    </x:row>
    <x:row r="210" ht="38" customHeight="1">
      <x:c r="A210" s="2" t="str">
        <x:v>LXS26A15</x:v>
      </x:c>
      <x:c r="B210" s="7" t="str">
        <x:v>重庆交通事故警方通报及现场采访</x:v>
      </x:c>
      <x:c r="C210" s="7" t="str">
        <x:v>封面新闻／新浪官方账号</x:v>
      </x:c>
      <x:c r="D210" s="2" t="str">
        <x:v>2026-03-23</x:v>
      </x:c>
      <x:c r="E210" s="7" t="str">
        <x:v>https://k.sina.com.cn/article_1496814565_593793e502001z3i6.html</x:v>
      </x:c>
      <x:c r="F210" s="7"/>
      <x:c r="G210" s="2" t="str">
        <x:v>web cache miss；HTTP 200正文可读，包含完整警情通报</x:v>
      </x:c>
      <x:c r="H210" s="2" t="str">
        <x:v>独立媒体</x:v>
      </x:c>
      <x:c r="I210" s="2" t="str">
        <x:v>liangjiang-police-20260323</x:v>
      </x:c>
      <x:c r="J210" s="7" t="str">
        <x:v>LX26A08</x:v>
      </x:c>
      <x:c r="K210" s="7" t="str">
        <x:v>通报3月22日33岁司机疑似发病失控，司机死亡、3行人伤；记者现场采访确认伤者送医，未证故意性。</x:v>
      </x:c>
      <x:c r="L210" s="10" t="n">
        <x:v>46281</x:v>
      </x:c>
    </x:row>
    <x:row r="211" ht="38" customHeight="1">
      <x:c r="A211" s="2" t="str">
        <x:v>LXS26A16</x:v>
      </x:c>
      <x:c r="B211" s="7" t="str">
        <x:v>深圳龙岗龙城街道持刀线索</x:v>
      </x:c>
      <x:c r="C211" s="7" t="str">
        <x:v>李老师不是你老师／Telegram公开镜像</x:v>
      </x:c>
      <x:c r="D211" s="2" t="str">
        <x:v>2026-03-26</x:v>
      </x:c>
      <x:c r="E211" s="7" t="str">
        <x:v>https://t.me/s/lilaoshibushinilaoshi/34802</x:v>
      </x:c>
      <x:c r="F211" s="7" t="str">
        <x:v>https://x.com/whyyoutouzhele/status/2037212487309742093</x:v>
      </x:c>
      <x:c r="G211" s="2" t="str">
        <x:v>X原站403；Telegram公开页文字与原帖链接可读</x:v>
      </x:c>
      <x:c r="H211" s="2" t="str">
        <x:v>汇编线索</x:v>
      </x:c>
      <x:c r="I211" s="2" t="str">
        <x:v>li-2037212487309742093</x:v>
      </x:c>
      <x:c r="J211" s="7" t="str">
        <x:v>LX26A09</x:v>
      </x:c>
      <x:c r="K211" s="7" t="str">
        <x:v>称3月26日晚快递装束男子攻击两学生；身份、伤亡及冲突起因均未核实。</x:v>
      </x:c>
      <x:c r="L211" s="10" t="n">
        <x:v>46281</x:v>
      </x:c>
    </x:row>
    <x:row r="212" ht="38" customHeight="1">
      <x:c r="A212" s="2" t="str">
        <x:v>LXS26A17</x:v>
      </x:c>
      <x:c r="B212" s="7" t="str">
        <x:v>深圳罗湖东门学生遇袭线索</x:v>
      </x:c>
      <x:c r="C212" s="7" t="str">
        <x:v>李老师不是你老师／Telegram公开镜像</x:v>
      </x:c>
      <x:c r="D212" s="2" t="str">
        <x:v>2026-03-26</x:v>
      </x:c>
      <x:c r="E212" s="7" t="str">
        <x:v>https://t.me/s/lilaoshibushinilaoshi/34812</x:v>
      </x:c>
      <x:c r="F212" s="7" t="str">
        <x:v>https://x.com/whyyoutouzhele/status/2037239673907535998</x:v>
      </x:c>
      <x:c r="G212" s="2" t="str">
        <x:v>X原站403；Telegram公开页文字与原帖链接可读</x:v>
      </x:c>
      <x:c r="H212" s="2" t="str">
        <x:v>汇编线索</x:v>
      </x:c>
      <x:c r="I212" s="2" t="str">
        <x:v>li-2037239673907535998</x:v>
      </x:c>
      <x:c r="J212" s="7" t="str">
        <x:v>LX26A10</x:v>
      </x:c>
      <x:c r="K212" s="7" t="str">
        <x:v>称3月26日上午东门学生受袭；后续中央政法委事迹证实清晨女学生遇袭及救人者死亡。</x:v>
      </x:c>
      <x:c r="L212" s="10" t="n">
        <x:v>46281</x:v>
      </x:c>
    </x:row>
    <x:row r="213" ht="38" customHeight="1">
      <x:c r="A213" s="2" t="str">
        <x:v>LXS26A18</x:v>
      </x:c>
      <x:c r="B213" s="7" t="str">
        <x:v>2026年第二季度见义勇为勇士榜事迹</x:v>
      </x:c>
      <x:c r="C213" s="7" t="str">
        <x:v>中央政法委／最高人民法院</x:v>
      </x:c>
      <x:c r="D213" s="2" t="str">
        <x:v>2026-07-09</x:v>
      </x:c>
      <x:c r="E213" s="7" t="str">
        <x:v>https://www.court.gov.cn/zixun/xiangqing/505401.html</x:v>
      </x:c>
      <x:c r="F213" s="7"/>
      <x:c r="G213" s="2" t="str">
        <x:v>正文已打开</x:v>
      </x:c>
      <x:c r="H213" s="2" t="str">
        <x:v>官方材料</x:v>
      </x:c>
      <x:c r="I213" s="2" t="str">
        <x:v>central-bravery-2026q2</x:v>
      </x:c>
      <x:c r="J213" s="7" t="str">
        <x:v>LX26A10；LX26A12；LX26A13；LX26A14；LX26A23</x:v>
      </x:c>
      <x:c r="K213" s="7" t="str">
        <x:v>官方事迹确认昆明1月15日无故伤路人、白沙2月4日纠纷伤人并伤救助者、上海3月24日定向伤妻、深圳3月26日袭学生致救助者死亡。；另记载3月26日锡林浩特公交乘客攻击司机，并归因疾病发作，未披露医学诊断或行为意识。</x:v>
      </x:c>
      <x:c r="L213" s="10" t="n">
        <x:v>46281</x:v>
      </x:c>
    </x:row>
    <x:row r="214" ht="38" customHeight="1">
      <x:c r="A214" s="2" t="str">
        <x:v>LXS26A19</x:v>
      </x:c>
      <x:c r="B214" s="7" t="str">
        <x:v>杭州世嘉铭座入室伤人线索</x:v>
      </x:c>
      <x:c r="C214" s="7" t="str">
        <x:v>李老师不是你老师／Telegram公开镜像</x:v>
      </x:c>
      <x:c r="D214" s="2" t="str">
        <x:v>2026-03-31</x:v>
      </x:c>
      <x:c r="E214" s="7" t="str">
        <x:v>https://t.me/s/lilaoshibushinilaoshi/35338</x:v>
      </x:c>
      <x:c r="F214" s="7" t="str">
        <x:v>https://x.com/whyyoutouzhele/status/2038959494865313931</x:v>
      </x:c>
      <x:c r="G214" s="2" t="str">
        <x:v>X原站403；Telegram公开页文字与原帖链接可读</x:v>
      </x:c>
      <x:c r="H214" s="2" t="str">
        <x:v>汇编线索</x:v>
      </x:c>
      <x:c r="I214" s="2" t="str">
        <x:v>li-2038959494865313931</x:v>
      </x:c>
      <x:c r="J214" s="7" t="str">
        <x:v>LX26A11</x:v>
      </x:c>
      <x:c r="K214" s="7" t="str">
        <x:v>原帖称3月31日凌晨敲门刺伤住户；年龄、疾病、自杀说法均未独立核实。</x:v>
      </x:c>
      <x:c r="L214" s="10" t="n">
        <x:v>46281</x:v>
      </x:c>
    </x:row>
    <x:row r="215" ht="38" customHeight="1">
      <x:c r="A215" s="2" t="str">
        <x:v>LXS26A20</x:v>
      </x:c>
      <x:c r="B215" s="7" t="str">
        <x:v>北京大韩继集市铲车事件原帖引用</x:v>
      </x:c>
      <x:c r="C215" s="7" t="str">
        <x:v>李老师不是你老师／Telegram公开镜像</x:v>
      </x:c>
      <x:c r="D215" s="2" t="str">
        <x:v>2026-03-29</x:v>
      </x:c>
      <x:c r="E215" s="7" t="str">
        <x:v>https://t.me/s/lilaoshibushinilaoshi/35096</x:v>
      </x:c>
      <x:c r="F215" s="7" t="str">
        <x:v>https://x.com/whyyoutouzhele/status/2038169287744229772</x:v>
      </x:c>
      <x:c r="G215" s="2" t="str">
        <x:v>X原站403；Telegram公开页文字与原帖链接可读</x:v>
      </x:c>
      <x:c r="H215" s="2" t="str">
        <x:v>汇编线索</x:v>
      </x:c>
      <x:c r="I215" s="2" t="str">
        <x:v>网络视频房山20260329</x:v>
      </x:c>
      <x:c r="J215" s="7" t="str">
        <x:v>C034</x:v>
      </x:c>
      <x:c r="K215" s="7" t="str">
        <x:v>原帖称3月29日中午铲车冲入集市；数量、动机及因果待核；与既有C034同案。</x:v>
      </x:c>
      <x:c r="L215" s="10" t="n">
        <x:v>46281</x:v>
      </x:c>
    </x:row>
    <x:row r="216" ht="38" customHeight="1">
      <x:c r="A216" s="2" t="str">
        <x:v>LXS26A21</x:v>
      </x:c>
      <x:c r="B216" s="7" t="str">
        <x:v>武汉青松路持刀伤人帖</x:v>
      </x:c>
      <x:c r="C216" s="7" t="str">
        <x:v>李老师不是你老师／Telegram公开镜像</x:v>
      </x:c>
      <x:c r="D216" s="2" t="str">
        <x:v>2026-03-31</x:v>
      </x:c>
      <x:c r="E216" s="7" t="str">
        <x:v>https://t.me/s/lilaoshibushinilaoshi/35388</x:v>
      </x:c>
      <x:c r="F216" s="7" t="str">
        <x:v>https://x.com/whyyoutouzhele/status/2039111132950962182</x:v>
      </x:c>
      <x:c r="G216" s="2" t="str">
        <x:v>X原站403；Telegram公开页文字与原帖链接可读</x:v>
      </x:c>
      <x:c r="H216" s="2" t="str">
        <x:v>汇编线索</x:v>
      </x:c>
      <x:c r="I216" s="2" t="str">
        <x:v>social-qingsong-20260331</x:v>
      </x:c>
      <x:c r="J216" s="7" t="str">
        <x:v>C027</x:v>
      </x:c>
      <x:c r="K216" s="7" t="str">
        <x:v>称沿街攻击路人并引警方4伤通报；帖子错写嫌疑人41岁，警方44岁为准。</x:v>
      </x:c>
      <x:c r="L216" s="10" t="n">
        <x:v>46281</x:v>
      </x:c>
    </x:row>
    <x:row r="217" ht="38" customHeight="1">
      <x:c r="A217" s="2" t="str">
        <x:v>LXS26A22</x:v>
      </x:c>
      <x:c r="B217" s="7" t="str">
        <x:v>2026年第一季度见义勇为勇士榜事迹</x:v>
      </x:c>
      <x:c r="C217" s="7" t="str">
        <x:v>中央政法委／最高人民检察院</x:v>
      </x:c>
      <x:c r="D217" s="2" t="str">
        <x:v>2026-03-30</x:v>
      </x:c>
      <x:c r="E217" s="7" t="str">
        <x:v>https://www.spp.gov.cn/spp/zdgz/202603/t20260330_725001.shtml</x:v>
      </x:c>
      <x:c r="F217" s="7"/>
      <x:c r="G217" s="2" t="str">
        <x:v>web返回403；HTTP 200原站正文可读；人民公安报新浪转载交叉核对</x:v>
      </x:c>
      <x:c r="H217" s="2" t="str">
        <x:v>官方材料</x:v>
      </x:c>
      <x:c r="I217" s="2" t="str">
        <x:v>central-bravery-2026q1</x:v>
      </x:c>
      <x:c r="J217" s="7" t="str">
        <x:v>LX26A15；LX26A16；LX26A17；LX26A18；LX26A19</x:v>
      </x:c>
      <x:c r="K217" s="7" t="str">
        <x:v>官方事迹补得中山教培定向伤人、南昌店员伤案、沈阳伤女孩及救人者、重庆陌生女子遇袭、巧家追砍群众；明确案发日期。</x:v>
      </x:c>
      <x:c r="L217" s="10" t="n">
        <x:v>46281</x:v>
      </x:c>
    </x:row>
    <x:row r="218" ht="38" customHeight="1">
      <x:c r="A218" s="2" t="str">
        <x:v>LXS26A23</x:v>
      </x:c>
      <x:c r="B218" s="7" t="str">
        <x:v>南昌警方通报万象城伤人案</x:v>
      </x:c>
      <x:c r="C218" s="7" t="str">
        <x:v>南都N视频／南方网</x:v>
      </x:c>
      <x:c r="D218" s="2" t="str">
        <x:v>2026-01-11</x:v>
      </x:c>
      <x:c r="E218" s="7" t="str">
        <x:v>https://news.southcn.com/node_17a07e5926/5380726b23.shtml</x:v>
      </x:c>
      <x:c r="F218" s="7"/>
      <x:c r="G218" s="2" t="str">
        <x:v>正文已打开</x:v>
      </x:c>
      <x:c r="H218" s="2" t="str">
        <x:v>官方媒体</x:v>
      </x:c>
      <x:c r="I218" s="2" t="str">
        <x:v>honggutan-police-20260110</x:v>
      </x:c>
      <x:c r="J218" s="7" t="str">
        <x:v>LX26A15</x:v>
      </x:c>
      <x:c r="K218" s="7" t="str">
        <x:v>警方确认1月10日晚32岁男子持陶瓷水果刀划伤1女子，表皮伤，现场被控制。</x:v>
      </x:c>
      <x:c r="L218" s="10" t="n">
        <x:v>46281</x:v>
      </x:c>
    </x:row>
    <x:row r="219" ht="38" customHeight="1">
      <x:c r="A219" s="2" t="str">
        <x:v>LXS26A24</x:v>
      </x:c>
      <x:c r="B219" s="7" t="str">
        <x:v>南昌万象城安保制止持刀者获奖</x:v>
      </x:c>
      <x:c r="C219" s="7" t="str">
        <x:v>澎湃新闻</x:v>
      </x:c>
      <x:c r="D219" s="2" t="str">
        <x:v>2026-01-13</x:v>
      </x:c>
      <x:c r="E219" s="7" t="str">
        <x:v>https://www.thepaper.cn/newsDetail_forward_32373915</x:v>
      </x:c>
      <x:c r="F219" s="7"/>
      <x:c r="G219" s="2" t="str">
        <x:v>正文已打开</x:v>
      </x:c>
      <x:c r="H219" s="2" t="str">
        <x:v>独立媒体</x:v>
      </x:c>
      <x:c r="I219" s="2" t="str">
        <x:v>nanchang-mixc-award-20260113</x:v>
      </x:c>
      <x:c r="J219" s="7" t="str">
        <x:v>LX26A15</x:v>
      </x:c>
      <x:c r="K219" s="7" t="str">
        <x:v>报道安保制止男子时险被推下扶梯，并核见商场奖励通报；素材注明综合网络。</x:v>
      </x:c>
      <x:c r="L219" s="10" t="n">
        <x:v>46281</x:v>
      </x:c>
    </x:row>
    <x:row r="220" ht="38" customHeight="1">
      <x:c r="A220" s="2" t="str">
        <x:v>LXS26A25</x:v>
      </x:c>
      <x:c r="B220" s="7" t="str">
        <x:v>江苏喷火伤人线索</x:v>
      </x:c>
      <x:c r="C220" s="7" t="str">
        <x:v>李老师不是你老师／Telegram公开镜像</x:v>
      </x:c>
      <x:c r="D220" s="2" t="str">
        <x:v>2026-02-03</x:v>
      </x:c>
      <x:c r="E220" s="7" t="str">
        <x:v>https://t.me/s/lilaoshibushinilaoshi/29375</x:v>
      </x:c>
      <x:c r="F220" s="7" t="str">
        <x:v>https://x.com/whyyoutouzhele/status/2018814351998918831</x:v>
      </x:c>
      <x:c r="G220" s="2" t="str">
        <x:v>原X未另直开；Telegram公开页文字与原帖链接可读</x:v>
      </x:c>
      <x:c r="H220" s="2" t="str">
        <x:v>汇编线索</x:v>
      </x:c>
      <x:c r="I220" s="2" t="str">
        <x:v>social-jiangsu-fire-20260202</x:v>
      </x:c>
      <x:c r="J220" s="7" t="str">
        <x:v>LX26A20</x:v>
      </x:c>
      <x:c r="K220" s="7" t="str">
        <x:v>称2月2日江苏男子用喷火装置伤人；原因与死亡未独立核实。</x:v>
      </x:c>
      <x:c r="L220" s="10" t="n">
        <x:v>46281</x:v>
      </x:c>
    </x:row>
    <x:row r="221" ht="38" customHeight="1">
      <x:c r="A221" s="2" t="str">
        <x:v>LXS26A26</x:v>
      </x:c>
      <x:c r="B221" s="7" t="str">
        <x:v>江苏扬州网传喷火器伤人事件</x:v>
      </x:c>
      <x:c r="C221" s="7" t="str">
        <x:v>香港01／联合新闻网</x:v>
      </x:c>
      <x:c r="D221" s="2" t="str">
        <x:v>2026-02-04</x:v>
      </x:c>
      <x:c r="E221" s="7" t="str">
        <x:v>https://udn.com/news/story/7335/9309282</x:v>
      </x:c>
      <x:c r="F221" s="7"/>
      <x:c r="G221" s="2" t="str">
        <x:v>正文已打开</x:v>
      </x:c>
      <x:c r="H221" s="2" t="str">
        <x:v>独立媒体</x:v>
      </x:c>
      <x:c r="I221" s="2" t="str">
        <x:v>social-jiangsu-fire-20260202</x:v>
      </x:c>
      <x:c r="J221" s="7" t="str">
        <x:v>LX26A20</x:v>
      </x:c>
      <x:c r="K221" s="7" t="str">
        <x:v>转述2月2日网传影像及自称知情者；扬州位置和婚外关系均未获官方确认。与多家转发同素材，不算多源核实。</x:v>
      </x:c>
      <x:c r="L221" s="10" t="n">
        <x:v>46281</x:v>
      </x:c>
    </x:row>
    <x:row r="222" ht="38" customHeight="1">
      <x:c r="A222" s="2" t="str">
        <x:v>LXS26A27</x:v>
      </x:c>
      <x:c r="B222" s="7" t="str">
        <x:v>李川：深夜挺身挡利刃</x:v>
      </x:c>
      <x:c r="C222" s="7" t="str">
        <x:v>重庆市文明办／中国文明网</x:v>
      </x:c>
      <x:c r="D222" s="2" t="str">
        <x:v>2026-07-05</x:v>
      </x:c>
      <x:c r="E222" s="7" t="str">
        <x:v>https://www.wenming.cn/sbhr_pd/20260608/79715ed72bbf46df9c31f9262032df01/c.html</x:v>
      </x:c>
      <x:c r="F222" s="7"/>
      <x:c r="G222" s="2" t="str">
        <x:v>web重定向循环；HTTP 200原站正文核对</x:v>
      </x:c>
      <x:c r="H222" s="2" t="str">
        <x:v>官方媒体</x:v>
      </x:c>
      <x:c r="I222" s="2" t="str">
        <x:v>chongqing-civilization-lichuan-2026</x:v>
      </x:c>
      <x:c r="J222" s="7" t="str">
        <x:v>LX26A18</x:v>
      </x:c>
      <x:c r="K222" s="7" t="str">
        <x:v>明确1月27日女孩遭陌生男子尾随勒颈，代驾员护送时两人再遇持刀袭击；补足陌生受害关系。</x:v>
      </x:c>
      <x:c r="L222" s="10" t="n">
        <x:v>46281</x:v>
      </x:c>
    </x:row>
    <x:row r="223" ht="38" customHeight="1">
      <x:c r="A223" s="2" t="str">
        <x:v>LXS26A28</x:v>
      </x:c>
      <x:c r="B223" s="7" t="str">
        <x:v>武汉火锅店与广场舞纠纷致2伤</x:v>
      </x:c>
      <x:c r="C223" s="7" t="str">
        <x:v>锦观新闻／新浪</x:v>
      </x:c>
      <x:c r="D223" s="2" t="str">
        <x:v>2026-03-14</x:v>
      </x:c>
      <x:c r="E223" s="7" t="str">
        <x:v>https://finance.sina.com.cn/wm/2026-03-14/doc-inhqxwhs7505969.shtml</x:v>
      </x:c>
      <x:c r="F223" s="7"/>
      <x:c r="G223" s="2" t="str">
        <x:v>正文已打开</x:v>
      </x:c>
      <x:c r="H223" s="2" t="str">
        <x:v>独立媒体</x:v>
      </x:c>
      <x:c r="I223" s="2" t="str">
        <x:v>wuhan-dance-baixing-20260313</x:v>
      </x:c>
      <x:c r="J223" s="7" t="str">
        <x:v>LX26A21</x:v>
      </x:c>
      <x:c r="K223" s="7" t="str">
        <x:v>转引记者对商户和社区采访称3月11日火锅店主伤舞者及劝架者；未取得完整警方通报和第二独立采集。</x:v>
      </x:c>
      <x:c r="L223" s="10" t="n">
        <x:v>46281</x:v>
      </x:c>
    </x:row>
    <x:row r="224" ht="38" customHeight="1">
      <x:c r="A224" s="2" t="str">
        <x:v>LXS26A29</x:v>
      </x:c>
      <x:c r="B224" s="7" t="str">
        <x:v>重庆朝阳中学校园持刀争议与救助</x:v>
      </x:c>
      <x:c r="C224" s="7" t="str">
        <x:v>华商报大风新闻／凤凰网</x:v>
      </x:c>
      <x:c r="D224" s="2" t="str">
        <x:v>2026-05-09</x:v>
      </x:c>
      <x:c r="E224" s="7" t="str">
        <x:v>https://news.ifeng.com/c/8szHjTwGoiL</x:v>
      </x:c>
      <x:c r="F224" s="7"/>
      <x:c r="G224" s="2" t="str">
        <x:v>正文已打开</x:v>
      </x:c>
      <x:c r="H224" s="2" t="str">
        <x:v>独立媒体</x:v>
      </x:c>
      <x:c r="I224" s="2" t="str">
        <x:v>huashang-chaoyang-school-20260509</x:v>
      </x:c>
      <x:c r="J224" s="7" t="str">
        <x:v>LX26A22</x:v>
      </x:c>
      <x:c r="K224" s="7" t="str">
        <x:v>记者访家长称3月19日同学持刀伤人，校方否认；教委被转述确认日常矛盾冲突但称无伤，信息矛盾，无无关公众受袭证据。</x:v>
      </x:c>
      <x:c r="L224" s="10" t="n">
        <x:v>46281</x:v>
      </x:c>
    </x:row>
    <x:row r="225" ht="38" customHeight="1">
      <x:c r="A225" s="2" t="str">
        <x:v>LXS26A30</x:v>
      </x:c>
      <x:c r="B225" s="7" t="str">
        <x:v>武汉青松路现场影像的文字描述</x:v>
      </x:c>
      <x:c r="C225" s="7" t="str">
        <x:v>新唐人</x:v>
      </x:c>
      <x:c r="D225" s="2" t="str">
        <x:v>2026-03-31</x:v>
      </x:c>
      <x:c r="E225" s="7" t="str">
        <x:v>https://www.ntdtv.com/gb/2026/03/31/a104081779.html</x:v>
      </x:c>
      <x:c r="F225" s="7"/>
      <x:c r="G225" s="2" t="str">
        <x:v>正文已打开</x:v>
      </x:c>
      <x:c r="H225" s="2" t="str">
        <x:v>独立媒体</x:v>
      </x:c>
      <x:c r="I225" s="2" t="str">
        <x:v>social-qingsong-20260331</x:v>
      </x:c>
      <x:c r="J225" s="7" t="str">
        <x:v>C027</x:v>
      </x:c>
      <x:c r="K225" s="7" t="str">
        <x:v>描述网传连续片段中嫌疑人先袭摊贩、再刺路中男子、再伤经过女子；独立现场采访部分转引封面，不能视为新增独立采访。</x:v>
      </x:c>
      <x:c r="L225" s="10" t="n">
        <x:v>46281</x:v>
      </x:c>
    </x:row>
    <x:row r="226" ht="38" customHeight="1">
      <x:c r="A226" s="2" t="str">
        <x:v>LXS26A31</x:v>
      </x:c>
      <x:c r="B226" s="7" t="str">
        <x:v>深圳3月26日两起持刀事件报道</x:v>
      </x:c>
      <x:c r="C226" s="7" t="str">
        <x:v>看中国</x:v>
      </x:c>
      <x:c r="D226" s="2" t="str">
        <x:v>2026-03-27</x:v>
      </x:c>
      <x:c r="E226" s="7" t="str">
        <x:v>https://www.secretchina.com/news/gb/2026/04/09/1096914.html</x:v>
      </x:c>
      <x:c r="F226" s="7"/>
      <x:c r="G226" s="2" t="str">
        <x:v>搜索结果展示文本可读；2026-09-16直开正文返回Cache miss，直接HTTP访问发生SSL连接失败，未取得正文页面。</x:v>
      </x:c>
      <x:c r="H226" s="2" t="str">
        <x:v>独立媒体</x:v>
      </x:c>
      <x:c r="I226" s="2" t="str">
        <x:v>social-shenzhen-20260326</x:v>
      </x:c>
      <x:c r="J226" s="7" t="str">
        <x:v>LX26A09</x:v>
      </x:c>
      <x:c r="K226" s="7" t="str">
        <x:v>文本署3月27日但URL为4月9日；转述两地网络视频，罗湖上午与龙岗晚间、被述嫌疑人不同；伤亡冲突且均无独立采访核实。</x:v>
      </x:c>
      <x:c r="L226" s="10" t="n">
        <x:v>46281</x:v>
      </x:c>
    </x:row>
    <x:row r="227" ht="38" customHeight="1">
      <x:c r="A227" s="2" t="str">
        <x:v>LXS26B01</x:v>
      </x:c>
      <x:c r="B227" s="7" t="str">
        <x:v>中央政法委发布2026年第二季度见义勇为勇士榜</x:v>
      </x:c>
      <x:c r="C227" s="7" t="str">
        <x:v>最高人民法院（人民法院新闻传媒总社）</x:v>
      </x:c>
      <x:c r="D227" s="2" t="str">
        <x:v>2026-07-09</x:v>
      </x:c>
      <x:c r="E227" s="7" t="str">
        <x:v>https://www.court.gov.cn/zixun/xiangqing/505401.html</x:v>
      </x:c>
      <x:c r="F227" s="7"/>
      <x:c r="G227" s="2" t="str">
        <x:v>正文已访问</x:v>
      </x:c>
      <x:c r="H227" s="2" t="str">
        <x:v>官方媒体</x:v>
      </x:c>
      <x:c r="I227" s="2" t="str">
        <x:v>central-bravery-2026q2</x:v>
      </x:c>
      <x:c r="J227" s="7" t="str">
        <x:v>LX26B01；LX26B02；LX26B25</x:v>
      </x:c>
      <x:c r="K227" s="7" t="str">
        <x:v>官方事迹确认4月11日嘉禾外来男子无端袭击村民和过路女子；4月2日湖州员工刺负责人，救人同事被刺成重伤二级。另记4月7日山西供电职工追捕盗窃车辆时受伤，逃车危险动作与主动撞人须区分。</x:v>
      </x:c>
      <x:c r="L227" s="10" t="n">
        <x:v>46281</x:v>
      </x:c>
    </x:row>
    <x:row r="228" ht="38" customHeight="1">
      <x:c r="A228" s="2" t="str">
        <x:v>LXS26B02</x:v>
      </x:c>
      <x:c r="B228" s="7" t="str">
        <x:v>广州地铁一男子向乘客乱喷辣椒水，多方回应</x:v>
      </x:c>
      <x:c r="C228" s="7" t="str">
        <x:v>锦观新闻转载潇湘晨报、荔枝新闻</x:v>
      </x:c>
      <x:c r="D228" s="2" t="str">
        <x:v>2026-05-01</x:v>
      </x:c>
      <x:c r="E228" s="7" t="str">
        <x:v>https://finance.sina.com.cn/wm/2026-05-01/doc-inhwkpte5570692.shtml</x:v>
      </x:c>
      <x:c r="F228" s="7"/>
      <x:c r="G228" s="2" t="str">
        <x:v>正文已访问</x:v>
      </x:c>
      <x:c r="H228" s="2" t="str">
        <x:v>官方媒体</x:v>
      </x:c>
      <x:c r="I228" s="2" t="str">
        <x:v>guangzhou-pepper-2026-xiaoxiang-lizhi</x:v>
      </x:c>
      <x:c r="J228" s="7" t="str">
        <x:v>LX26B03</x:v>
      </x:c>
      <x:c r="K228" s="7" t="str">
        <x:v>分别转述潇湘晨报记者访问亲历者和联系地铁、公交警方，以及荔枝新闻的另一位亲历者与派出所回应。车厢乘客遭喷雾后咳嗽流泪；派出所人员称男子已被抓。</x:v>
      </x:c>
      <x:c r="L228" s="10" t="n">
        <x:v>46281</x:v>
      </x:c>
    </x:row>
    <x:row r="229" ht="38" customHeight="1">
      <x:c r="A229" s="2" t="str">
        <x:v>LXS26B03</x:v>
      </x:c>
      <x:c r="B229" s="7" t="str">
        <x:v>广州地铁传辣椒水袭击，一男子车厢内无差别狂喷</x:v>
      </x:c>
      <x:c r="C229" s="7" t="str">
        <x:v>中央社</x:v>
      </x:c>
      <x:c r="D229" s="2" t="str">
        <x:v>2026-05-01</x:v>
      </x:c>
      <x:c r="E229" s="7" t="str">
        <x:v>https://www.cna.com.tw/news/acn/202605010171.aspx</x:v>
      </x:c>
      <x:c r="F229" s="7"/>
      <x:c r="G229" s="2" t="str">
        <x:v>正文已访问</x:v>
      </x:c>
      <x:c r="H229" s="2" t="str">
        <x:v>独立媒体</x:v>
      </x:c>
      <x:c r="I229" s="2" t="str">
        <x:v>guangzhou-pepper-2026-xiaoxiang-lizhi</x:v>
      </x:c>
      <x:c r="J229" s="7" t="str">
        <x:v>LX26B03</x:v>
      </x:c>
      <x:c r="K229" s="7" t="str">
        <x:v>转述荔枝采访及现场视频；偷拍引发冲突仅为社交说法，与其他转述不另算独立采访。</x:v>
      </x:c>
      <x:c r="L229" s="10" t="n">
        <x:v>46281</x:v>
      </x:c>
    </x:row>
    <x:row r="230" ht="38" customHeight="1">
      <x:c r="A230" s="2" t="str">
        <x:v>LXS26B04</x:v>
      </x:c>
      <x:c r="B230" s="7" t="str">
        <x:v>广州地铁车厢喷雾事件现场核实</x:v>
      </x:c>
      <x:c r="C230" s="7" t="str">
        <x:v>广东广播电视台《今日关注》</x:v>
      </x:c>
      <x:c r="D230" s="2" t="str">
        <x:v>2026-05-02</x:v>
      </x:c>
      <x:c r="E230" s="7" t="str">
        <x:v>https://jingxuan.douyin.com/m/video/7635247540539034890</x:v>
      </x:c>
      <x:c r="F230" s="7"/>
      <x:c r="G230" s="2" t="str">
        <x:v>正文已访问</x:v>
      </x:c>
      <x:c r="H230" s="2" t="str">
        <x:v>官方媒体</x:v>
      </x:c>
      <x:c r="I230" s="2" t="str">
        <x:v>guangdong-tv-guangzhou-pepper-2026</x:v>
      </x:c>
      <x:c r="J230" s="7" t="str">
        <x:v>LX26B03</x:v>
      </x:c>
      <x:c r="K230" s="7" t="str">
        <x:v>广东台记者到体育西站采访核实，报道车内多人咳嗽流泪；工作人员要求等官方通报，警方尚未回复。视频发布页文字已访问，未下载影像。</x:v>
      </x:c>
      <x:c r="L230" s="10" t="n">
        <x:v>46281</x:v>
      </x:c>
    </x:row>
    <x:row r="231" ht="38" customHeight="1">
      <x:c r="A231" s="2" t="str">
        <x:v>LXS26B05</x:v>
      </x:c>
      <x:c r="B231" s="7" t="str">
        <x:v>广东惠州市一男子随机砍人 死伤5人</x:v>
      </x:c>
      <x:c r="C231" s="7" t="str">
        <x:v>大纪元</x:v>
      </x:c>
      <x:c r="D231" s="2" t="str">
        <x:v>2026-04-23</x:v>
      </x:c>
      <x:c r="E231" s="7" t="str">
        <x:v>https://www.epochtimes.com/gb/26/4/22/n14747616.htm</x:v>
      </x:c>
      <x:c r="F231" s="7"/>
      <x:c r="G231" s="2" t="str">
        <x:v>正文已访问</x:v>
      </x:c>
      <x:c r="H231" s="2" t="str">
        <x:v>独立媒体</x:v>
      </x:c>
      <x:c r="I231" s="2" t="str">
        <x:v>epoch-huizhou-20260422</x:v>
      </x:c>
      <x:c r="J231" s="7" t="str">
        <x:v>LX26B04；LX26B05</x:v>
      </x:c>
      <x:c r="K231" s="7" t="str">
        <x:v>记者采访当地学生转述亲友所见4月22日中园广场多人遭刀伤；另有受访者称数日前帝都酒店前发生持刀事件。精确伤亡和作案动机说法均未独立核实。</x:v>
      </x:c>
      <x:c r="L231" s="10" t="n">
        <x:v>46281</x:v>
      </x:c>
    </x:row>
    <x:row r="232" ht="38" customHeight="1">
      <x:c r="A232" s="2" t="str">
        <x:v>LXS26B06</x:v>
      </x:c>
      <x:c r="B232" s="7" t="str">
        <x:v>网友投稿：6月19日无锡车展车模遭持刀袭击</x:v>
      </x:c>
      <x:c r="C232" s="7" t="str">
        <x:v>李老师不是你老师（X）</x:v>
      </x:c>
      <x:c r="D232" s="2" t="str">
        <x:v>2026-06-21</x:v>
      </x:c>
      <x:c r="E232" s="7" t="str">
        <x:v>https://x.com/whyyoutouzhele/status/2068635036157644991</x:v>
      </x:c>
      <x:c r="F232" s="7" t="str">
        <x:v>https://x.com/whyyoutouzhele/status/2068635036157644991</x:v>
      </x:c>
      <x:c r="G232" s="2" t="str">
        <x:v>X原站返回空白，正文不可读</x:v>
      </x:c>
      <x:c r="H232" s="2" t="str">
        <x:v>汇编线索</x:v>
      </x:c>
      <x:c r="I232" s="2" t="str">
        <x:v>li-wuxi-2068635036157644991</x:v>
      </x:c>
      <x:c r="J232" s="7" t="str">
        <x:v>LX26B06</x:v>
      </x:c>
      <x:c r="K232" s="7" t="str">
        <x:v>原帖URL由X-Sou索引取得；本次原站未返回正文，不能视为现场独立核实。</x:v>
      </x:c>
      <x:c r="L232" s="10" t="n">
        <x:v>46281</x:v>
      </x:c>
    </x:row>
    <x:row r="233" ht="38" customHeight="1">
      <x:c r="A233" s="2" t="str">
        <x:v>LXS26B07</x:v>
      </x:c>
      <x:c r="B233" s="7" t="str">
        <x:v>李老师不是你老师投稿镜像：无锡车展持刀线索</x:v>
      </x:c>
      <x:c r="C233" s="7" t="str">
        <x:v>X-Sou镜像</x:v>
      </x:c>
      <x:c r="D233" s="2" t="str">
        <x:v>2026-06-21</x:v>
      </x:c>
      <x:c r="E233" s="7" t="str">
        <x:v>https://x-sou.com/en/u/whyyoutouzhele/2068635036157644991</x:v>
      </x:c>
      <x:c r="F233" s="7" t="str">
        <x:v>https://x.com/whyyoutouzhele/status/2068635036157644991</x:v>
      </x:c>
      <x:c r="G233" s="2" t="str">
        <x:v>搜索摘要可见；镜像正文访问失败；TwStalker替代镜像也失败</x:v>
      </x:c>
      <x:c r="H233" s="2" t="str">
        <x:v>汇编线索</x:v>
      </x:c>
      <x:c r="I233" s="2" t="str">
        <x:v>li-wuxi-2068635036157644991</x:v>
      </x:c>
      <x:c r="J233" s="7" t="str">
        <x:v>LX26B06</x:v>
      </x:c>
      <x:c r="K233" s="7" t="str">
        <x:v>搜索索引可见6月19日车展持刀攻击一名车模及安保制止的帖文文本；镜像正文打开失败，伤者关系、伤情与事件真实性待核。</x:v>
      </x:c>
      <x:c r="L233" s="10" t="n">
        <x:v>46281</x:v>
      </x:c>
    </x:row>
    <x:row r="234" ht="38" customHeight="1">
      <x:c r="A234" s="2" t="str">
        <x:v>LXS26B08</x:v>
      </x:c>
      <x:c r="B234" s="7" t="str">
        <x:v>山东滕州男子当街随机砍人 传7人被砍</x:v>
      </x:c>
      <x:c r="C234" s="7" t="str">
        <x:v>新唐人</x:v>
      </x:c>
      <x:c r="D234" s="2" t="str">
        <x:v>2026-07-03</x:v>
      </x:c>
      <x:c r="E234" s="7" t="str">
        <x:v>https://www.ntdtv.com/b5/2026/07/03/a104111939.html</x:v>
      </x:c>
      <x:c r="F234" s="7"/>
      <x:c r="G234" s="2" t="str">
        <x:v>正文已访问</x:v>
      </x:c>
      <x:c r="H234" s="2" t="str">
        <x:v>汇编线索</x:v>
      </x:c>
      <x:c r="I234" s="2" t="str">
        <x:v>ntd-tengzhou-20260628</x:v>
      </x:c>
      <x:c r="J234" s="7" t="str">
        <x:v>LX26B07</x:v>
      </x:c>
      <x:c r="K234" s="7" t="str">
        <x:v>转述6月28日和馨园附近家庭纠纷后沿街袭人及7人被砍传言，报道明确真实性不明；画面仅显示救护与控制男子，不能确定随机攻击全过程。</x:v>
      </x:c>
      <x:c r="L234" s="10" t="n">
        <x:v>46281</x:v>
      </x:c>
    </x:row>
    <x:row r="235" ht="38" customHeight="1">
      <x:c r="A235" s="2" t="str">
        <x:v>LXS26B09</x:v>
      </x:c>
      <x:c r="B235" s="7" t="str">
        <x:v>重庆理工一副校长遇刺身亡 凶手已被刑拘</x:v>
      </x:c>
      <x:c r="C235" s="7" t="str">
        <x:v>财新</x:v>
      </x:c>
      <x:c r="D235" s="2" t="str">
        <x:v>2026-06-05</x:v>
      </x:c>
      <x:c r="E235" s="7" t="str">
        <x:v>https://china.caixin.com/2026-06-05/102451487.html</x:v>
      </x:c>
      <x:c r="F235" s="7"/>
      <x:c r="G235" s="2" t="str">
        <x:v>正文已访问</x:v>
      </x:c>
      <x:c r="H235" s="2" t="str">
        <x:v>独立媒体</x:v>
      </x:c>
      <x:c r="I235" s="2" t="str">
        <x:v>banan-police-20260605</x:v>
      </x:c>
      <x:c r="J235" s="7" t="str">
        <x:v>LX26B08</x:v>
      </x:c>
      <x:c r="K235" s="7" t="str">
        <x:v>可见正文引警方通报称同事矛盾导致小区内持刀杀害同事，记者核实死者身份；无袭击无关公众证据。</x:v>
      </x:c>
      <x:c r="L235" s="10" t="n">
        <x:v>46281</x:v>
      </x:c>
    </x:row>
    <x:row r="236" ht="38" customHeight="1">
      <x:c r="A236" s="2" t="str">
        <x:v>LXS26B10</x:v>
      </x:c>
      <x:c r="B236" s="7" t="str">
        <x:v>广西桂林兴安发生爆炸事件 致7死17伤</x:v>
      </x:c>
      <x:c r="C236" s="7" t="str">
        <x:v>央广网转载兴安县公安局</x:v>
      </x:c>
      <x:c r="D236" s="2" t="str">
        <x:v>2026-06-11</x:v>
      </x:c>
      <x:c r="E236" s="7" t="str">
        <x:v>https://gx.cnr.cn/cnrgx/gxrd/20260611/t20260611_527656349.shtml</x:v>
      </x:c>
      <x:c r="F236" s="7"/>
      <x:c r="G236" s="2" t="str">
        <x:v>正文已访问</x:v>
      </x:c>
      <x:c r="H236" s="2" t="str">
        <x:v>公安</x:v>
      </x:c>
      <x:c r="I236" s="2" t="str">
        <x:v>xingan-police-20260611</x:v>
      </x:c>
      <x:c r="J236" s="7" t="str">
        <x:v>LX26B09</x:v>
      </x:c>
      <x:c r="K236" s="7" t="str">
        <x:v>通报6月11日1时40分灵湘路爆炸、7死、17人送医且另有轻伤；初步排除管道燃气，原因仍在调查，不等于确认人为袭击。</x:v>
      </x:c>
      <x:c r="L236" s="10" t="n">
        <x:v>46281</x:v>
      </x:c>
    </x:row>
    <x:row r="237" ht="38" customHeight="1">
      <x:c r="A237" s="2" t="str">
        <x:v>LXS26B11</x:v>
      </x:c>
      <x:c r="B237" s="7" t="str">
        <x:v>广西兴安发生爆炸事件 至少7死30余伤</x:v>
      </x:c>
      <x:c r="C237" s="7" t="str">
        <x:v>大纪元</x:v>
      </x:c>
      <x:c r="D237" s="2" t="str">
        <x:v>2026-06-11</x:v>
      </x:c>
      <x:c r="E237" s="7" t="str">
        <x:v>https://www.epochtimes.com/gb/26/6/11/n14786433.htm</x:v>
      </x:c>
      <x:c r="F237" s="7"/>
      <x:c r="G237" s="2" t="str">
        <x:v>正文已访问</x:v>
      </x:c>
      <x:c r="H237" s="2" t="str">
        <x:v>独立媒体</x:v>
      </x:c>
      <x:c r="I237" s="2" t="str">
        <x:v>epoch-xingan-20260611</x:v>
      </x:c>
      <x:c r="J237" s="7" t="str">
        <x:v>LX26B09</x:v>
      </x:c>
      <x:c r="K237" s="7" t="str">
        <x:v>附近居民接受采访描述爆炸和伤亡；老人报复、夫妻自杀、经济纠纷等多版本均被受访者标为传闻，不能确定人为性或动机。</x:v>
      </x:c>
      <x:c r="L237" s="10" t="n">
        <x:v>46281</x:v>
      </x:c>
    </x:row>
    <x:row r="238" ht="38" customHeight="1">
      <x:c r="A238" s="2" t="str">
        <x:v>LXS26B12</x:v>
      </x:c>
      <x:c r="B238" s="7" t="str">
        <x:v>郑州通报：宏达国际车业广场火灾系人为放火</x:v>
      </x:c>
      <x:c r="C238" s="7" t="str">
        <x:v>新华社</x:v>
      </x:c>
      <x:c r="D238" s="2" t="str">
        <x:v>2026-07-22</x:v>
      </x:c>
      <x:c r="E238" s="7" t="str">
        <x:v>https://www2.xinhuanet.com/20260722/4034673491c94719802e2cce2bf5f402/c.html</x:v>
      </x:c>
      <x:c r="F238" s="7"/>
      <x:c r="G238" s="2" t="str">
        <x:v>正文已访问</x:v>
      </x:c>
      <x:c r="H238" s="2" t="str">
        <x:v>公安</x:v>
      </x:c>
      <x:c r="I238" s="2" t="str">
        <x:v>jinshui-police-20260722</x:v>
      </x:c>
      <x:c r="J238" s="7" t="str">
        <x:v>LX26B10</x:v>
      </x:c>
      <x:c r="K238" s="7" t="str">
        <x:v>警方确认6月19日晚火灾由陆某因经营纠纷纵火造成，2死2伤，嫌疑人因涉嫌放火罪被批准逮捕。</x:v>
      </x:c>
      <x:c r="L238" s="10" t="n">
        <x:v>46281</x:v>
      </x:c>
    </x:row>
    <x:row r="239" ht="38" customHeight="1">
      <x:c r="A239" s="2" t="str">
        <x:v>LXS26B13</x:v>
      </x:c>
      <x:c r="B239" s="7" t="str">
        <x:v>郑州宏达国际车业广场火灾致2死2伤，警方：因经营纠纷纵火</x:v>
      </x:c>
      <x:c r="C239" s="7" t="str">
        <x:v>界面新闻</x:v>
      </x:c>
      <x:c r="D239" s="2" t="str">
        <x:v>2026-07-22</x:v>
      </x:c>
      <x:c r="E239" s="7" t="str">
        <x:v>https://www.jiemian.com/article/14808491.html</x:v>
      </x:c>
      <x:c r="F239" s="7"/>
      <x:c r="G239" s="2" t="str">
        <x:v>正文已访问</x:v>
      </x:c>
      <x:c r="H239" s="2" t="str">
        <x:v>独立媒体</x:v>
      </x:c>
      <x:c r="I239" s="2" t="str">
        <x:v>jinshui-police-20260722</x:v>
      </x:c>
      <x:c r="J239" s="7" t="str">
        <x:v>LX26B10</x:v>
      </x:c>
      <x:c r="K239" s="7" t="str">
        <x:v>完整转述警方及6月20日消防通报：三层商铺起火，疏散30人，2名轻伤者；未说明受害人与原经营纠纷关系。</x:v>
      </x:c>
      <x:c r="L239" s="10" t="n">
        <x:v>46281</x:v>
      </x:c>
    </x:row>
    <x:row r="240" ht="38" customHeight="1">
      <x:c r="A240" s="2" t="str">
        <x:v>LXS26B14</x:v>
      </x:c>
      <x:c r="B240" s="7" t="str">
        <x:v>五一长假 大陆连爆撞人砍人事件</x:v>
      </x:c>
      <x:c r="C240" s="7" t="str">
        <x:v>大纪元</x:v>
      </x:c>
      <x:c r="D240" s="2" t="str">
        <x:v>2026-05-05</x:v>
      </x:c>
      <x:c r="E240" s="7" t="str">
        <x:v>https://www.epochtimes.com/gb/26/5/3/n14755714.htm</x:v>
      </x:c>
      <x:c r="F240" s="7"/>
      <x:c r="G240" s="2" t="str">
        <x:v>正文已访问</x:v>
      </x:c>
      <x:c r="H240" s="2" t="str">
        <x:v>独立媒体</x:v>
      </x:c>
      <x:c r="I240" s="2" t="str">
        <x:v>epoch-pingyang-liuzhou-20260504</x:v>
      </x:c>
      <x:c r="J240" s="7" t="str">
        <x:v>LX26B11；C038</x:v>
      </x:c>
      <x:c r="K240" s="7" t="str">
        <x:v>采访称平阳5月3日临区菜市场道路车辆撞人，盗窃逃离、慌乱误踩等说法冲突；柳州采访仅补居民说法，未核实被害关系。</x:v>
      </x:c>
      <x:c r="L240" s="10" t="n">
        <x:v>46281</x:v>
      </x:c>
    </x:row>
    <x:row r="241" ht="38" customHeight="1">
      <x:c r="A241" s="2" t="str">
        <x:v>LXS26B15</x:v>
      </x:c>
      <x:c r="B241" s="7" t="str">
        <x:v>警方通报黑色路虎街头冲撞多车：2人伤8车受损</x:v>
      </x:c>
      <x:c r="C241" s="7" t="str">
        <x:v>观察者网转载衢州公安</x:v>
      </x:c>
      <x:c r="D241" s="2" t="str">
        <x:v>2026-04-14</x:v>
      </x:c>
      <x:c r="E241" s="7" t="str">
        <x:v>https://www.guancha.cn/politics/2026_04_14_813610.shtml</x:v>
      </x:c>
      <x:c r="F241" s="7"/>
      <x:c r="G241" s="2" t="str">
        <x:v>浏览器正文超时；随后通过公开网页HTML成功读取完整警方通报</x:v>
      </x:c>
      <x:c r="H241" s="2" t="str">
        <x:v>公安</x:v>
      </x:c>
      <x:c r="I241" s="2" t="str">
        <x:v>quzhou-police-20260414</x:v>
      </x:c>
      <x:c r="J241" s="7" t="str">
        <x:v>LX26B12</x:v>
      </x:c>
      <x:c r="K241" s="7" t="str">
        <x:v>完整读取警方转述：4月13日晚2人受伤、8车受损、36岁男驾驶人刑拘；网传3死不获支持。</x:v>
      </x:c>
      <x:c r="L241" s="10" t="n">
        <x:v>46281</x:v>
      </x:c>
    </x:row>
    <x:row r="242" ht="38" customHeight="1">
      <x:c r="A242" s="2" t="str">
        <x:v>LXS26B16</x:v>
      </x:c>
      <x:c r="B242" s="7" t="str">
        <x:v>福建南安水头镇发生交通事故，致2死1伤</x:v>
      </x:c>
      <x:c r="C242" s="7" t="str">
        <x:v>南方Plus客户端</x:v>
      </x:c>
      <x:c r="D242" s="2" t="str">
        <x:v>2026-04-19</x:v>
      </x:c>
      <x:c r="E242" s="7" t="str">
        <x:v>https://www.sohu.com/a/1011659164_100116740</x:v>
      </x:c>
      <x:c r="F242" s="7"/>
      <x:c r="G242" s="2" t="str">
        <x:v>浏览器正文超时；随后通过公开网页HTML成功读取南方+记者采访正文</x:v>
      </x:c>
      <x:c r="H242" s="2" t="str">
        <x:v>官方媒体</x:v>
      </x:c>
      <x:c r="I242" s="2" t="str">
        <x:v>nanfang-nanan-20260419</x:v>
      </x:c>
      <x:c r="J242" s="7" t="str">
        <x:v>LX26B13</x:v>
      </x:c>
      <x:c r="K242" s="7" t="str">
        <x:v>记者向南安市相关部门获悉逆向车辆撞倒群众2死1伤，原因仍查；酒驾仅网友说法。</x:v>
      </x:c>
      <x:c r="L242" s="10" t="n">
        <x:v>46281</x:v>
      </x:c>
    </x:row>
    <x:row r="243" ht="38" customHeight="1">
      <x:c r="A243" s="2" t="str">
        <x:v>LXS26B17</x:v>
      </x:c>
      <x:c r="B243" s="7" t="str">
        <x:v>网传海南儋州未成年人驾驶车辆连撞</x:v>
      </x:c>
      <x:c r="C243" s="7" t="str">
        <x:v>Telegram缅甸华人事件频道</x:v>
      </x:c>
      <x:c r="D243" s="2"/>
      <x:c r="E243" s="7" t="str">
        <x:v>https://t.me/s/tiquan87?before=40295</x:v>
      </x:c>
      <x:c r="F243" s="7"/>
      <x:c r="G243" s="2" t="str">
        <x:v>正文已访问</x:v>
      </x:c>
      <x:c r="H243" s="2" t="str">
        <x:v>汇编线索</x:v>
      </x:c>
      <x:c r="I243" s="2" t="str">
        <x:v>telegram-danzhou-20260407</x:v>
      </x:c>
      <x:c r="J243" s="7" t="str">
        <x:v>LX26B14</x:v>
      </x:c>
      <x:c r="K243" s="7" t="str">
        <x:v>频道转述4月7日儋州车辆连撞线索，并注明官方未通报；年龄、用药、死亡人数皆未核。</x:v>
      </x:c>
      <x:c r="L243" s="10" t="n">
        <x:v>46281</x:v>
      </x:c>
    </x:row>
    <x:row r="244" ht="38" customHeight="1">
      <x:c r="A244" s="2" t="str">
        <x:v>LXS26B18</x:v>
      </x:c>
      <x:c r="B244" s="7" t="str">
        <x:v>论坛评论中的2026年4月事件线索</x:v>
      </x:c>
      <x:c r="C244" s="7" t="str">
        <x:v>品葱用户评论</x:v>
      </x:c>
      <x:c r="D244" s="2" t="str">
        <x:v>2026-05-02</x:v>
      </x:c>
      <x:c r="E244" s="7" t="str">
        <x:v>https://pincong.rocks/article/92938</x:v>
      </x:c>
      <x:c r="F244" s="7"/>
      <x:c r="G244" s="2" t="str">
        <x:v>正文已访问</x:v>
      </x:c>
      <x:c r="H244" s="2" t="str">
        <x:v>汇编线索</x:v>
      </x:c>
      <x:c r="I244" s="2" t="str">
        <x:v>pincong-20260502-april-leads</x:v>
      </x:c>
      <x:c r="J244" s="7" t="str">
        <x:v>LX26B12；LX26B13；LX26B14；LX26B15</x:v>
      </x:c>
      <x:c r="K244" s="7" t="str">
        <x:v>5月2日评论列4月17日临沂面粉厂疑似纵火，并列衢州、儋州、南安等线索；不是现场采集或官方确认。</x:v>
      </x:c>
      <x:c r="L244" s="10" t="n">
        <x:v>46281</x:v>
      </x:c>
    </x:row>
    <x:row r="245" ht="38" customHeight="1">
      <x:c r="A245" s="2" t="str">
        <x:v>LXS26B19</x:v>
      </x:c>
      <x:c r="B245" s="7" t="str">
        <x:v>新闻第一线节目中的2026年6月车辆事件回顾</x:v>
      </x:c>
      <x:c r="C245" s="7" t="str">
        <x:v>新唐人</x:v>
      </x:c>
      <x:c r="D245" s="2" t="str">
        <x:v>2026-08-17</x:v>
      </x:c>
      <x:c r="E245" s="7" t="str">
        <x:v>https://www.ntdtv.com/gb/2026/08/17/a104124869.html</x:v>
      </x:c>
      <x:c r="F245" s="7"/>
      <x:c r="G245" s="2" t="str">
        <x:v>正文已访问</x:v>
      </x:c>
      <x:c r="H245" s="2" t="str">
        <x:v>汇编线索</x:v>
      </x:c>
      <x:c r="I245" s="2" t="str">
        <x:v>ntd-commentary-20260817</x:v>
      </x:c>
      <x:c r="J245" s="7" t="str">
        <x:v>LX26B16；LX26B17</x:v>
      </x:c>
      <x:c r="K245" s="7" t="str">
        <x:v>节目简要提及6月随州大润发路段车辆冲撞及漯河连环车祸疑报复社会，未给案发日和原始来源；仅作低可信候选保留。</x:v>
      </x:c>
      <x:c r="L245" s="10" t="n">
        <x:v>46281</x:v>
      </x:c>
    </x:row>
    <x:row r="246" ht="38" customHeight="1">
      <x:c r="A246" s="2" t="str">
        <x:v>LXS26B20</x:v>
      </x:c>
      <x:c r="B246" s="7" t="str">
        <x:v>沈阳闹区街头发生随机砍人案 伤亡情况不明</x:v>
      </x:c>
      <x:c r="C246" s="7" t="str">
        <x:v>联合早报</x:v>
      </x:c>
      <x:c r="D246" s="2" t="str">
        <x:v>2026-04-06</x:v>
      </x:c>
      <x:c r="E246" s="7" t="str">
        <x:v>https://www.zaobao.com.sg/news/china/story20260406-8846459</x:v>
      </x:c>
      <x:c r="F246" s="7"/>
      <x:c r="G246" s="2" t="str">
        <x:v>正文已访问</x:v>
      </x:c>
      <x:c r="H246" s="2" t="str">
        <x:v>独立媒体</x:v>
      </x:c>
      <x:c r="I246" s="2" t="str">
        <x:v>shenyang-online-videos-20260404</x:v>
      </x:c>
      <x:c r="J246" s="7" t="str">
        <x:v>C037</x:v>
      </x:c>
      <x:c r="K246" s="7" t="str">
        <x:v>正文据网传视频描述至少三人受伤，并综合明报等；未显示独立访问现场证人，伤亡规模与凶手后续依然不明。</x:v>
      </x:c>
      <x:c r="L246" s="10" t="n">
        <x:v>46281</x:v>
      </x:c>
    </x:row>
    <x:row r="247" ht="38" customHeight="1">
      <x:c r="A247" s="2" t="str">
        <x:v>LXS26B21</x:v>
      </x:c>
      <x:c r="B247" s="7" t="str">
        <x:v>4月4日沈阳太原街恶性持刀事件投稿</x:v>
      </x:c>
      <x:c r="C247" s="7" t="str">
        <x:v>李老师不是你老师（X）</x:v>
      </x:c>
      <x:c r="D247" s="2" t="str">
        <x:v>2026-04-04</x:v>
      </x:c>
      <x:c r="E247" s="7" t="str">
        <x:v>https://x.com/whyyoutouzhele/status/2040449312027480228</x:v>
      </x:c>
      <x:c r="F247" s="7" t="str">
        <x:v>https://x.com/whyyoutouzhele/status/2040449312027480228</x:v>
      </x:c>
      <x:c r="G247" s="2" t="str">
        <x:v>原Twitter链接返回空白，无可读正文</x:v>
      </x:c>
      <x:c r="H247" s="2" t="str">
        <x:v>汇编线索</x:v>
      </x:c>
      <x:c r="I247" s="2" t="str">
        <x:v>li-shenyang-2040449312027480228</x:v>
      </x:c>
      <x:c r="J247" s="7" t="str">
        <x:v>C037</x:v>
      </x:c>
      <x:c r="K247" s="7" t="str">
        <x:v>原status URL从媒体内嵌引用提取，原站访问没有正文。</x:v>
      </x:c>
      <x:c r="L247" s="10" t="n">
        <x:v>46281</x:v>
      </x:c>
    </x:row>
    <x:row r="248" ht="38" customHeight="1">
      <x:c r="A248" s="2" t="str">
        <x:v>LXS26B22</x:v>
      </x:c>
      <x:c r="B248" s="7" t="str">
        <x:v>沈阳街头砍人事件报道及X内嵌帖文</x:v>
      </x:c>
      <x:c r="C248" s="7" t="str">
        <x:v>无忧资讯（自由时报等转述）</x:v>
      </x:c>
      <x:c r="D248" s="2" t="str">
        <x:v>2026-04-05</x:v>
      </x:c>
      <x:c r="E248" s="7" t="str">
        <x:v>https://info.51.ca/articles/1530102?wyacs=info-article-item-bt-related</x:v>
      </x:c>
      <x:c r="F248" s="7" t="str">
        <x:v>https://x.com/whyyoutouzhele/status/2040449312027480228</x:v>
      </x:c>
      <x:c r="G248" s="2" t="str">
        <x:v>转载页和嵌入帖文文字可读；原站返回空白</x:v>
      </x:c>
      <x:c r="H248" s="2" t="str">
        <x:v>汇编线索</x:v>
      </x:c>
      <x:c r="I248" s="2" t="str">
        <x:v>li-shenyang-2040449312027480228</x:v>
      </x:c>
      <x:c r="J248" s="7" t="str">
        <x:v>C037</x:v>
      </x:c>
      <x:c r="K248" s="7" t="str">
        <x:v>内嵌李老师4月4日帖文及原status链接，含多种未经证实伤亡说法；不将此转载与原帖计算为独立采集。</x:v>
      </x:c>
      <x:c r="L248" s="10" t="n">
        <x:v>46281</x:v>
      </x:c>
    </x:row>
    <x:row r="249" ht="38" customHeight="1">
      <x:c r="A249" s="2" t="str">
        <x:v>LXS26B23</x:v>
      </x:c>
      <x:c r="B249" s="7" t="str">
        <x:v>5月1日成都剑南大道车辆冲撞帖文</x:v>
      </x:c>
      <x:c r="C249" s="7" t="str">
        <x:v>李老师不是你老师（X）</x:v>
      </x:c>
      <x:c r="D249" s="2" t="str">
        <x:v>2026-05-01</x:v>
      </x:c>
      <x:c r="E249" s="7" t="str">
        <x:v>https://x.com/whyyoutouzhele/status/2050186973680463941</x:v>
      </x:c>
      <x:c r="F249" s="7" t="str">
        <x:v>https://x.com/whyyoutouzhele/status/2050186973680463941</x:v>
      </x:c>
      <x:c r="G249" s="2" t="str">
        <x:v>原站403 Forbidden</x:v>
      </x:c>
      <x:c r="H249" s="2" t="str">
        <x:v>汇编线索</x:v>
      </x:c>
      <x:c r="I249" s="2" t="str">
        <x:v>li-chengdu-2050186973680463941</x:v>
      </x:c>
      <x:c r="J249" s="7" t="str">
        <x:v>C044</x:v>
      </x:c>
      <x:c r="K249" s="7" t="str">
        <x:v>原status由当日讨论中的引用取得；原站403，不能据评论认定主动袭击。</x:v>
      </x:c>
      <x:c r="L249" s="10" t="n">
        <x:v>46281</x:v>
      </x:c>
    </x:row>
    <x:row r="250" ht="38" customHeight="1">
      <x:c r="A250" s="2" t="str">
        <x:v>LXS26B24</x:v>
      </x:c>
      <x:c r="B250" s="7" t="str">
        <x:v>成都剑南大道事件讨论与原帖链接</x:v>
      </x:c>
      <x:c r="C250" s="7" t="str">
        <x:v>品葱</x:v>
      </x:c>
      <x:c r="D250" s="2" t="str">
        <x:v>2026-05-01</x:v>
      </x:c>
      <x:c r="E250" s="7" t="str">
        <x:v>https://pincong.rocks/article/id-93529__sort_key-agree_count__sort-DESC</x:v>
      </x:c>
      <x:c r="F250" s="7" t="str">
        <x:v>https://x.com/whyyoutouzhele/status/2050186973680463941</x:v>
      </x:c>
      <x:c r="G250" s="2" t="str">
        <x:v>搜索结果可见原帖引用及讨论；页面打开失败；X原站403</x:v>
      </x:c>
      <x:c r="H250" s="2" t="str">
        <x:v>汇编线索</x:v>
      </x:c>
      <x:c r="I250" s="2" t="str">
        <x:v>li-chengdu-2050186973680463941</x:v>
      </x:c>
      <x:c r="J250" s="7" t="str">
        <x:v>C044</x:v>
      </x:c>
      <x:c r="K250" s="7" t="str">
        <x:v>评论保留李老师原status链接；讨论将事件称无差别，但没有独立调查可推翻警方肇事逃逸初查。</x:v>
      </x:c>
      <x:c r="L250" s="10" t="n">
        <x:v>46281</x:v>
      </x:c>
    </x:row>
    <x:row r="251" ht="38" customHeight="1">
      <x:c r="A251" s="2" t="str">
        <x:v>LXS26B25</x:v>
      </x:c>
      <x:c r="B251" s="7" t="str">
        <x:v>宁波工厂大火伴随爆炸声</x:v>
      </x:c>
      <x:c r="C251" s="7" t="str">
        <x:v>看中国</x:v>
      </x:c>
      <x:c r="D251" s="2" t="str">
        <x:v>2026-04-13</x:v>
      </x:c>
      <x:c r="E251" s="7" t="str">
        <x:v>https://www.secretchina.com/news/gb/2026/04/13/1097711.html</x:v>
      </x:c>
      <x:c r="F251" s="7"/>
      <x:c r="G251" s="2" t="str">
        <x:v>正文已访问</x:v>
      </x:c>
      <x:c r="H251" s="2" t="str">
        <x:v>汇编线索</x:v>
      </x:c>
      <x:c r="I251" s="2" t="str">
        <x:v>secretchina-ningbo-20260413</x:v>
      </x:c>
      <x:c r="J251" s="7" t="str">
        <x:v>LX26B18</x:v>
      </x:c>
      <x:c r="K251" s="7" t="str">
        <x:v>报道承认网传起火企业名称有误，并引述员工称焊接引燃废料；无可核实纵火证据。</x:v>
      </x:c>
      <x:c r="L251" s="10" t="n">
        <x:v>46281</x:v>
      </x:c>
    </x:row>
    <x:row r="252" ht="38" customHeight="1">
      <x:c r="A252" s="2" t="str">
        <x:v>LXS26B26</x:v>
      </x:c>
      <x:c r="B252" s="7" t="str">
        <x:v>宁波奉化一工业园区厂房起火，官方最新通报</x:v>
      </x:c>
      <x:c r="C252" s="7" t="str">
        <x:v>新黄河</x:v>
      </x:c>
      <x:c r="D252" s="2" t="str">
        <x:v>2026-04-13</x:v>
      </x:c>
      <x:c r="E252" s="7" t="str">
        <x:v>https://www.jinantimes.com.cn/news-7-5242526.html</x:v>
      </x:c>
      <x:c r="F252" s="7"/>
      <x:c r="G252" s="2" t="str">
        <x:v>正文已访问</x:v>
      </x:c>
      <x:c r="H252" s="2" t="str">
        <x:v>官方媒体</x:v>
      </x:c>
      <x:c r="I252" s="2" t="str">
        <x:v>fenghua-government-20260413</x:v>
      </x:c>
      <x:c r="J252" s="7" t="str">
        <x:v>LX26B18</x:v>
      </x:c>
      <x:c r="K252" s="7" t="str">
        <x:v>记者联系应急部门并全文转述奉化发布：尚桥工业园火灾扑灭，无人员伤亡，起火原因待查。</x:v>
      </x:c>
      <x:c r="L252" s="10" t="n">
        <x:v>46281</x:v>
      </x:c>
    </x:row>
    <x:row r="253" ht="38" customHeight="1">
      <x:c r="A253" s="2" t="str">
        <x:v>LXS26B27</x:v>
      </x:c>
      <x:c r="B253" s="7" t="str">
        <x:v>郴州70岁老人救助过路女子受重伤，当地拟申报见义勇为</x:v>
      </x:c>
      <x:c r="C253" s="7" t="str">
        <x:v>潇湘晨报·晨视频</x:v>
      </x:c>
      <x:c r="D253" s="2" t="str">
        <x:v>2026-04-27</x:v>
      </x:c>
      <x:c r="E253" s="7" t="str">
        <x:v>https://www.sohu.com/a/1015325759_120914498</x:v>
      </x:c>
      <x:c r="F253" s="7"/>
      <x:c r="G253" s="2" t="str">
        <x:v>正文已访问</x:v>
      </x:c>
      <x:c r="H253" s="2" t="str">
        <x:v>独立媒体</x:v>
      </x:c>
      <x:c r="I253" s="2" t="str">
        <x:v>xiaoxiang-jiahe-20260427</x:v>
      </x:c>
      <x:c r="J253" s="7" t="str">
        <x:v>LX26B01</x:v>
      </x:c>
      <x:c r="K253" s="7" t="str">
        <x:v>记者采访救人村民、其家人及县政法委；记述陌生男子先伤村民一家3人，再追打和拦截陌生路人，救援者也受伤。</x:v>
      </x:c>
      <x:c r="L253" s="10" t="n">
        <x:v>46281</x:v>
      </x:c>
    </x:row>
    <x:row r="254" ht="38" customHeight="1">
      <x:c r="A254" s="2" t="str">
        <x:v>LXS26B28</x:v>
      </x:c>
      <x:c r="B254" s="7" t="str">
        <x:v>网传泰安住宅楼爆炸线索</x:v>
      </x:c>
      <x:c r="C254" s="7" t="str">
        <x:v>中国新闻中心转载X用户罗翔——破幕推墙</x:v>
      </x:c>
      <x:c r="D254" s="2" t="str">
        <x:v>2026-04-29</x:v>
      </x:c>
      <x:c r="E254" s="7" t="str">
        <x:v>https://chinanewscenter.com/archives/54597</x:v>
      </x:c>
      <x:c r="F254" s="7" t="str">
        <x:v>https://x.com/LUOXIANG_PMTQ/status/2049510723479335144</x:v>
      </x:c>
      <x:c r="G254" s="2" t="str">
        <x:v>转载正文可读；原X帖经twitter链接打开失败（Cache miss）</x:v>
      </x:c>
      <x:c r="H254" s="2" t="str">
        <x:v>汇编线索</x:v>
      </x:c>
      <x:c r="I254" s="2" t="str">
        <x:v>luoxiang-taian-20260429</x:v>
      </x:c>
      <x:c r="J254" s="7" t="str">
        <x:v>LX26B19</x:v>
      </x:c>
      <x:c r="K254" s="7" t="str">
        <x:v>文章仅转引匿名投稿称住宅楼爆炸，未给地点或采访；事件本身、所谓干部身份与大规模伤亡均未获证实。</x:v>
      </x:c>
      <x:c r="L254" s="10" t="n">
        <x:v>46281</x:v>
      </x:c>
    </x:row>
    <x:row r="255" ht="38" customHeight="1">
      <x:c r="A255" s="2" t="str">
        <x:v>LXS26B29</x:v>
      </x:c>
      <x:c r="B255" s="7" t="str">
        <x:v>江苏如东倒车冲撞丧事现场，当地政府称操作不当</x:v>
      </x:c>
      <x:c r="C255" s="7" t="str">
        <x:v>第1眼TV-华龙网</x:v>
      </x:c>
      <x:c r="D255" s="2" t="str">
        <x:v>2026-06-15</x:v>
      </x:c>
      <x:c r="E255" s="7" t="str">
        <x:v>https://www.cqnews.net/web/content_1516186385103147008.html</x:v>
      </x:c>
      <x:c r="F255" s="7"/>
      <x:c r="G255" s="2" t="str">
        <x:v>正文已访问</x:v>
      </x:c>
      <x:c r="H255" s="2" t="str">
        <x:v>官方媒体</x:v>
      </x:c>
      <x:c r="I255" s="2" t="str">
        <x:v>rudong-government-20260615</x:v>
      </x:c>
      <x:c r="J255" s="7" t="str">
        <x:v>LX26B20</x:v>
      </x:c>
      <x:c r="K255" s="7" t="str">
        <x:v>全文转述政府情况通报：倒车操作不当，1人死亡7人受伤，其中1人伤势较重。</x:v>
      </x:c>
      <x:c r="L255" s="10" t="n">
        <x:v>46281</x:v>
      </x:c>
    </x:row>
    <x:row r="256" ht="38" customHeight="1">
      <x:c r="A256" s="2" t="str">
        <x:v>LXS26B30</x:v>
      </x:c>
      <x:c r="B256" s="7" t="str">
        <x:v>灌南警方通报醉驾交通事故造成2人死亡</x:v>
      </x:c>
      <x:c r="C256" s="7" t="str">
        <x:v>光明网（澎湃号）</x:v>
      </x:c>
      <x:c r="D256" s="2" t="str">
        <x:v>2026-06-16</x:v>
      </x:c>
      <x:c r="E256" s="7" t="str">
        <x:v>https://m.thepaper.cn/newsDetail_forward_33391579</x:v>
      </x:c>
      <x:c r="F256" s="7"/>
      <x:c r="G256" s="2" t="str">
        <x:v>浏览器抓取失败；随后通过公开网页HTML成功读取完整警方通报</x:v>
      </x:c>
      <x:c r="H256" s="2" t="str">
        <x:v>公安</x:v>
      </x:c>
      <x:c r="I256" s="2" t="str">
        <x:v>guannan-police-20260616</x:v>
      </x:c>
      <x:c r="J256" s="7" t="str">
        <x:v>LX26B21</x:v>
      </x:c>
      <x:c r="K256" s="7" t="str">
        <x:v>完整警方通报指23岁女子醉驾造成2人死亡、同车1人轻微伤，已刑拘；未表明主动袭人。</x:v>
      </x:c>
      <x:c r="L256" s="10" t="n">
        <x:v>46281</x:v>
      </x:c>
    </x:row>
    <x:row r="257" ht="38" customHeight="1">
      <x:c r="A257" s="2" t="str">
        <x:v>LXS26B31</x:v>
      </x:c>
      <x:c r="B257" s="7" t="str">
        <x:v>成都车辆碰撞事件现场目击者采访</x:v>
      </x:c>
      <x:c r="C257" s="7" t="str">
        <x:v>大纪元</x:v>
      </x:c>
      <x:c r="D257" s="2" t="str">
        <x:v>2026-05-02</x:v>
      </x:c>
      <x:c r="E257" s="7" t="str">
        <x:v>https://www.epochtimes.com/b5/26/5/1/n14754503.htm</x:v>
      </x:c>
      <x:c r="F257" s="7"/>
      <x:c r="G257" s="2" t="str">
        <x:v>正文已访问</x:v>
      </x:c>
      <x:c r="H257" s="2" t="str">
        <x:v>独立媒体</x:v>
      </x:c>
      <x:c r="I257" s="2" t="str">
        <x:v>epoch-chengdu-interviews-20260502</x:v>
      </x:c>
      <x:c r="J257" s="7" t="str">
        <x:v>C044</x:v>
      </x:c>
      <x:c r="K257" s="7" t="str">
        <x:v>两名化名目击者接受记者采访，描述多个路段连续碰撞及司机停车后取刀；其判断动机和推测死伤部分未经证实。</x:v>
      </x:c>
      <x:c r="L257" s="10" t="n">
        <x:v>46281</x:v>
      </x:c>
    </x:row>
    <x:row r="258" ht="38" customHeight="1">
      <x:c r="A258" s="2" t="str">
        <x:v>LXS26B32</x:v>
      </x:c>
      <x:c r="B258" s="7" t="str">
        <x:v>成都闹区开车冲撞多人，警方通报1死11伤</x:v>
      </x:c>
      <x:c r="C258" s="7" t="str">
        <x:v>中央社</x:v>
      </x:c>
      <x:c r="D258" s="2" t="str">
        <x:v>2026-05-01</x:v>
      </x:c>
      <x:c r="E258" s="7" t="str">
        <x:v>https://www.cna.com.tw/news/acn/202605010246.aspx</x:v>
      </x:c>
      <x:c r="F258" s="7" t="str">
        <x:v>https://x.com/whyyoutouzhele/status/2050186973680463941</x:v>
      </x:c>
      <x:c r="G258" s="2" t="str">
        <x:v>正文已访问</x:v>
      </x:c>
      <x:c r="H258" s="2" t="str">
        <x:v>独立媒体</x:v>
      </x:c>
      <x:c r="I258" s="2" t="str">
        <x:v>li-chengdu-2050186973680463941</x:v>
      </x:c>
      <x:c r="J258" s="7" t="str">
        <x:v>C044</x:v>
      </x:c>
      <x:c r="K258" s="7" t="str">
        <x:v>记者梳理李老师发布的行车记录影像，描述加速右转撞行人、逆上人行道后倒车再撞机车；并列警方事故后逃逸初查，影像来自同一X传播链。</x:v>
      </x:c>
      <x:c r="L258" s="10" t="n">
        <x:v>46281</x:v>
      </x:c>
    </x:row>
    <x:row r="259" ht="38" customHeight="1">
      <x:c r="A259" s="2" t="str">
        <x:v>LXS26B33</x:v>
      </x:c>
      <x:c r="B259" s="7" t="str">
        <x:v>天津津南6月26日疑似持刀斗殴帖文</x:v>
      </x:c>
      <x:c r="C259" s="7" t="str">
        <x:v>李老师不是你老师官方电报频道（自称）</x:v>
      </x:c>
      <x:c r="D259" s="2" t="str">
        <x:v>2026-06-27</x:v>
      </x:c>
      <x:c r="E259" s="7" t="str">
        <x:v>https://t.me/lilaoshibushinilaoshi/44470</x:v>
      </x:c>
      <x:c r="F259" s="7" t="str">
        <x:v>https://x.com/whyyoutouzhele/status/2070839570053095833</x:v>
      </x:c>
      <x:c r="G259" s="2" t="str">
        <x:v>Telegram公开频道HTML正文及2026-06-27时间戳可读；单帖嵌入页打开失败；X原站打开为0行空白</x:v>
      </x:c>
      <x:c r="H259" s="2" t="str">
        <x:v>汇编线索</x:v>
      </x:c>
      <x:c r="I259" s="2" t="str">
        <x:v>li-tianjin-2070839570053095833</x:v>
      </x:c>
      <x:c r="J259" s="7" t="str">
        <x:v>LX26B22</x:v>
      </x:c>
      <x:c r="K259" s="7" t="str">
        <x:v>镜像称正营路瞬新广场附近发生多人斗殴，有人疑持刀；原因及伤亡待警方通报，尚未独立验证。</x:v>
      </x:c>
      <x:c r="L259" s="10" t="n">
        <x:v>46281</x:v>
      </x:c>
    </x:row>
    <x:row r="260" ht="38" customHeight="1">
      <x:c r="A260" s="2" t="str">
        <x:v>LXS26B34</x:v>
      </x:c>
      <x:c r="B260" s="7" t="str">
        <x:v>北京官方通报小飞机撞击中国尊调查结果</x:v>
      </x:c>
      <x:c r="C260" s="7" t="str">
        <x:v>德国之声</x:v>
      </x:c>
      <x:c r="D260" s="2" t="str">
        <x:v>2026-07-02</x:v>
      </x:c>
      <x:c r="E260" s="7" t="str">
        <x:v>https://amp.dw.com/zh/北京官方通报小飞机撞击中国尊调查结果/a-77798673</x:v>
      </x:c>
      <x:c r="F260" s="7"/>
      <x:c r="G260" s="2" t="str">
        <x:v>正文已访问</x:v>
      </x:c>
      <x:c r="H260" s="2" t="str">
        <x:v>独立媒体</x:v>
      </x:c>
      <x:c r="I260" s="2" t="str">
        <x:v>chaoyang-government-20260702</x:v>
      </x:c>
      <x:c r="J260" s="7" t="str">
        <x:v>LX26B23</x:v>
      </x:c>
      <x:c r="K260" s="7" t="str">
        <x:v>转述7月2日调查：66岁男驾驶员偏离飞行区域后撞楼死亡，日记多次表露自杀想法；认定个人原因造成危害公共安全案件，未具体披露对楼内公众的伤害意图。</x:v>
      </x:c>
      <x:c r="L260" s="10" t="n">
        <x:v>46281</x:v>
      </x:c>
    </x:row>
    <x:row r="261" ht="38" customHeight="1">
      <x:c r="A261" s="2" t="str">
        <x:v>LXS26B35</x:v>
      </x:c>
      <x:c r="B261" s="7" t="str">
        <x:v>北京官方证实小飞机撞高楼，驾驶死亡13人伤</x:v>
      </x:c>
      <x:c r="C261" s="7" t="str">
        <x:v>中央社</x:v>
      </x:c>
      <x:c r="D261" s="2" t="str">
        <x:v>2026-06-27</x:v>
      </x:c>
      <x:c r="E261" s="7" t="str">
        <x:v>https://www.cna.com.tw/news/acn/202606270161.aspx</x:v>
      </x:c>
      <x:c r="F261" s="7"/>
      <x:c r="G261" s="2" t="str">
        <x:v>正文已访问</x:v>
      </x:c>
      <x:c r="H261" s="2" t="str">
        <x:v>独立媒体</x:v>
      </x:c>
      <x:c r="I261" s="2" t="str">
        <x:v>chaoyang-government-20260627</x:v>
      </x:c>
      <x:c r="J261" s="7" t="str">
        <x:v>LX26B23</x:v>
      </x:c>
      <x:c r="K261" s="7" t="str">
        <x:v>转述官方6月27日通报：6月26日17时55分航空器碰撞高层建筑，驾驶员1人死亡，现场13人受伤。</x:v>
      </x:c>
      <x:c r="L261" s="10" t="n">
        <x:v>46281</x:v>
      </x:c>
    </x:row>
    <x:row r="262" ht="38" customHeight="1">
      <x:c r="A262" s="2" t="str">
        <x:v>LXS26B36</x:v>
      </x:c>
      <x:c r="B262" s="7" t="str">
        <x:v>北京中信大厦飞机撞击帖文转述</x:v>
      </x:c>
      <x:c r="C262" s="7" t="str">
        <x:v>李老师不是你老师官方电报频道（自称）</x:v>
      </x:c>
      <x:c r="D262" s="2" t="str">
        <x:v>2026-06-27</x:v>
      </x:c>
      <x:c r="E262" s="7" t="str">
        <x:v>https://t.me/lilaoshibushinilaoshi/44453</x:v>
      </x:c>
      <x:c r="F262" s="7" t="str">
        <x:v>https://x.com/whyyoutouzhele/status/2070491014016520660</x:v>
      </x:c>
      <x:c r="G262" s="2" t="str">
        <x:v>Telegram公开频道HTML正文及2026-06-27时间戳可读；所引用X原帖打开0行空白</x:v>
      </x:c>
      <x:c r="H262" s="2" t="str">
        <x:v>汇编线索</x:v>
      </x:c>
      <x:c r="I262" s="2" t="str">
        <x:v>li-beijing-plane-2070491014016520660</x:v>
      </x:c>
      <x:c r="J262" s="7" t="str">
        <x:v>LX26B23</x:v>
      </x:c>
      <x:c r="K262" s="7" t="str">
        <x:v>公开电报镜像保存事件网络传播线索与原status链接；不据其推断动机。</x:v>
      </x:c>
      <x:c r="L262" s="10" t="n">
        <x:v>46281</x:v>
      </x:c>
    </x:row>
    <x:row r="263" ht="38" customHeight="1">
      <x:c r="A263" s="2" t="str">
        <x:v>LXS26B37</x:v>
      </x:c>
      <x:c r="B263" s="7" t="str">
        <x:v>6月27日寿县京师幼儿园事件标题线索</x:v>
      </x:c>
      <x:c r="C263" s="7" t="str">
        <x:v>Reddit用户</x:v>
      </x:c>
      <x:c r="D263" s="2" t="str">
        <x:v>2026-06-28</x:v>
      </x:c>
      <x:c r="E263" s="7" t="str">
        <x:v>https://www.reddit.com/r/LOOK_CHINA/comments/1uhnk2g/</x:v>
      </x:c>
      <x:c r="F263" s="7"/>
      <x:c r="G263" s="2" t="str">
        <x:v>搜索结果标题可见；帖子打开失败</x:v>
      </x:c>
      <x:c r="H263" s="2" t="str">
        <x:v>汇编线索</x:v>
      </x:c>
      <x:c r="I263" s="2" t="str">
        <x:v>reddit-shouxian-1uhnk2g</x:v>
      </x:c>
      <x:c r="J263" s="7" t="str">
        <x:v>LX26B24</x:v>
      </x:c>
      <x:c r="K263" s="7" t="str">
        <x:v>检索索引中帖子标题列举寿县衡安国际城京师幼儿园疑似袭击；无可读经过、可靠伤亡或原始来源。</x:v>
      </x:c>
      <x:c r="L263" s="10" t="n">
        <x:v>46281</x:v>
      </x:c>
    </x:row>
    <x:row r="264" ht="38" customHeight="1">
      <x:c r="A264" s="2" t="str">
        <x:v>LXS26C01</x:v>
      </x:c>
      <x:c r="B264" s="7" t="str">
        <x:v>警情通报（2026年9月14日）</x:v>
      </x:c>
      <x:c r="C264" s="7" t="str">
        <x:v>广州市公安局／番禺分局</x:v>
      </x:c>
      <x:c r="D264" s="2" t="str">
        <x:v>2026-09-14</x:v>
      </x:c>
      <x:c r="E264" s="7" t="str">
        <x:v>https://gaj.gz.gov.cn/gaxw/qktb/content/post_11005903.html</x:v>
      </x:c>
      <x:c r="F264" s="7"/>
      <x:c r="G264" s="2" t="str">
        <x:v>正文已打开核对。</x:v>
      </x:c>
      <x:c r="H264" s="2" t="str">
        <x:v>公安</x:v>
      </x:c>
      <x:c r="I264" s="2" t="str">
        <x:v>广州番禺公安20260914</x:v>
      </x:c>
      <x:c r="J264" s="7" t="str">
        <x:v>C024</x:v>
      </x:c>
      <x:c r="K264" s="7" t="str">
        <x:v>9月14日17:20小谷围街火锅店门口持刀伤人；35岁李某被抓，伤者均无生命危险，人数和关系未公布。</x:v>
      </x:c>
      <x:c r="L264" s="10" t="n">
        <x:v>46281</x:v>
      </x:c>
    </x:row>
    <x:row r="265" ht="38" customHeight="1">
      <x:c r="A265" s="2" t="str">
        <x:v>LXS26C02</x:v>
      </x:c>
      <x:c r="B265" s="7" t="str">
        <x:v>广州大学城商业区发生持刀伤人案 警方称伤者均无生命危险</x:v>
      </x:c>
      <x:c r="C265" s="7" t="str">
        <x:v>财新／王婧</x:v>
      </x:c>
      <x:c r="D265" s="2" t="str">
        <x:v>2026-09-15</x:v>
      </x:c>
      <x:c r="E265" s="7" t="str">
        <x:v>https://china.caixin.com/2026-09-15/102484932.html</x:v>
      </x:c>
      <x:c r="F265" s="7"/>
      <x:c r="G265" s="2" t="str">
        <x:v>页面已打开；仅公开导语及付费墙前内容可见，不能将未读全文视作已验证。</x:v>
      </x:c>
      <x:c r="H265" s="2" t="str">
        <x:v>独立媒体</x:v>
      </x:c>
      <x:c r="I265" s="2" t="str">
        <x:v>财新广州20260915</x:v>
      </x:c>
      <x:c r="J265" s="7" t="str">
        <x:v>C024</x:v>
      </x:c>
      <x:c r="K265" s="7" t="str">
        <x:v>可见导语定位大学城GOGO新天地；结合通报及网传现场照片描述伤者。未见独立确认攻击对象关系的采访。</x:v>
      </x:c>
      <x:c r="L265" s="10" t="n">
        <x:v>46281</x:v>
      </x:c>
    </x:row>
    <x:row r="266" ht="38" customHeight="1">
      <x:c r="A266" s="2" t="str">
        <x:v>LXS26C03</x:v>
      </x:c>
      <x:c r="B266" s="7" t="str">
        <x:v>李老师不是你老师：广州大学城持刀伤人及后续帖文镜像</x:v>
      </x:c>
      <x:c r="C266" s="7" t="str">
        <x:v>Sotwe／李老师不是你老师</x:v>
      </x:c>
      <x:c r="D266" s="2"/>
      <x:c r="E266" s="7" t="str">
        <x:v>https://www.sotwe.com/whyyoutouzhele</x:v>
      </x:c>
      <x:c r="F266" s="7"/>
      <x:c r="G266" s="2" t="str">
        <x:v>2026-09-16网页工具读到多条镜像正文；原X具体status链接未成功解析；t.co/f2ShrfgI6V与t.co/VMiz4obeGv打开失败，不能提供未经核实的status ID。</x:v>
      </x:c>
      <x:c r="H266" s="2" t="str">
        <x:v>汇编线索</x:v>
      </x:c>
      <x:c r="I266" s="2" t="str">
        <x:v>李老师广州20260914社交影像</x:v>
      </x:c>
      <x:c r="J266" s="7" t="str">
        <x:v>C024</x:v>
      </x:c>
      <x:c r="K266" s="7" t="str">
        <x:v>镜像可见9月14日持刀袭击路人、多名伤者及逃至广东工业大学西区食堂被抓的投稿；后续转警方通报。现场影像链与身份关系仍需核验。</x:v>
      </x:c>
      <x:c r="L266" s="10" t="n">
        <x:v>46281</x:v>
      </x:c>
    </x:row>
    <x:row r="267" ht="38" customHeight="1">
      <x:c r="A267" s="2" t="str">
        <x:v>LXS26C04</x:v>
      </x:c>
      <x:c r="B267" s="7" t="str">
        <x:v>路遇持刀伤人事件，外卖员于荣先的3步操作令人赞叹</x:v>
      </x:c>
      <x:c r="C267" s="7" t="str">
        <x:v>华龙网／人民日报</x:v>
      </x:c>
      <x:c r="D267" s="2" t="str">
        <x:v>2026-08-24</x:v>
      </x:c>
      <x:c r="E267" s="7" t="str">
        <x:v>https://www.cqnews.net/web/content_1541387025069985792.html</x:v>
      </x:c>
      <x:c r="F267" s="7" t="str">
        <x:v>https://www.peopleapp.com/column/30052996577-500007664120</x:v>
      </x:c>
      <x:c r="G267" s="2" t="str">
        <x:v>转载正文已读；页面标出人民日报客户端原文链接。</x:v>
      </x:c>
      <x:c r="H267" s="2" t="str">
        <x:v>官方媒体</x:v>
      </x:c>
      <x:c r="I267" s="2" t="str">
        <x:v>人民日报于荣先采访20260824</x:v>
      </x:c>
      <x:c r="J267" s="7" t="str">
        <x:v>C041</x:v>
      </x:c>
      <x:c r="K267" s="7" t="str">
        <x:v>人民日报采访确认8月18日晚北小街持刀案、19日凌晨上传视频；于荣先与市民制止，警方立案，省委政法委拟认定表彰。</x:v>
      </x:c>
      <x:c r="L267" s="10" t="n">
        <x:v>46281</x:v>
      </x:c>
    </x:row>
    <x:row r="268" ht="38" customHeight="1">
      <x:c r="A268" s="2" t="str">
        <x:v>LXS26C05</x:v>
      </x:c>
      <x:c r="B268" s="7" t="str">
        <x:v>极目新闻采访西宁制止持刀者的外卖骑手</x:v>
      </x:c>
      <x:c r="C268" s="7" t="str">
        <x:v>极目新闻／张皓</x:v>
      </x:c>
      <x:c r="D268" s="2" t="str">
        <x:v>2026-08-20</x:v>
      </x:c>
      <x:c r="E268" s="7" t="str">
        <x:v>https://www.ctdsb.net/c1716_202608/2835537.html</x:v>
      </x:c>
      <x:c r="F268" s="7"/>
      <x:c r="G268" s="2" t="str">
        <x:v>正文已打开核对。</x:v>
      </x:c>
      <x:c r="H268" s="2" t="str">
        <x:v>官方媒体</x:v>
      </x:c>
      <x:c r="I268" s="2" t="str">
        <x:v>极目于荣先采访20260820</x:v>
      </x:c>
      <x:c r="J268" s="7" t="str">
        <x:v>C041</x:v>
      </x:c>
      <x:c r="K268" s="7" t="str">
        <x:v>记者独立采访于荣先，确认北小街持刀者与群众对峙、骑手用车撞倒后共同控制；未披露原始纠纷细节。</x:v>
      </x:c>
      <x:c r="L268" s="10" t="n">
        <x:v>46281</x:v>
      </x:c>
    </x:row>
    <x:row r="269" ht="38" customHeight="1">
      <x:c r="A269" s="2" t="str">
        <x:v>LXS26C06</x:v>
      </x:c>
      <x:c r="B269" s="7" t="str">
        <x:v>20岁外卖员甩电动车撞倒持刀醉汉，被网友称为“国服孙策”</x:v>
      </x:c>
      <x:c r="C269" s="7" t="str">
        <x:v>新浪／观察者网综合新京报等</x:v>
      </x:c>
      <x:c r="D269" s="2" t="str">
        <x:v>2026-08-21</x:v>
      </x:c>
      <x:c r="E269" s="7" t="str">
        <x:v>https://finance.sina.com.cn/roll/2026-08-21/doc-ininzyev8204676.shtml</x:v>
      </x:c>
      <x:c r="F269" s="7"/>
      <x:c r="G269" s="2" t="str">
        <x:v>正文已打开核对。</x:v>
      </x:c>
      <x:c r="H269" s="2" t="str">
        <x:v>官方媒体</x:v>
      </x:c>
      <x:c r="I269" s="2" t="str">
        <x:v>新京报西宁警方20260820</x:v>
      </x:c>
      <x:c r="J269" s="7" t="str">
        <x:v>C041</x:v>
      </x:c>
      <x:c r="K269" s="7" t="str">
        <x:v>引新京报：8月18日两人被划伤；8月20日从青海警方获悉嫌疑人已采取强制措施。其余内容综合潇湘晨报、华商报，不重复视作独立采集。</x:v>
      </x:c>
      <x:c r="L269" s="10" t="n">
        <x:v>46281</x:v>
      </x:c>
    </x:row>
    <x:row r="270" ht="38" customHeight="1">
      <x:c r="A270" s="2" t="str">
        <x:v>LXS26C07</x:v>
      </x:c>
      <x:c r="B270" s="7" t="str">
        <x:v>外卖小哥用电动车将持刀伤人男子撞翻，获奖5000元</x:v>
      </x:c>
      <x:c r="C270" s="7" t="str">
        <x:v>新浪／扬子晚报／新黄河</x:v>
      </x:c>
      <x:c r="D270" s="2" t="str">
        <x:v>2026-08-20</x:v>
      </x:c>
      <x:c r="E270" s="7" t="str">
        <x:v>https://finance.sina.com.cn/jjxw/2026-08-20/doc-ininxkrz8884709.shtml</x:v>
      </x:c>
      <x:c r="F270" s="7"/>
      <x:c r="G270" s="2" t="str">
        <x:v>正文已打开核对。</x:v>
      </x:c>
      <x:c r="H270" s="2" t="str">
        <x:v>官方媒体</x:v>
      </x:c>
      <x:c r="I270" s="2" t="str">
        <x:v>华商大风西宁目击者20260819</x:v>
      </x:c>
      <x:c r="J270" s="7" t="str">
        <x:v>C041</x:v>
      </x:c>
      <x:c r="K270" s="7" t="str">
        <x:v>明确引华商报大风新闻对多名目击者采访：先与摊主冲突并刺伤，后刺伤劝架者；新黄河记者阎小雨采访骑手确认18日晚21时及处置过程。</x:v>
      </x:c>
      <x:c r="L270" s="10" t="n">
        <x:v>46281</x:v>
      </x:c>
    </x:row>
    <x:row r="271" ht="38" customHeight="1">
      <x:c r="A271" s="2" t="str">
        <x:v>LXS26C08</x:v>
      </x:c>
      <x:c r="B271" s="7" t="str">
        <x:v>传厦门两男随机砍人 公安开枪只抓到一个</x:v>
      </x:c>
      <x:c r="C271" s="7" t="str">
        <x:v>新唐人</x:v>
      </x:c>
      <x:c r="D271" s="2" t="str">
        <x:v>2026-07-14</x:v>
      </x:c>
      <x:c r="E271" s="7" t="str">
        <x:v>https://www.ntdtv.com/gb/mkt_ipad/2026/07/13/a104114966.html</x:v>
      </x:c>
      <x:c r="F271" s="7"/>
      <x:c r="G271" s="2" t="str">
        <x:v>正文已读。页面显示7月14日发布，URL中的7月13日不作案发日期。</x:v>
      </x:c>
      <x:c r="H271" s="2" t="str">
        <x:v>汇编线索</x:v>
      </x:c>
      <x:c r="I271" s="2" t="str">
        <x:v>厦门东浦路社交影像20260711</x:v>
      </x:c>
      <x:c r="J271" s="7" t="str">
        <x:v>LX26C01；C028</x:v>
      </x:c>
      <x:c r="K271" s="7" t="str">
        <x:v>网传7月11日下午思明区东浦路持刀现场，人数、死伤、是否开枪均未证实；同文杭州7月13日传言与警方已核实身份不符。</x:v>
      </x:c>
      <x:c r="L271" s="10" t="n">
        <x:v>46281</x:v>
      </x:c>
    </x:row>
    <x:row r="272" ht="38" customHeight="1">
      <x:c r="A272" s="2" t="str">
        <x:v>LXS26C09</x:v>
      </x:c>
      <x:c r="B272" s="7" t="str">
        <x:v>警方通报贵州中医大二附院刑事案件</x:v>
      </x:c>
      <x:c r="C272" s="7" t="str">
        <x:v>央广网／贵阳公安南明分局</x:v>
      </x:c>
      <x:c r="D272" s="2" t="str">
        <x:v>2026-09-06</x:v>
      </x:c>
      <x:c r="E272" s="7" t="str">
        <x:v>https://news.cnr.cn/rebang/20260906/t20260906_527805734.shtml</x:v>
      </x:c>
      <x:c r="F272" s="7"/>
      <x:c r="G272" s="2" t="str">
        <x:v>正文已打开核对。</x:v>
      </x:c>
      <x:c r="H272" s="2" t="str">
        <x:v>官方媒体</x:v>
      </x:c>
      <x:c r="I272" s="2" t="str">
        <x:v>贵阳南明公安20260906</x:v>
      </x:c>
      <x:c r="J272" s="7" t="str">
        <x:v>LX26C02</x:v>
      </x:c>
      <x:c r="K272" s="7" t="str">
        <x:v>警方确认9月4日9时红岩院区刑事案，一人受伤病情稳定，胡某当场控制并刑拘；未公布作案原因及关系。</x:v>
      </x:c>
      <x:c r="L272" s="10" t="n">
        <x:v>46281</x:v>
      </x:c>
    </x:row>
    <x:row r="273" ht="38" customHeight="1">
      <x:c r="A273" s="2" t="str">
        <x:v>LXS26C10</x:v>
      </x:c>
      <x:c r="B273" s="7" t="str">
        <x:v>警方通报贵州中医大二附院刑事案件</x:v>
      </x:c>
      <x:c r="C273" s="7" t="str">
        <x:v>华商网／现代快报、贵阳公安</x:v>
      </x:c>
      <x:c r="D273" s="2" t="str">
        <x:v>2026-09-06</x:v>
      </x:c>
      <x:c r="E273" s="7" t="str">
        <x:v>https://news.hsw.cn/system/2026/0906/1957483.shtml</x:v>
      </x:c>
      <x:c r="F273" s="7"/>
      <x:c r="G273" s="2" t="str">
        <x:v>正文已打开核对。</x:v>
      </x:c>
      <x:c r="H273" s="2" t="str">
        <x:v>官方媒体</x:v>
      </x:c>
      <x:c r="I273" s="2" t="str">
        <x:v>现代快报贵阳采访20260905</x:v>
      </x:c>
      <x:c r="J273" s="7" t="str">
        <x:v>LX26C02</x:v>
      </x:c>
      <x:c r="K273" s="7" t="str">
        <x:v>现代快报记者联系院内知情者及市卫健委确认伤医事件。患者未找到原医生而刺伤另一科医生的说法在稿中仍归为网传，不能将所有细节视为采访确认。</x:v>
      </x:c>
      <x:c r="L273" s="10" t="n">
        <x:v>46281</x:v>
      </x:c>
    </x:row>
    <x:row r="274" ht="38" customHeight="1">
      <x:c r="A274" s="2" t="str">
        <x:v>LXS26C11</x:v>
      </x:c>
      <x:c r="B274" s="7" t="str">
        <x:v>玉林市公安局玉州分局发布警情通报</x:v>
      </x:c>
      <x:c r="C274" s="7" t="str">
        <x:v>新浪／广西台新闻910／玉州公安</x:v>
      </x:c>
      <x:c r="D274" s="2" t="str">
        <x:v>2026-08-21</x:v>
      </x:c>
      <x:c r="E274" s="7" t="str">
        <x:v>https://finance.sina.com.cn/wm/2026-08-21/doc-ininzyev8230902.shtml</x:v>
      </x:c>
      <x:c r="F274" s="7"/>
      <x:c r="G274" s="2" t="str">
        <x:v>正文已打开核对。</x:v>
      </x:c>
      <x:c r="H274" s="2" t="str">
        <x:v>官方媒体</x:v>
      </x:c>
      <x:c r="I274" s="2" t="str">
        <x:v>玉林玉州公安20260821</x:v>
      </x:c>
      <x:c r="J274" s="7" t="str">
        <x:v>LX26C03</x:v>
      </x:c>
      <x:c r="K274" s="7" t="str">
        <x:v>8月20日21时玉州路故意伤害案，韦某被当场控制，一伤者送医无生命危险；未给关系动机。</x:v>
      </x:c>
      <x:c r="L274" s="10" t="n">
        <x:v>46281</x:v>
      </x:c>
    </x:row>
    <x:row r="275" ht="38" customHeight="1">
      <x:c r="A275" s="2" t="str">
        <x:v>LXS26C12</x:v>
      </x:c>
      <x:c r="B275" s="7" t="str">
        <x:v>广西玉林传随机砍人 带孩女子被偷袭砍伤</x:v>
      </x:c>
      <x:c r="C275" s="7" t="str">
        <x:v>新唐人</x:v>
      </x:c>
      <x:c r="D275" s="2" t="str">
        <x:v>2026-08-21</x:v>
      </x:c>
      <x:c r="E275" s="7" t="str">
        <x:v>https://www.ntdtv.com/gb/mkt_ipad/2026/08/21/a104126044.html</x:v>
      </x:c>
      <x:c r="F275" s="7"/>
      <x:c r="G275" s="2" t="str">
        <x:v>正文已打开核对。</x:v>
      </x:c>
      <x:c r="H275" s="2" t="str">
        <x:v>汇编线索</x:v>
      </x:c>
      <x:c r="I275" s="2" t="str">
        <x:v>玉林五灯坡社交影像20260820</x:v>
      </x:c>
      <x:c r="J275" s="7" t="str">
        <x:v>LX26C03</x:v>
      </x:c>
      <x:c r="K275" s="7" t="str">
        <x:v>网传女子带孩子扫车时被从后袭击，店员称双方不认识；文字依据网民爆料和截图，未交代记者采访或身份核验。</x:v>
      </x:c>
      <x:c r="L275" s="10" t="n">
        <x:v>46281</x:v>
      </x:c>
    </x:row>
    <x:row r="276" ht="38" customHeight="1">
      <x:c r="A276" s="2" t="str">
        <x:v>LXS26C13</x:v>
      </x:c>
      <x:c r="B276" s="7" t="str">
        <x:v>广西通报一起持刀伤人事件：男子已被抓获，伤者暂无生命危险</x:v>
      </x:c>
      <x:c r="C276" s="7" t="str">
        <x:v>极目新闻／南宁青秀警方</x:v>
      </x:c>
      <x:c r="D276" s="2" t="str">
        <x:v>2026-08-11</x:v>
      </x:c>
      <x:c r="E276" s="7" t="str">
        <x:v>https://www.ctdsb.net/c1716_202608/2827203.html</x:v>
      </x:c>
      <x:c r="F276" s="7"/>
      <x:c r="G276" s="2" t="str">
        <x:v>正文已打开核对。</x:v>
      </x:c>
      <x:c r="H276" s="2" t="str">
        <x:v>官方媒体</x:v>
      </x:c>
      <x:c r="I276" s="2" t="str">
        <x:v>南宁青秀公安20260811</x:v>
      </x:c>
      <x:c r="J276" s="7" t="str">
        <x:v>LX26C04</x:v>
      </x:c>
      <x:c r="K276" s="7" t="str">
        <x:v>8月10日21:57民族大道商场旁，39岁黄某因纠纷伤害32岁谢某，11日凌晨抓获；一伤者暂无生命危险。</x:v>
      </x:c>
      <x:c r="L276" s="10" t="n">
        <x:v>46281</x:v>
      </x:c>
    </x:row>
    <x:row r="277" ht="38" customHeight="1">
      <x:c r="A277" s="2" t="str">
        <x:v>LXS26C14</x:v>
      </x:c>
      <x:c r="B277" s="7" t="str">
        <x:v>刚刚｜警方通报男子在店铺纵火</x:v>
      </x:c>
      <x:c r="C277" s="7" t="str">
        <x:v>新浪／天津广播／平江公安</x:v>
      </x:c>
      <x:c r="D277" s="2" t="str">
        <x:v>2026-07-17</x:v>
      </x:c>
      <x:c r="E277" s="7" t="str">
        <x:v>https://finance.sina.com.cn/wm/2026-07-17/doc-iniicqkw1428778.shtml</x:v>
      </x:c>
      <x:c r="F277" s="7"/>
      <x:c r="G277" s="2" t="str">
        <x:v>正文已打开核对。</x:v>
      </x:c>
      <x:c r="H277" s="2" t="str">
        <x:v>官方媒体</x:v>
      </x:c>
      <x:c r="I277" s="2" t="str">
        <x:v>平江公安20260717</x:v>
      </x:c>
      <x:c r="J277" s="7" t="str">
        <x:v>LX26C05</x:v>
      </x:c>
      <x:c r="K277" s="7" t="str">
        <x:v>7月17日16:30老城区店铺起火；42岁寻某因与店主纠纷纵火，寻某当场死亡，店内另两人送医后死亡；遇害者与原纠纷关系未明。</x:v>
      </x:c>
      <x:c r="L277" s="10" t="n">
        <x:v>46281</x:v>
      </x:c>
    </x:row>
    <x:row r="278" ht="38" customHeight="1">
      <x:c r="A278" s="2" t="str">
        <x:v>LXS26C15</x:v>
      </x:c>
      <x:c r="B278" s="7" t="str">
        <x:v>河南西平县发生重大刑事案件，嫌犯在逃，警方发布协查通报</x:v>
      </x:c>
      <x:c r="C278" s="7" t="str">
        <x:v>新浪／政知见／西平7·30案件工作专班</x:v>
      </x:c>
      <x:c r="D278" s="2" t="str">
        <x:v>2026-08-02</x:v>
      </x:c>
      <x:c r="E278" s="7" t="str">
        <x:v>https://finance.sina.com.cn/wm/2026-08-02/doc-inikxwic6601543.shtml</x:v>
      </x:c>
      <x:c r="F278" s="7"/>
      <x:c r="G278" s="2" t="str">
        <x:v>正文已打开核对。</x:v>
      </x:c>
      <x:c r="H278" s="2" t="str">
        <x:v>官方媒体</x:v>
      </x:c>
      <x:c r="I278" s="2" t="str">
        <x:v>西平公安20260802</x:v>
      </x:c>
      <x:c r="J278" s="7" t="str">
        <x:v>LX26C06</x:v>
      </x:c>
      <x:c r="K278" s="7" t="str">
        <x:v>7月30日柏城街道西关社区，51岁租户夏某因邻里矛盾刺伤侯某及亲属；侯某死亡，亲属伤情稳定，人数未公布。</x:v>
      </x:c>
      <x:c r="L278" s="10" t="n">
        <x:v>46281</x:v>
      </x:c>
    </x:row>
    <x:row r="279" ht="38" customHeight="1">
      <x:c r="A279" s="2" t="str">
        <x:v>LXS26C16</x:v>
      </x:c>
      <x:c r="B279" s="7" t="str">
        <x:v>河南驻马店市西平县“7·30”故意伤害案件犯罪嫌疑人夏某钢被抓获</x:v>
      </x:c>
      <x:c r="C279" s="7" t="str">
        <x:v>央视网</x:v>
      </x:c>
      <x:c r="D279" s="2" t="str">
        <x:v>2026-08-08</x:v>
      </x:c>
      <x:c r="E279" s="7" t="str">
        <x:v>https://news.cctv.cn/2026/08/08/ARTIGuMFRYkdfcvrAJ2cAQye260808.shtml</x:v>
      </x:c>
      <x:c r="F279" s="7"/>
      <x:c r="G279" s="2" t="str">
        <x:v>页面可打开，正文图文通报未解析为文本；仅标题用于抓获这一结局，不扩写抓获地点或经过。</x:v>
      </x:c>
      <x:c r="H279" s="2" t="str">
        <x:v>官方媒体</x:v>
      </x:c>
      <x:c r="I279" s="2" t="str">
        <x:v>西平公安20260808</x:v>
      </x:c>
      <x:c r="J279" s="7" t="str">
        <x:v>LX26C06</x:v>
      </x:c>
      <x:c r="K279" s="7" t="str">
        <x:v>页面标题确认嫌疑人被抓获。</x:v>
      </x:c>
      <x:c r="L279" s="10" t="n">
        <x:v>46281</x:v>
      </x:c>
    </x:row>
    <x:row r="280" ht="38" customHeight="1">
      <x:c r="A280" s="2" t="str">
        <x:v>LXS26C17</x:v>
      </x:c>
      <x:c r="B280" s="7" t="str">
        <x:v>贵州锦屏警方：男子驾车失控致路人受伤，已排除酒驾毒驾嫌疑</x:v>
      </x:c>
      <x:c r="C280" s="7" t="str">
        <x:v>澎湃新闻／锦屏公安</x:v>
      </x:c>
      <x:c r="D280" s="2" t="str">
        <x:v>2026-08-17</x:v>
      </x:c>
      <x:c r="E280" s="7" t="str">
        <x:v>https://m.thepaper.cn/newsDetail_forward_33799413</x:v>
      </x:c>
      <x:c r="F280" s="7"/>
      <x:c r="G280" s="2" t="str">
        <x:v>正文已打开核对。</x:v>
      </x:c>
      <x:c r="H280" s="2" t="str">
        <x:v>官方媒体</x:v>
      </x:c>
      <x:c r="I280" s="2" t="str">
        <x:v>锦屏公安20260817</x:v>
      </x:c>
      <x:c r="J280" s="7" t="str">
        <x:v>LX26C07</x:v>
      </x:c>
      <x:c r="K280" s="7" t="str">
        <x:v>8月17日三江镇越野车失控致路人受伤，警方按道路交通事故通报；伤者均无生命危险，人数未公布。</x:v>
      </x:c>
      <x:c r="L280" s="10" t="n">
        <x:v>46281</x:v>
      </x:c>
    </x:row>
    <x:row r="281" ht="38" customHeight="1">
      <x:c r="A281" s="2" t="str">
        <x:v>LXS26C18</x:v>
      </x:c>
      <x:c r="B281" s="7" t="str">
        <x:v>泉州市人民政府召开晋江市陈埭镇辉腾鞋业有限公司火灾事故新闻发布会</x:v>
      </x:c>
      <x:c r="C281" s="7" t="str">
        <x:v>泉州市人民政府／泉州晚报社</x:v>
      </x:c>
      <x:c r="D281" s="2" t="str">
        <x:v>2026-07-10</x:v>
      </x:c>
      <x:c r="E281" s="7" t="str">
        <x:v>https://www.quanzhou.gov.cn/zfb/xxgk/ztxxgk/xwfbh/202607/t20260714_3309122.htm</x:v>
      </x:c>
      <x:c r="F281" s="7"/>
      <x:c r="G281" s="2" t="str">
        <x:v>政府页面全文已读；显示发布时间7月10日，URL路径7月14日不作案发或发布日期。</x:v>
      </x:c>
      <x:c r="H281" s="2" t="str">
        <x:v>官方媒体</x:v>
      </x:c>
      <x:c r="I281" s="2" t="str">
        <x:v>泉州市政府辉腾火灾发布会20260710</x:v>
      </x:c>
      <x:c r="J281" s="7" t="str">
        <x:v>LX26C08</x:v>
      </x:c>
      <x:c r="K281" s="7" t="str">
        <x:v>7月9日12:04辉腾鞋业厂房火灾28人死亡；调查原因，未认定纵火。死亡总数已包括两名送医不治者，不能再加算。</x:v>
      </x:c>
      <x:c r="L281" s="10" t="n">
        <x:v>46281</x:v>
      </x:c>
    </x:row>
    <x:row r="282" ht="38" customHeight="1">
      <x:c r="A282" s="2" t="str">
        <x:v>LXS26C19</x:v>
      </x:c>
      <x:c r="B282" s="7" t="str">
        <x:v>福建晋江一废品收购站发生火灾 暂无人员被困或受伤</x:v>
      </x:c>
      <x:c r="C282" s="7" t="str">
        <x:v>中新网／孙虹／池店镇安委办</x:v>
      </x:c>
      <x:c r="D282" s="2" t="str">
        <x:v>2026-07-16</x:v>
      </x:c>
      <x:c r="E282" s="7" t="str">
        <x:v>https://www.chinanews.com/sh/2026/07-16/10660941.shtml</x:v>
      </x:c>
      <x:c r="F282" s="7"/>
      <x:c r="G282" s="2" t="str">
        <x:v>正文已打开核对。</x:v>
      </x:c>
      <x:c r="H282" s="2" t="str">
        <x:v>官方媒体</x:v>
      </x:c>
      <x:c r="I282" s="2" t="str">
        <x:v>晋江池店安委办20260716</x:v>
      </x:c>
      <x:c r="J282" s="7" t="str">
        <x:v>LX26C09</x:v>
      </x:c>
      <x:c r="K282" s="7" t="str">
        <x:v>7月16日下午池店镇唐厝村废品收购站火灾，通报暂无人员被困或受伤，未给起火原因。</x:v>
      </x:c>
      <x:c r="L282" s="10" t="n">
        <x:v>46281</x:v>
      </x:c>
    </x:row>
    <x:row r="283" ht="38" customHeight="1">
      <x:c r="A283" s="2" t="str">
        <x:v>LXS26C20</x:v>
      </x:c>
      <x:c r="B283" s="7" t="str">
        <x:v>福建晋江又发生火灾 火势凶猛场面骇人</x:v>
      </x:c>
      <x:c r="C283" s="7" t="str">
        <x:v>看中国／蔡思云综合</x:v>
      </x:c>
      <x:c r="D283" s="2" t="str">
        <x:v>2026-07-17</x:v>
      </x:c>
      <x:c r="E283" s="7" t="str">
        <x:v>https://www.secretchina.com/news/gb/2026/07/17/1102127.html</x:v>
      </x:c>
      <x:c r="F283" s="7"/>
      <x:c r="G283" s="2" t="str">
        <x:v>正文已打开核对。</x:v>
      </x:c>
      <x:c r="H283" s="2" t="str">
        <x:v>汇编线索</x:v>
      </x:c>
      <x:c r="I283" s="2" t="str">
        <x:v>晋江火灾社交传言202607</x:v>
      </x:c>
      <x:c r="J283" s="7" t="str">
        <x:v>LX26C08；LX26C09</x:v>
      </x:c>
      <x:c r="K283" s="7" t="str">
        <x:v>汇集7月9日鞋厂和16日火灾相关社交说法，未提供可验证纵火证据；将16日废品站称为工厂的说法与官方地点类型不同。</x:v>
      </x:c>
      <x:c r="L283" s="10" t="n">
        <x:v>46281</x:v>
      </x:c>
    </x:row>
    <x:row r="284" ht="38" customHeight="1">
      <x:c r="A284" s="2" t="str">
        <x:v>LXS26C21</x:v>
      </x:c>
      <x:c r="B284" s="7" t="str">
        <x:v>福建莆田一烟花爆竹厂遭人为纵火，嫌疑人已被警方控制</x:v>
      </x:c>
      <x:c r="C284" s="7" t="str">
        <x:v>羊城晚报金羊网／新京报</x:v>
      </x:c>
      <x:c r="D284" s="2" t="str">
        <x:v>2026-07-15</x:v>
      </x:c>
      <x:c r="E284" s="7" t="str">
        <x:v>https://news.ycwb.com/ikimvkltjn/content_54230617.htm</x:v>
      </x:c>
      <x:c r="F284" s="7"/>
      <x:c r="G284" s="2" t="str">
        <x:v>直接打开返回空正文；仅搜索引擎完整短文可见。新京报搜狐号同文打开Cache miss，尚需可访问原文复核。</x:v>
      </x:c>
      <x:c r="H284" s="2" t="str">
        <x:v>官方媒体</x:v>
      </x:c>
      <x:c r="I284" s="2" t="str">
        <x:v>新京报莆田采访20260715</x:v>
      </x:c>
      <x:c r="J284" s="7" t="str">
        <x:v>LX26C10</x:v>
      </x:c>
      <x:c r="K284" s="7" t="str">
        <x:v>搜索缓存可读完整短稿：7月15日凌晨灵川镇烟花仓库起火，政府称无人伤亡，记者从城厢区部门获悉人为纵火、嫌疑人被控。</x:v>
      </x:c>
      <x:c r="L284" s="10" t="n">
        <x:v>46281</x:v>
      </x:c>
    </x:row>
    <x:row r="285" ht="38" customHeight="1">
      <x:c r="A285" s="2" t="str">
        <x:v>LXS26C22</x:v>
      </x:c>
      <x:c r="B285" s="7" t="str">
        <x:v>南京男子突然拉停地铁 狂踹门喊“想死”“报复社会”</x:v>
      </x:c>
      <x:c r="C285" s="7" t="str">
        <x:v>看中国</x:v>
      </x:c>
      <x:c r="D285" s="2" t="str">
        <x:v>2026-08-18</x:v>
      </x:c>
      <x:c r="E285" s="7" t="str">
        <x:v>https://m.secretchina.com/news/gb/2026/08/18/amp1103597.html</x:v>
      </x:c>
      <x:c r="F285" s="7"/>
      <x:c r="G285" s="2" t="str">
        <x:v>正文已打开核对。</x:v>
      </x:c>
      <x:c r="H285" s="2" t="str">
        <x:v>汇编线索</x:v>
      </x:c>
      <x:c r="I285" s="2" t="str">
        <x:v>南京地铁社交影像20260816</x:v>
      </x:c>
      <x:c r="J285" s="7" t="str">
        <x:v>LX26C11</x:v>
      </x:c>
      <x:c r="K285" s="7" t="str">
        <x:v>网传8月16日南京地铁3号线男子拉紧急制动、踹门喊话，乘客控制后警察到场；未描述实际攻击他人。</x:v>
      </x:c>
      <x:c r="L285" s="10" t="n">
        <x:v>46281</x:v>
      </x:c>
    </x:row>
    <x:row r="286" ht="38" customHeight="1">
      <x:c r="A286" s="2" t="str">
        <x:v>LXS26C23</x:v>
      </x:c>
      <x:c r="B286" s="7" t="str">
        <x:v>李老师不是你老师：9月13日定兴火锅店外卖员持刀冲突</x:v>
      </x:c>
      <x:c r="C286" s="7" t="str">
        <x:v>TwStalker／李老师不是你老师</x:v>
      </x:c>
      <x:c r="D286" s="2"/>
      <x:c r="E286" s="7" t="str">
        <x:v>https://w.twstalker.com/whyyoutouzhele</x:v>
      </x:c>
      <x:c r="F286" s="7"/>
      <x:c r="G286" s="2" t="str">
        <x:v>网页工具成功读到正文；View Details点击Internal Error且未返回status地址；浏览器实际访问停在Cloudflare安全验证，未绕过。</x:v>
      </x:c>
      <x:c r="H286" s="2" t="str">
        <x:v>汇编线索</x:v>
      </x:c>
      <x:c r="I286" s="2" t="str">
        <x:v>李老师定兴20260913</x:v>
      </x:c>
      <x:c r="J286" s="7" t="str">
        <x:v>LX26C12</x:v>
      </x:c>
      <x:c r="K286" s="7" t="str">
        <x:v>镜像正文称9月13日保定定兴一火锅店内外卖员手持砍刀与店家冲突；未说明实际伤害动作、伤亡或陌生旁人受害。</x:v>
      </x:c>
      <x:c r="L286" s="10" t="n">
        <x:v>46281</x:v>
      </x:c>
    </x:row>
    <x:row r="287" ht="38" customHeight="1">
      <x:c r="A287" s="2" t="str">
        <x:v>LXS26C24</x:v>
      </x:c>
      <x:c r="B287" s="7" t="str">
        <x:v>7月27日江苏国青国少乒乓球选拔赛半决赛暴力事件转载</x:v>
      </x:c>
      <x:c r="C287" s="7" t="str">
        <x:v>文学城论坛／转李老师不是你老师</x:v>
      </x:c>
      <x:c r="D287" s="2" t="str">
        <x:v>2026-07-29</x:v>
      </x:c>
      <x:c r="E287" s="7" t="str">
        <x:v>https://bbs.wenxuecity.com/currentevent/4042453.html</x:v>
      </x:c>
      <x:c r="F287" s="7"/>
      <x:c r="G287" s="2" t="str">
        <x:v>论坛正文及X署名日期可读；X日期链接点击失败未解析status，pic.twitter.com/DzeH5U8DlP也打开失败；浏览器论坛访问Tunnel failed。</x:v>
      </x:c>
      <x:c r="H287" s="2" t="str">
        <x:v>汇编线索</x:v>
      </x:c>
      <x:c r="I287" s="2" t="str">
        <x:v>李老师江苏乒乓球20260729</x:v>
      </x:c>
      <x:c r="J287" s="7" t="str">
        <x:v>LX26C13</x:v>
      </x:c>
      <x:c r="K287" s="7" t="str">
        <x:v>论坛嵌入李老师7月29日帖，指27日赛后失利选手拳踢获胜对手，并转述取消成绩和禁赛；针对比赛对手，无旁人受袭描述。</x:v>
      </x:c>
      <x:c r="L287" s="10" t="n">
        <x:v>46281</x:v>
      </x:c>
    </x:row>
    <x:row r="288" ht="38" customHeight="1">
      <x:c r="A288" s="2" t="str">
        <x:v>LXS26C25</x:v>
      </x:c>
      <x:c r="B288" s="7" t="str">
        <x:v>中国悲剧档案：茂名电城海景明珠持刀案网帖</x:v>
      </x:c>
      <x:c r="C288" s="7" t="str">
        <x:v>X／中国悲剧档案</x:v>
      </x:c>
      <x:c r="D288" s="2" t="str">
        <x:v>2026-08-19</x:v>
      </x:c>
      <x:c r="E288" s="7" t="str">
        <x:v>https://x.com/newszg_official/status/2090085905876795776</x:v>
      </x:c>
      <x:c r="F288" s="7" t="str">
        <x:v>https://x.com/newszg_official/status/2090085905876795776</x:v>
      </x:c>
      <x:c r="G288" s="2" t="str">
        <x:v>原X页面HTTP 403；经既有来源CS053嵌入正文取得帖文URL与日期，同一传言不视作独立佐证。</x:v>
      </x:c>
      <x:c r="H288" s="2" t="str">
        <x:v>汇编线索</x:v>
      </x:c>
      <x:c r="I288" s="2" t="str">
        <x:v>茂名电城社交影像20260819</x:v>
      </x:c>
      <x:c r="J288" s="7" t="str">
        <x:v>LX26C14</x:v>
      </x:c>
      <x:c r="K288" s="7" t="str">
        <x:v>新唐人可访问正文嵌入此原帖：茂名电城当街男子袭击女子，情感及钱款原因未经核实。</x:v>
      </x:c>
      <x:c r="L288" s="10" t="n">
        <x:v>46281</x:v>
      </x:c>
    </x:row>
    <x:row r="289" ht="38" customHeight="1">
      <x:c r="A289" s="2" t="str">
        <x:v>LXS26C26</x:v>
      </x:c>
      <x:c r="B289" s="7" t="str">
        <x:v>女子持拖把殴打八旬拾荒老人 福建警方：当场控制嫌疑人</x:v>
      </x:c>
      <x:c r="C289" s="7" t="str">
        <x:v>中新网／漳州古雷公安</x:v>
      </x:c>
      <x:c r="D289" s="2" t="str">
        <x:v>2026-07-17</x:v>
      </x:c>
      <x:c r="E289" s="7" t="str">
        <x:v>https://www.chinanews.com/sh/2026/07-17/10661042.shtml</x:v>
      </x:c>
      <x:c r="F289" s="7"/>
      <x:c r="G289" s="2" t="str">
        <x:v>正文已打开核对。</x:v>
      </x:c>
      <x:c r="H289" s="2" t="str">
        <x:v>官方媒体</x:v>
      </x:c>
      <x:c r="I289" s="2" t="str">
        <x:v>漳州古雷公安20260717</x:v>
      </x:c>
      <x:c r="J289" s="7" t="str">
        <x:v>LX26C15</x:v>
      </x:c>
      <x:c r="K289" s="7" t="str">
        <x:v>7月14日9时古雷新港城殴打案，35岁女子被当场控制，87岁伤者稳定；通报未给双方关系及起因。</x:v>
      </x:c>
      <x:c r="L289" s="10" t="n">
        <x:v>46281</x:v>
      </x:c>
    </x:row>
    <x:row r="290" ht="38" customHeight="1">
      <x:c r="A290" s="2" t="str">
        <x:v>LXS26C27</x:v>
      </x:c>
      <x:c r="B290" s="7" t="str">
        <x:v>安徽合肥园区发生大火 现场一片火海</x:v>
      </x:c>
      <x:c r="C290" s="7" t="str">
        <x:v>看中国／蔡思云综合</x:v>
      </x:c>
      <x:c r="D290" s="2" t="str">
        <x:v>2026-09-09</x:v>
      </x:c>
      <x:c r="E290" s="7" t="str">
        <x:v>https://www.secretchina.com/news/gb/2026/09/09/1104595.html</x:v>
      </x:c>
      <x:c r="F290" s="7"/>
      <x:c r="G290" s="2" t="str">
        <x:v>www主站正文成功读取；search子站Cache miss；嵌入X日期链接点击未返回status URL。</x:v>
      </x:c>
      <x:c r="H290" s="2" t="str">
        <x:v>汇编线索</x:v>
      </x:c>
      <x:c r="I290" s="2" t="str">
        <x:v>2026夏季火灾纵火传言汇编</x:v>
      </x:c>
      <x:c r="J290" s="7" t="str">
        <x:v>LX26C16；LX26C17；LX26C18；LX26C19</x:v>
      </x:c>
      <x:c r="K290" s="7" t="str">
        <x:v>汇集合肥、蚌埠、青岛、洪雅火灾及未核实蓄意纵火说法；只有火灾事实另有通报。合肥嵌入帖自称9月10日，与通报9月8日晚不符。</x:v>
      </x:c>
      <x:c r="L290" s="10" t="n">
        <x:v>46281</x:v>
      </x:c>
    </x:row>
    <x:row r="291" ht="38" customHeight="1">
      <x:c r="A291" s="2" t="str">
        <x:v>LXS26C28</x:v>
      </x:c>
      <x:c r="B291" s="7" t="str">
        <x:v>合肥发布火情通报</x:v>
      </x:c>
      <x:c r="C291" s="7" t="str">
        <x:v>央广网／合肥市消防救援局</x:v>
      </x:c>
      <x:c r="D291" s="2" t="str">
        <x:v>2026-09-09</x:v>
      </x:c>
      <x:c r="E291" s="7" t="str">
        <x:v>https://news.cnr.cn/local/dftj/20260909/t20260909_527808760.shtml</x:v>
      </x:c>
      <x:c r="F291" s="7"/>
      <x:c r="G291" s="2" t="str">
        <x:v>正文已打开核对。</x:v>
      </x:c>
      <x:c r="H291" s="2" t="str">
        <x:v>官方媒体</x:v>
      </x:c>
      <x:c r="I291" s="2" t="str">
        <x:v>合肥消防20260909</x:v>
      </x:c>
      <x:c r="J291" s="7" t="str">
        <x:v>LX26C16</x:v>
      </x:c>
      <x:c r="K291" s="7" t="str">
        <x:v>9月8日23:03乌鲁木齐路与北京路口西北仓库起火，9日0:40火势受控，无人伤亡；未给起火原因。</x:v>
      </x:c>
      <x:c r="L291" s="10" t="n">
        <x:v>46281</x:v>
      </x:c>
    </x:row>
    <x:row r="292" ht="38" customHeight="1">
      <x:c r="A292" s="2" t="str">
        <x:v>LXS26C29</x:v>
      </x:c>
      <x:c r="B292" s="7" t="str">
        <x:v>蚌埠发布火情通报</x:v>
      </x:c>
      <x:c r="C292" s="7" t="str">
        <x:v>央广网／蚌埠市消防救援局</x:v>
      </x:c>
      <x:c r="D292" s="2" t="str">
        <x:v>2026-09-08</x:v>
      </x:c>
      <x:c r="E292" s="7" t="str">
        <x:v>https://www.cnr.cn/ah/news/20260908/t20260908_527807564.shtml</x:v>
      </x:c>
      <x:c r="F292" s="7"/>
      <x:c r="G292" s="2" t="str">
        <x:v>正文已打开核对。</x:v>
      </x:c>
      <x:c r="H292" s="2" t="str">
        <x:v>官方媒体</x:v>
      </x:c>
      <x:c r="I292" s="2" t="str">
        <x:v>蚌埠消防20260908</x:v>
      </x:c>
      <x:c r="J292" s="7" t="str">
        <x:v>LX26C17</x:v>
      </x:c>
      <x:c r="K292" s="7" t="str">
        <x:v>9月8日5:13高新区高华电子厂房火灾，正在扑救、火势有效控制，暂未发现人员伤亡；未给起因。</x:v>
      </x:c>
      <x:c r="L292" s="10" t="n">
        <x:v>46281</x:v>
      </x:c>
    </x:row>
    <x:row r="293" ht="38" customHeight="1">
      <x:c r="A293" s="2" t="str">
        <x:v>LXS26C30</x:v>
      </x:c>
      <x:c r="B293" s="7" t="str">
        <x:v>四川洪雅玉屏山突发森林火情 未造成人员被困和伤亡</x:v>
      </x:c>
      <x:c r="C293" s="7" t="str">
        <x:v>中国网／中新网刘忠俊</x:v>
      </x:c>
      <x:c r="D293" s="2" t="str">
        <x:v>2026-07-27</x:v>
      </x:c>
      <x:c r="E293" s="7" t="str">
        <x:v>https://news.china.com.cn/2026-07/27/content_118618785.shtml</x:v>
      </x:c>
      <x:c r="F293" s="7"/>
      <x:c r="G293" s="2" t="str">
        <x:v>搜索摘要包含通报内容；正文打开Internal Error，事实来源降级注明而不视为全文核验。</x:v>
      </x:c>
      <x:c r="H293" s="2" t="str">
        <x:v>官方媒体</x:v>
      </x:c>
      <x:c r="I293" s="2" t="str">
        <x:v>洪雅玉屏山管护站20260726</x:v>
      </x:c>
      <x:c r="J293" s="7" t="str">
        <x:v>LX26C18</x:v>
      </x:c>
      <x:c r="K293" s="7" t="str">
        <x:v>缓存稿引管护站：7月26日14:30玉屏山火情，无人被困和伤亡，原因调查。</x:v>
      </x:c>
      <x:c r="L293" s="10" t="n">
        <x:v>46281</x:v>
      </x:c>
    </x:row>
    <x:row r="294" ht="38" customHeight="1">
      <x:c r="A294" s="2" t="str">
        <x:v>LXS26C31</x:v>
      </x:c>
      <x:c r="B294" s="7" t="str">
        <x:v>官方通报青岛大火：无人员被困和伤亡，起火原因正在调查中</x:v>
      </x:c>
      <x:c r="C294" s="7" t="str">
        <x:v>新浪／现代快报／黄岛发布</x:v>
      </x:c>
      <x:c r="D294" s="2" t="str">
        <x:v>2026-08-02</x:v>
      </x:c>
      <x:c r="E294" s="7" t="str">
        <x:v>https://finance.sina.com.cn/roll/2026-08-02/doc-inikxrzi9861025.shtml</x:v>
      </x:c>
      <x:c r="F294" s="7"/>
      <x:c r="G294" s="2" t="str">
        <x:v>正文已打开核对。</x:v>
      </x:c>
      <x:c r="H294" s="2" t="str">
        <x:v>官方媒体</x:v>
      </x:c>
      <x:c r="I294" s="2" t="str">
        <x:v>青岛黄岛发布20260802</x:v>
      </x:c>
      <x:c r="J294" s="7" t="str">
        <x:v>LX26C19</x:v>
      </x:c>
      <x:c r="K294" s="7" t="str">
        <x:v>8月2日17时青岛象屿速传供应链仓库火灾，无人被困伤亡，起因调查；另引大河报记者联系消防的确认。</x:v>
      </x:c>
      <x:c r="L294" s="10" t="n">
        <x:v>46281</x:v>
      </x:c>
    </x:row>
    <x:row r="295" ht="38" customHeight="1">
      <x:c r="A295" s="2" t="str">
        <x:v>LXS26C32</x:v>
      </x:c>
      <x:c r="B295" s="7" t="str">
        <x:v>玛卡巴卡：汕头陈厝合持刀案网帖</x:v>
      </x:c>
      <x:c r="C295" s="7" t="str">
        <x:v>X／玛卡巴卡</x:v>
      </x:c>
      <x:c r="D295" s="2" t="str">
        <x:v>2026-08-19</x:v>
      </x:c>
      <x:c r="E295" s="7" t="str">
        <x:v>https://x.com/MKBKCOM/status/2090022453246382399</x:v>
      </x:c>
      <x:c r="F295" s="7" t="str">
        <x:v>https://x.com/MKBKCOM/status/2090022453246382399</x:v>
      </x:c>
      <x:c r="G295" s="2" t="str">
        <x:v>原X打开仅空页面、无可读正文；通过CS053嵌入文字确认URL。</x:v>
      </x:c>
      <x:c r="H295" s="2" t="str">
        <x:v>汇编线索</x:v>
      </x:c>
      <x:c r="I295" s="2" t="str">
        <x:v>社交视频汕头西宁20260818</x:v>
      </x:c>
      <x:c r="J295" s="7" t="str">
        <x:v>C042</x:v>
      </x:c>
      <x:c r="K295" s="7" t="str">
        <x:v>既有来源CS053嵌入的原X帖，称案发8月18日晚；伤者人数及随机性没有独立印证。</x:v>
      </x:c>
      <x:c r="L295" s="10" t="n">
        <x:v>46281</x:v>
      </x:c>
    </x:row>
    <x:row r="296" ht="38" customHeight="1">
      <x:c r="A296" s="2" t="str">
        <x:v>LXS26C33</x:v>
      </x:c>
      <x:c r="B296" s="7" t="str">
        <x:v>明月：西宁持刀案社交视频</x:v>
      </x:c>
      <x:c r="C296" s="7" t="str">
        <x:v>X／明月</x:v>
      </x:c>
      <x:c r="D296" s="2" t="str">
        <x:v>2026-08-18</x:v>
      </x:c>
      <x:c r="E296" s="7" t="str">
        <x:v>https://x.com/MIYESAC/status/2089830704477548850</x:v>
      </x:c>
      <x:c r="F296" s="7" t="str">
        <x:v>https://x.com/MIYESAC/status/2089830704477548850</x:v>
      </x:c>
      <x:c r="G296" s="2" t="str">
        <x:v>原X打开空页面；原URL及显示日期经CS053嵌入取得；时区日期与文本日期不一致。</x:v>
      </x:c>
      <x:c r="H296" s="2" t="str">
        <x:v>汇编线索</x:v>
      </x:c>
      <x:c r="I296" s="2" t="str">
        <x:v>社交视频汕头西宁20260818</x:v>
      </x:c>
      <x:c r="J296" s="7" t="str">
        <x:v>C041</x:v>
      </x:c>
      <x:c r="K296" s="7" t="str">
        <x:v>原帖正文称19日凌晨及多人受伤，既有CS053为同源转载；人民日报和警方采访已将时间修正为18日晚，人数采用两伤报道。</x:v>
      </x:c>
      <x:c r="L296" s="10" t="n">
        <x:v>46281</x:v>
      </x:c>
    </x:row>
    <x:row r="297" ht="38" customHeight="1">
      <x:c r="A297" s="2" t="str">
        <x:v>LXS26C34</x:v>
      </x:c>
      <x:c r="B297" s="7" t="str">
        <x:v>湖南平江店铺纵火线索转载</x:v>
      </x:c>
      <x:c r="C297" s="7" t="str">
        <x:v>MNewsTV</x:v>
      </x:c>
      <x:c r="D297" s="2"/>
      <x:c r="E297" s="7" t="str">
        <x:v>https://mnewstv.com/finance.php?id=37519</x:v>
      </x:c>
      <x:c r="F297" s="7"/>
      <x:c r="G297" s="2" t="str">
        <x:v>仅搜索摘要；页面标注发布时间早于事发时刻，不能据此确定日期或关系；不用于确定字段。</x:v>
      </x:c>
      <x:c r="H297" s="2" t="str">
        <x:v>汇编线索</x:v>
      </x:c>
      <x:c r="I297" s="2" t="str">
        <x:v>平江纵火社交传言20260717</x:v>
      </x:c>
      <x:c r="J297" s="7" t="str">
        <x:v>LX26C05</x:v>
      </x:c>
      <x:c r="K297" s="7" t="str">
        <x:v>搜索缓存转述店主儿女遇害、退车纠纷等细节，未独立确认。</x:v>
      </x:c>
      <x:c r="L297" s="10" t="n">
        <x:v>46281</x:v>
      </x:c>
    </x:row>
    <x:row r="298" ht="38" customHeight="1">
      <x:c r="A298" s="2" t="str">
        <x:v>LXS26C35</x:v>
      </x:c>
      <x:c r="B298" s="7" t="str">
        <x:v>青海西宁外卖小哥于荣先获见义勇为认定</x:v>
      </x:c>
      <x:c r="C298" s="7" t="str">
        <x:v>青海新闻网／青海日报魏爽</x:v>
      </x:c>
      <x:c r="D298" s="2" t="str">
        <x:v>2026-08-26</x:v>
      </x:c>
      <x:c r="E298" s="7" t="str">
        <x:v>https://www.qhnews.com/newscenter/system/2026/08/26/030602062.shtml</x:v>
      </x:c>
      <x:c r="F298" s="7"/>
      <x:c r="G298" s="2" t="str">
        <x:v>https及http打开均Redirect loop，仅搜索摘要可见；不靠该失败页面单独认定案情。</x:v>
      </x:c>
      <x:c r="H298" s="2" t="str">
        <x:v>官方媒体</x:v>
      </x:c>
      <x:c r="I298" s="2" t="str">
        <x:v>青海日报于荣先20260826</x:v>
      </x:c>
      <x:c r="J298" s="7" t="str">
        <x:v>C041</x:v>
      </x:c>
      <x:c r="K298" s="7" t="str">
        <x:v>搜索缓存报道于荣先获见义勇为认定，补充官方处置的后续线索。</x:v>
      </x:c>
      <x:c r="L298" s="10" t="n">
        <x:v>46281</x:v>
      </x:c>
    </x:row>
    <x:row r="299" ht="38" customHeight="1">
      <x:c r="A299" s="2" t="str">
        <x:v>LXS26C36</x:v>
      </x:c>
      <x:c r="B299" s="7" t="str">
        <x:v>广西玉林街头发生无差别袭击 带孩女子遭偷袭受伤</x:v>
      </x:c>
      <x:c r="C299" s="7" t="str">
        <x:v>MNewsTV／中国观察</x:v>
      </x:c>
      <x:c r="D299" s="2" t="str">
        <x:v>2026-08-21</x:v>
      </x:c>
      <x:c r="E299" s="7" t="str">
        <x:v>https://mnewstv.com/article.php?id=41223</x:v>
      </x:c>
      <x:c r="F299" s="7"/>
      <x:c r="G299" s="2" t="str">
        <x:v>无www页面正文成功，www版本安全错误；未发现X原status链接。</x:v>
      </x:c>
      <x:c r="H299" s="2" t="str">
        <x:v>汇编线索</x:v>
      </x:c>
      <x:c r="I299" s="2" t="str">
        <x:v>玉林五灯坡社交影像20260820</x:v>
      </x:c>
      <x:c r="J299" s="7" t="str">
        <x:v>LX26C03</x:v>
      </x:c>
      <x:c r="K299" s="7" t="str">
        <x:v>与新唐人使用同组图像和网传叙事，转述从后袭击及双方不识，不能当作独立第二来源。</x:v>
      </x:c>
      <x:c r="L299" s="10" t="n">
        <x:v>46281</x:v>
      </x:c>
    </x:row>
  </x:sheetData>
  <x:pageMargins left="0.7" right="0.7" top="0.75" bottom="0.75" header="0.3" footer="0.3"/>
  <x:tableParts count="1">
    <x:tablePart xmlns:r="http://schemas.openxmlformats.org/officeDocument/2006/relationships" r:id="Re074ff1652c646ae"/>
  </x:tableParts>
</x:worksheet>
</file>

<file path=xl/worksheets/sheet4.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0" hidden="0" customWidth="1"/>
  </x:cols>
  <x:sheetData>
    <x:row r="1" ht="42" customHeight="1">
      <x:c r="A1" s="6" t="str">
        <x:v>事件编号</x:v>
      </x:c>
      <x:c r="B1" s="6" t="str">
        <x:v>分类</x:v>
      </x:c>
      <x:c r="C1" s="6" t="str">
        <x:v>原始标签</x:v>
      </x:c>
      <x:c r="D1" s="6" t="str">
        <x:v>归并主题（解释层）</x:v>
      </x:c>
      <x:c r="E1" s="6" t="str">
        <x:v>证据层级</x:v>
      </x:c>
      <x:c r="F1" s="6" t="str">
        <x:v>动机摘要</x:v>
      </x:c>
      <x:c r="G1" s="6" t="str">
        <x:v>支持来源</x:v>
      </x:c>
    </x:row>
    <x:row r="2" ht="38" customHeight="1">
      <x:c r="A2" s="2" t="str">
        <x:v>A001</x:v>
      </x:c>
      <x:c r="B2" s="2" t="str">
        <x:v>core</x:v>
      </x:c>
      <x:c r="C2" s="2" t="str">
        <x:v>泄愤</x:v>
      </x:c>
      <x:c r="D2" s="2" t="str">
        <x:v>泄愤／转移报复</x:v>
      </x:c>
      <x:c r="E2" s="2" t="str">
        <x:v>法院认定</x:v>
      </x:c>
      <x:c r="F2" s="2" t="str">
        <x:v>法院认定为发泄个人不满情绪，具体不满事项未披露。</x:v>
      </x:c>
      <x:c r="G2" s="7" t="str">
        <x:v>AS001</x:v>
      </x:c>
    </x:row>
    <x:row r="3" ht="38" customHeight="1">
      <x:c r="A3" s="2" t="str">
        <x:v>A043</x:v>
      </x:c>
      <x:c r="B3" s="2" t="str">
        <x:v>excluded</x:v>
      </x:c>
      <x:c r="C3" s="2" t="str">
        <x:v>感情纠纷</x:v>
      </x:c>
      <x:c r="D3" s="2" t="str">
        <x:v>婚姻／家庭／感情问题</x:v>
      </x:c>
      <x:c r="E3" s="2" t="str">
        <x:v>法院认定</x:v>
      </x:c>
      <x:c r="F3" s="2" t="str">
        <x:v>分手后预谋报复。</x:v>
      </x:c>
      <x:c r="G3" s="7" t="str">
        <x:v>AS029</x:v>
      </x:c>
    </x:row>
    <x:row r="4" ht="38" customHeight="1">
      <x:c r="A4" s="2" t="str">
        <x:v>A003</x:v>
      </x:c>
      <x:c r="B4" s="2" t="str">
        <x:v>expanded</x:v>
      </x:c>
      <x:c r="C4" s="2" t="str">
        <x:v>人际纠纷</x:v>
      </x:c>
      <x:c r="D4" s="2" t="str">
        <x:v>其他已披露背景</x:v>
      </x:c>
      <x:c r="E4" s="2" t="str">
        <x:v>法院认定</x:v>
      </x:c>
      <x:c r="F4" s="2" t="str">
        <x:v>最高法概述个人琐事不满；案情回顾指交往受拒、交易争执后愤怒。</x:v>
      </x:c>
      <x:c r="G4" s="7" t="str">
        <x:v>AS004</x:v>
      </x:c>
    </x:row>
    <x:row r="5" ht="38" customHeight="1">
      <x:c r="A5" s="2" t="str">
        <x:v>A003</x:v>
      </x:c>
      <x:c r="B5" s="2" t="str">
        <x:v>expanded</x:v>
      </x:c>
      <x:c r="C5" s="2" t="str">
        <x:v>泄愤</x:v>
      </x:c>
      <x:c r="D5" s="2" t="str">
        <x:v>泄愤／转移报复</x:v>
      </x:c>
      <x:c r="E5" s="2" t="str">
        <x:v>法院认定</x:v>
      </x:c>
      <x:c r="F5" s="2" t="str">
        <x:v>最高法概述个人琐事不满；案情回顾指交往受拒、交易争执后愤怒。</x:v>
      </x:c>
      <x:c r="G5" s="7" t="str">
        <x:v>AS004</x:v>
      </x:c>
    </x:row>
    <x:row r="6" ht="38" customHeight="1">
      <x:c r="A6" s="2" t="str">
        <x:v>A004</x:v>
      </x:c>
      <x:c r="B6" s="2" t="str">
        <x:v>core</x:v>
      </x:c>
      <x:c r="C6" s="2" t="str">
        <x:v>生活挫折</x:v>
      </x:c>
      <x:c r="D6" s="2" t="str">
        <x:v>生活受挫／疏离／厌世</x:v>
      </x:c>
      <x:c r="E6" s="2" t="str">
        <x:v>法院认定</x:v>
      </x:c>
      <x:c r="F6" s="2" t="str">
        <x:v>工作生活挫折和对就读时被欺负的怨恨，转为报复无关学生。</x:v>
      </x:c>
      <x:c r="G6" s="7" t="str">
        <x:v>AS005；AS006</x:v>
      </x:c>
    </x:row>
    <x:row r="7" ht="38" customHeight="1">
      <x:c r="A7" s="2" t="str">
        <x:v>A004</x:v>
      </x:c>
      <x:c r="B7" s="2" t="str">
        <x:v>core</x:v>
      </x:c>
      <x:c r="C7" s="2" t="str">
        <x:v>转移报复</x:v>
      </x:c>
      <x:c r="D7" s="2" t="str">
        <x:v>泄愤／转移报复</x:v>
      </x:c>
      <x:c r="E7" s="2" t="str">
        <x:v>法院认定</x:v>
      </x:c>
      <x:c r="F7" s="2" t="str">
        <x:v>工作生活挫折和对就读时被欺负的怨恨，转为报复无关学生。</x:v>
      </x:c>
      <x:c r="G7" s="7" t="str">
        <x:v>AS005；AS006</x:v>
      </x:c>
    </x:row>
    <x:row r="8" ht="38" customHeight="1">
      <x:c r="A8" s="2" t="str">
        <x:v>A007</x:v>
      </x:c>
      <x:c r="B8" s="2" t="str">
        <x:v>core</x:v>
      </x:c>
      <x:c r="C8" s="2" t="str">
        <x:v>报复社会</x:v>
      </x:c>
      <x:c r="D8" s="2" t="str">
        <x:v>泄愤／转移报复</x:v>
      </x:c>
      <x:c r="E8" s="2" t="str">
        <x:v>法院认定</x:v>
      </x:c>
      <x:c r="F8" s="2" t="str">
        <x:v>自称在公交车遭恶意扎针染病，因而产生报复社会念头；所谓扎针染病不是已证实事实。</x:v>
      </x:c>
      <x:c r="G8" s="7" t="str">
        <x:v>AS009</x:v>
      </x:c>
    </x:row>
    <x:row r="9" ht="38" customHeight="1">
      <x:c r="A9" s="2" t="str">
        <x:v>A007</x:v>
      </x:c>
      <x:c r="B9" s="2" t="str">
        <x:v>core</x:v>
      </x:c>
      <x:c r="C9" s="2" t="str">
        <x:v>被害归因</x:v>
      </x:c>
      <x:c r="D9" s="2" t="str">
        <x:v>其他已披露背景</x:v>
      </x:c>
      <x:c r="E9" s="2" t="str">
        <x:v>法院认定</x:v>
      </x:c>
      <x:c r="F9" s="2" t="str">
        <x:v>自称在公交车遭恶意扎针染病，因而产生报复社会念头；所谓扎针染病不是已证实事实。</x:v>
      </x:c>
      <x:c r="G9" s="7" t="str">
        <x:v>AS009</x:v>
      </x:c>
    </x:row>
    <x:row r="10" ht="38" customHeight="1">
      <x:c r="A10" s="2" t="str">
        <x:v>A009</x:v>
      </x:c>
      <x:c r="B10" s="2" t="str">
        <x:v>core</x:v>
      </x:c>
      <x:c r="C10" s="2" t="str">
        <x:v>生活挫折</x:v>
      </x:c>
      <x:c r="D10" s="2" t="str">
        <x:v>生活受挫／疏离／厌世</x:v>
      </x:c>
      <x:c r="E10" s="2" t="str">
        <x:v>法院认定</x:v>
      </x:c>
      <x:c r="F10" s="2" t="str">
        <x:v>工作生活不顺而泄愤报复无辜者。</x:v>
      </x:c>
      <x:c r="G10" s="7" t="str">
        <x:v>AS011</x:v>
      </x:c>
    </x:row>
    <x:row r="11" ht="38" customHeight="1">
      <x:c r="A11" s="2" t="str">
        <x:v>A009</x:v>
      </x:c>
      <x:c r="B11" s="2" t="str">
        <x:v>core</x:v>
      </x:c>
      <x:c r="C11" s="2" t="str">
        <x:v>泄愤</x:v>
      </x:c>
      <x:c r="D11" s="2" t="str">
        <x:v>泄愤／转移报复</x:v>
      </x:c>
      <x:c r="E11" s="2" t="str">
        <x:v>法院认定</x:v>
      </x:c>
      <x:c r="F11" s="2" t="str">
        <x:v>工作生活不顺而泄愤报复无辜者。</x:v>
      </x:c>
      <x:c r="G11" s="7" t="str">
        <x:v>AS011</x:v>
      </x:c>
    </x:row>
    <x:row r="12" ht="38" customHeight="1">
      <x:c r="A12" s="2" t="str">
        <x:v>A011</x:v>
      </x:c>
      <x:c r="B12" s="2" t="str">
        <x:v>core</x:v>
      </x:c>
      <x:c r="C12" s="2" t="str">
        <x:v>报复社会</x:v>
      </x:c>
      <x:c r="D12" s="2" t="str">
        <x:v>泄愤／转移报复</x:v>
      </x:c>
      <x:c r="E12" s="2" t="str">
        <x:v>法院认定</x:v>
      </x:c>
      <x:c r="F12" s="2" t="str">
        <x:v>因个人经历及不满产生报复社会念头。</x:v>
      </x:c>
      <x:c r="G12" s="7" t="str">
        <x:v>AS013</x:v>
      </x:c>
    </x:row>
    <x:row r="13" ht="38" customHeight="1">
      <x:c r="A13" s="2" t="str">
        <x:v>A012</x:v>
      </x:c>
      <x:c r="B13" s="2" t="str">
        <x:v>core</x:v>
      </x:c>
      <x:c r="C13" s="2" t="str">
        <x:v>家庭纠纷</x:v>
      </x:c>
      <x:c r="D13" s="2" t="str">
        <x:v>婚姻／家庭／感情问题</x:v>
      </x:c>
      <x:c r="E13" s="2" t="str">
        <x:v>法院认定</x:v>
      </x:c>
      <x:c r="F13" s="2" t="str">
        <x:v>家庭争执后的个人泄愤。</x:v>
      </x:c>
      <x:c r="G13" s="7" t="str">
        <x:v>AS014</x:v>
      </x:c>
    </x:row>
    <x:row r="14" ht="38" customHeight="1">
      <x:c r="A14" s="2" t="str">
        <x:v>A012</x:v>
      </x:c>
      <x:c r="B14" s="2" t="str">
        <x:v>core</x:v>
      </x:c>
      <x:c r="C14" s="2" t="str">
        <x:v>转移报复</x:v>
      </x:c>
      <x:c r="D14" s="2" t="str">
        <x:v>泄愤／转移报复</x:v>
      </x:c>
      <x:c r="E14" s="2" t="str">
        <x:v>法院认定</x:v>
      </x:c>
      <x:c r="F14" s="2" t="str">
        <x:v>家庭争执后的个人泄愤。</x:v>
      </x:c>
      <x:c r="G14" s="7" t="str">
        <x:v>AS014</x:v>
      </x:c>
    </x:row>
    <x:row r="15" ht="38" customHeight="1">
      <x:c r="A15" s="2" t="str">
        <x:v>A049</x:v>
      </x:c>
      <x:c r="B15" s="2" t="str">
        <x:v>core</x:v>
      </x:c>
      <x:c r="C15" s="2" t="str">
        <x:v>家庭变故</x:v>
      </x:c>
      <x:c r="D15" s="2" t="str">
        <x:v>婚姻／家庭／感情问题</x:v>
      </x:c>
      <x:c r="E15" s="2" t="str">
        <x:v>警方初步通报</x:v>
      </x:c>
      <x:c r="F15" s="2" t="str">
        <x:v>警方认定家庭变故后酒后泄愤。</x:v>
      </x:c>
      <x:c r="G15" s="7" t="str">
        <x:v>AS053；AS054</x:v>
      </x:c>
    </x:row>
    <x:row r="16" ht="38" customHeight="1">
      <x:c r="A16" s="2" t="str">
        <x:v>A049</x:v>
      </x:c>
      <x:c r="B16" s="2" t="str">
        <x:v>core</x:v>
      </x:c>
      <x:c r="C16" s="2" t="str">
        <x:v>泄愤</x:v>
      </x:c>
      <x:c r="D16" s="2" t="str">
        <x:v>泄愤／转移报复</x:v>
      </x:c>
      <x:c r="E16" s="2" t="str">
        <x:v>警方初步通报</x:v>
      </x:c>
      <x:c r="F16" s="2" t="str">
        <x:v>警方认定家庭变故后酒后泄愤。</x:v>
      </x:c>
      <x:c r="G16" s="7" t="str">
        <x:v>AS053；AS054</x:v>
      </x:c>
    </x:row>
    <x:row r="17" ht="38" customHeight="1">
      <x:c r="A17" s="2" t="str">
        <x:v>A014</x:v>
      </x:c>
      <x:c r="B17" s="2" t="str">
        <x:v>excluded</x:v>
      </x:c>
      <x:c r="C17" s="2" t="str">
        <x:v>乘车纠纷</x:v>
      </x:c>
      <x:c r="D17" s="2" t="str">
        <x:v>其他已披露背景</x:v>
      </x:c>
      <x:c r="E17" s="2" t="str">
        <x:v>警方初步通报</x:v>
      </x:c>
      <x:c r="F17" s="2" t="str">
        <x:v>坐过站后的争执与互殴。</x:v>
      </x:c>
      <x:c r="G17" s="7" t="str">
        <x:v>AS017</x:v>
      </x:c>
    </x:row>
    <x:row r="18" ht="38" customHeight="1">
      <x:c r="A18" s="2" t="str">
        <x:v>A015</x:v>
      </x:c>
      <x:c r="B18" s="2" t="str">
        <x:v>core</x:v>
      </x:c>
      <x:c r="C18" s="2" t="str">
        <x:v>经济压力</x:v>
      </x:c>
      <x:c r="D18" s="2" t="str">
        <x:v>经济／工作／财产纠纷</x:v>
      </x:c>
      <x:c r="E18" s="2" t="str">
        <x:v>法院认定</x:v>
      </x:c>
      <x:c r="F18" s="2" t="str">
        <x:v>经济压力、婚姻及人际问题等不满。</x:v>
      </x:c>
      <x:c r="G18" s="7" t="str">
        <x:v>AS018</x:v>
      </x:c>
    </x:row>
    <x:row r="19" ht="38" customHeight="1">
      <x:c r="A19" s="2" t="str">
        <x:v>A015</x:v>
      </x:c>
      <x:c r="B19" s="2" t="str">
        <x:v>core</x:v>
      </x:c>
      <x:c r="C19" s="2" t="str">
        <x:v>婚姻矛盾</x:v>
      </x:c>
      <x:c r="D19" s="2" t="str">
        <x:v>婚姻／家庭／感情问题</x:v>
      </x:c>
      <x:c r="E19" s="2" t="str">
        <x:v>法院认定</x:v>
      </x:c>
      <x:c r="F19" s="2" t="str">
        <x:v>经济压力、婚姻及人际问题等不满。</x:v>
      </x:c>
      <x:c r="G19" s="7" t="str">
        <x:v>AS018</x:v>
      </x:c>
    </x:row>
    <x:row r="20" ht="38" customHeight="1">
      <x:c r="A20" s="2" t="str">
        <x:v>A015</x:v>
      </x:c>
      <x:c r="B20" s="2" t="str">
        <x:v>core</x:v>
      </x:c>
      <x:c r="C20" s="2" t="str">
        <x:v>泄愤</x:v>
      </x:c>
      <x:c r="D20" s="2" t="str">
        <x:v>泄愤／转移报复</x:v>
      </x:c>
      <x:c r="E20" s="2" t="str">
        <x:v>法院认定</x:v>
      </x:c>
      <x:c r="F20" s="2" t="str">
        <x:v>经济压力、婚姻及人际问题等不满。</x:v>
      </x:c>
      <x:c r="G20" s="7" t="str">
        <x:v>AS018</x:v>
      </x:c>
    </x:row>
    <x:row r="21" ht="38" customHeight="1">
      <x:c r="A21" s="2" t="str">
        <x:v>A016</x:v>
      </x:c>
      <x:c r="B21" s="2" t="str">
        <x:v>core</x:v>
      </x:c>
      <x:c r="C21" s="2" t="str">
        <x:v>土地补偿纠纷</x:v>
      </x:c>
      <x:c r="D21" s="2" t="str">
        <x:v>经济／工作／财产纠纷</x:v>
      </x:c>
      <x:c r="E21" s="2" t="str">
        <x:v>法院认定</x:v>
      </x:c>
      <x:c r="F21" s="2" t="str">
        <x:v>土地补偿及家庭问题引发不满，转向报复社会。</x:v>
      </x:c>
      <x:c r="G21" s="7" t="str">
        <x:v>AS019</x:v>
      </x:c>
    </x:row>
    <x:row r="22" ht="38" customHeight="1">
      <x:c r="A22" s="2" t="str">
        <x:v>A016</x:v>
      </x:c>
      <x:c r="B22" s="2" t="str">
        <x:v>core</x:v>
      </x:c>
      <x:c r="C22" s="2" t="str">
        <x:v>家庭纠纷</x:v>
      </x:c>
      <x:c r="D22" s="2" t="str">
        <x:v>婚姻／家庭／感情问题</x:v>
      </x:c>
      <x:c r="E22" s="2" t="str">
        <x:v>法院认定</x:v>
      </x:c>
      <x:c r="F22" s="2" t="str">
        <x:v>土地补偿及家庭问题引发不满，转向报复社会。</x:v>
      </x:c>
      <x:c r="G22" s="7" t="str">
        <x:v>AS019</x:v>
      </x:c>
    </x:row>
    <x:row r="23" ht="38" customHeight="1">
      <x:c r="A23" s="2" t="str">
        <x:v>A016</x:v>
      </x:c>
      <x:c r="B23" s="2" t="str">
        <x:v>core</x:v>
      </x:c>
      <x:c r="C23" s="2" t="str">
        <x:v>报复社会</x:v>
      </x:c>
      <x:c r="D23" s="2" t="str">
        <x:v>泄愤／转移报复</x:v>
      </x:c>
      <x:c r="E23" s="2" t="str">
        <x:v>法院认定</x:v>
      </x:c>
      <x:c r="F23" s="2" t="str">
        <x:v>土地补偿及家庭问题引发不满，转向报复社会。</x:v>
      </x:c>
      <x:c r="G23" s="7" t="str">
        <x:v>AS019</x:v>
      </x:c>
    </x:row>
    <x:row r="24" ht="38" customHeight="1">
      <x:c r="A24" s="2" t="str">
        <x:v>A017</x:v>
      </x:c>
      <x:c r="B24" s="2" t="str">
        <x:v>expanded</x:v>
      </x:c>
      <x:c r="C24" s="2" t="str">
        <x:v>人际纠纷</x:v>
      </x:c>
      <x:c r="D24" s="2" t="str">
        <x:v>其他已披露背景</x:v>
      </x:c>
      <x:c r="E24" s="2" t="str">
        <x:v>警方初步通报</x:v>
      </x:c>
      <x:c r="F24" s="2" t="str">
        <x:v>原有人际矛盾后袭击，继而劫持车辆危害公共安全。</x:v>
      </x:c>
      <x:c r="G24" s="7" t="str">
        <x:v>AS055</x:v>
      </x:c>
    </x:row>
    <x:row r="25" ht="38" customHeight="1">
      <x:c r="A25" s="2" t="str">
        <x:v>A017</x:v>
      </x:c>
      <x:c r="B25" s="2" t="str">
        <x:v>expanded</x:v>
      </x:c>
      <x:c r="C25" s="2" t="str">
        <x:v>扩大报复</x:v>
      </x:c>
      <x:c r="D25" s="2" t="str">
        <x:v>其他已披露背景</x:v>
      </x:c>
      <x:c r="E25" s="2" t="str">
        <x:v>警方初步通报</x:v>
      </x:c>
      <x:c r="F25" s="2" t="str">
        <x:v>原有人际矛盾后袭击，继而劫持车辆危害公共安全。</x:v>
      </x:c>
      <x:c r="G25" s="7" t="str">
        <x:v>AS055</x:v>
      </x:c>
    </x:row>
    <x:row r="26" ht="38" customHeight="1">
      <x:c r="A26" s="2" t="str">
        <x:v>A018</x:v>
      </x:c>
      <x:c r="B26" s="2" t="str">
        <x:v>core</x:v>
      </x:c>
      <x:c r="C26" s="2" t="str">
        <x:v>工作纠纷</x:v>
      </x:c>
      <x:c r="D26" s="2" t="str">
        <x:v>经济／工作／财产纠纷</x:v>
      </x:c>
      <x:c r="E26" s="2" t="str">
        <x:v>警方初步通报</x:v>
      </x:c>
      <x:c r="F26" s="2" t="str">
        <x:v>劳务合同到期续聘问题引发不满。</x:v>
      </x:c>
      <x:c r="G26" s="7" t="str">
        <x:v>AS021</x:v>
      </x:c>
    </x:row>
    <x:row r="27" ht="38" customHeight="1">
      <x:c r="A27" s="2" t="str">
        <x:v>A018</x:v>
      </x:c>
      <x:c r="B27" s="2" t="str">
        <x:v>core</x:v>
      </x:c>
      <x:c r="C27" s="2" t="str">
        <x:v>转移报复</x:v>
      </x:c>
      <x:c r="D27" s="2" t="str">
        <x:v>泄愤／转移报复</x:v>
      </x:c>
      <x:c r="E27" s="2" t="str">
        <x:v>警方初步通报</x:v>
      </x:c>
      <x:c r="F27" s="2" t="str">
        <x:v>劳务合同到期续聘问题引发不满。</x:v>
      </x:c>
      <x:c r="G27" s="7" t="str">
        <x:v>AS021</x:v>
      </x:c>
    </x:row>
    <x:row r="28" ht="38" customHeight="1">
      <x:c r="A28" s="2" t="str">
        <x:v>A020</x:v>
      </x:c>
      <x:c r="B28" s="2" t="str">
        <x:v>expanded</x:v>
      </x:c>
      <x:c r="C28" s="2" t="str">
        <x:v>感情纠纷</x:v>
      </x:c>
      <x:c r="D28" s="2" t="str">
        <x:v>婚姻／家庭／感情问题</x:v>
      </x:c>
      <x:c r="E28" s="2" t="str">
        <x:v>警方初步通报</x:v>
      </x:c>
      <x:c r="F28" s="2" t="str">
        <x:v>与前妻及其男友的感情纠纷后，伤害扩大到无关路人。</x:v>
      </x:c>
      <x:c r="G28" s="7" t="str">
        <x:v>AS023</x:v>
      </x:c>
    </x:row>
    <x:row r="29" ht="38" customHeight="1">
      <x:c r="A29" s="2" t="str">
        <x:v>A020</x:v>
      </x:c>
      <x:c r="B29" s="2" t="str">
        <x:v>expanded</x:v>
      </x:c>
      <x:c r="C29" s="2" t="str">
        <x:v>扩大伤害</x:v>
      </x:c>
      <x:c r="D29" s="2" t="str">
        <x:v>其他已披露背景</x:v>
      </x:c>
      <x:c r="E29" s="2" t="str">
        <x:v>警方初步通报</x:v>
      </x:c>
      <x:c r="F29" s="2" t="str">
        <x:v>与前妻及其男友的感情纠纷后，伤害扩大到无关路人。</x:v>
      </x:c>
      <x:c r="G29" s="7" t="str">
        <x:v>AS023</x:v>
      </x:c>
    </x:row>
    <x:row r="30" ht="38" customHeight="1">
      <x:c r="A30" s="2" t="str">
        <x:v>A046</x:v>
      </x:c>
      <x:c r="B30" s="2" t="str">
        <x:v>pending</x:v>
      </x:c>
      <x:c r="C30" s="2" t="str">
        <x:v>婚姻纠纷</x:v>
      </x:c>
      <x:c r="D30" s="2" t="str">
        <x:v>其他已披露背景</x:v>
      </x:c>
      <x:c r="E30" s="2" t="str">
        <x:v>警方初步通报</x:v>
      </x:c>
      <x:c r="F30" s="2" t="str">
        <x:v>警方转述供述：怀疑妻子与他人存在不正当关系而报复。</x:v>
      </x:c>
      <x:c r="G30" s="7" t="str">
        <x:v>AS050</x:v>
      </x:c>
    </x:row>
    <x:row r="31" ht="38" customHeight="1">
      <x:c r="A31" s="2" t="str">
        <x:v>A047</x:v>
      </x:c>
      <x:c r="B31" s="2" t="str">
        <x:v>excluded</x:v>
      </x:c>
      <x:c r="C31" s="2" t="str">
        <x:v>同学纠纷</x:v>
      </x:c>
      <x:c r="D31" s="2" t="str">
        <x:v>其他已披露背景</x:v>
      </x:c>
      <x:c r="E31" s="2" t="str">
        <x:v>警方初步通报</x:v>
      </x:c>
      <x:c r="F31" s="2" t="str">
        <x:v>同学间矛盾。</x:v>
      </x:c>
      <x:c r="G31" s="7" t="str">
        <x:v>AS051</x:v>
      </x:c>
    </x:row>
    <x:row r="32" ht="38" customHeight="1">
      <x:c r="A32" s="2" t="str">
        <x:v>A025</x:v>
      </x:c>
      <x:c r="B32" s="2" t="str">
        <x:v>core</x:v>
      </x:c>
      <x:c r="C32" s="2" t="str">
        <x:v>经济损失</x:v>
      </x:c>
      <x:c r="D32" s="2" t="str">
        <x:v>经济／工作／财产纠纷</x:v>
      </x:c>
      <x:c r="E32" s="2" t="str">
        <x:v>法院认定</x:v>
      </x:c>
      <x:c r="F32" s="2" t="str">
        <x:v>经营受查、赌博损失、婚姻破裂等个人挫折后报复社会。</x:v>
      </x:c>
      <x:c r="G32" s="7" t="str">
        <x:v>AS029</x:v>
      </x:c>
    </x:row>
    <x:row r="33" ht="38" customHeight="1">
      <x:c r="A33" s="2" t="str">
        <x:v>A025</x:v>
      </x:c>
      <x:c r="B33" s="2" t="str">
        <x:v>core</x:v>
      </x:c>
      <x:c r="C33" s="2" t="str">
        <x:v>婚姻矛盾</x:v>
      </x:c>
      <x:c r="D33" s="2" t="str">
        <x:v>婚姻／家庭／感情问题</x:v>
      </x:c>
      <x:c r="E33" s="2" t="str">
        <x:v>法院认定</x:v>
      </x:c>
      <x:c r="F33" s="2" t="str">
        <x:v>经营受查、赌博损失、婚姻破裂等个人挫折后报复社会。</x:v>
      </x:c>
      <x:c r="G33" s="7" t="str">
        <x:v>AS029</x:v>
      </x:c>
    </x:row>
    <x:row r="34" ht="38" customHeight="1">
      <x:c r="A34" s="2" t="str">
        <x:v>A025</x:v>
      </x:c>
      <x:c r="B34" s="2" t="str">
        <x:v>core</x:v>
      </x:c>
      <x:c r="C34" s="2" t="str">
        <x:v>报复社会</x:v>
      </x:c>
      <x:c r="D34" s="2" t="str">
        <x:v>泄愤／转移报复</x:v>
      </x:c>
      <x:c r="E34" s="2" t="str">
        <x:v>法院认定</x:v>
      </x:c>
      <x:c r="F34" s="2" t="str">
        <x:v>经营受查、赌博损失、婚姻破裂等个人挫折后报复社会。</x:v>
      </x:c>
      <x:c r="G34" s="7" t="str">
        <x:v>AS029</x:v>
      </x:c>
    </x:row>
    <x:row r="35" ht="38" customHeight="1">
      <x:c r="A35" s="2" t="str">
        <x:v>A027</x:v>
      </x:c>
      <x:c r="B35" s="2" t="str">
        <x:v>core</x:v>
      </x:c>
      <x:c r="C35" s="2" t="str">
        <x:v>感情纠纷</x:v>
      </x:c>
      <x:c r="D35" s="2" t="str">
        <x:v>婚姻／家庭／感情问题</x:v>
      </x:c>
      <x:c r="E35" s="2" t="str">
        <x:v>警方初步通报</x:v>
      </x:c>
      <x:c r="F35" s="2" t="str">
        <x:v>寻找前女友未果后迁怒无关者，具体心理原因未披露。</x:v>
      </x:c>
      <x:c r="G35" s="7" t="str">
        <x:v>AS031</x:v>
      </x:c>
    </x:row>
    <x:row r="36" ht="38" customHeight="1">
      <x:c r="A36" s="2" t="str">
        <x:v>A027</x:v>
      </x:c>
      <x:c r="B36" s="2" t="str">
        <x:v>core</x:v>
      </x:c>
      <x:c r="C36" s="2" t="str">
        <x:v>转移报复</x:v>
      </x:c>
      <x:c r="D36" s="2" t="str">
        <x:v>泄愤／转移报复</x:v>
      </x:c>
      <x:c r="E36" s="2" t="str">
        <x:v>警方初步通报</x:v>
      </x:c>
      <x:c r="F36" s="2" t="str">
        <x:v>寻找前女友未果后迁怒无关者，具体心理原因未披露。</x:v>
      </x:c>
      <x:c r="G36" s="7" t="str">
        <x:v>AS031</x:v>
      </x:c>
    </x:row>
    <x:row r="37" ht="38" customHeight="1">
      <x:c r="A37" s="2" t="str">
        <x:v>A029</x:v>
      </x:c>
      <x:c r="B37" s="2" t="str">
        <x:v>core</x:v>
      </x:c>
      <x:c r="C37" s="2" t="str">
        <x:v>生活挫折</x:v>
      </x:c>
      <x:c r="D37" s="2" t="str">
        <x:v>生活受挫／疏离／厌世</x:v>
      </x:c>
      <x:c r="E37" s="2" t="str">
        <x:v>警方初步通报</x:v>
      </x:c>
      <x:c r="F37" s="2" t="str">
        <x:v>警方转述嫌疑人供述：成长及工作生活不顺，产生悲观和报复社会心理。</x:v>
      </x:c>
      <x:c r="G37" s="7" t="str">
        <x:v>AS033</x:v>
      </x:c>
    </x:row>
    <x:row r="38" ht="38" customHeight="1">
      <x:c r="A38" s="2" t="str">
        <x:v>A029</x:v>
      </x:c>
      <x:c r="B38" s="2" t="str">
        <x:v>core</x:v>
      </x:c>
      <x:c r="C38" s="2" t="str">
        <x:v>报复社会</x:v>
      </x:c>
      <x:c r="D38" s="2" t="str">
        <x:v>泄愤／转移报复</x:v>
      </x:c>
      <x:c r="E38" s="2" t="str">
        <x:v>警方初步通报</x:v>
      </x:c>
      <x:c r="F38" s="2" t="str">
        <x:v>警方转述嫌疑人供述：成长及工作生活不顺，产生悲观和报复社会心理。</x:v>
      </x:c>
      <x:c r="G38" s="7" t="str">
        <x:v>AS033</x:v>
      </x:c>
    </x:row>
    <x:row r="39" ht="38" customHeight="1">
      <x:c r="A39" s="2" t="str">
        <x:v>A032</x:v>
      </x:c>
      <x:c r="B39" s="2" t="str">
        <x:v>expanded</x:v>
      </x:c>
      <x:c r="C39" s="2" t="str">
        <x:v>医患纠纷</x:v>
      </x:c>
      <x:c r="D39" s="2" t="str">
        <x:v>其他已披露背景</x:v>
      </x:c>
      <x:c r="E39" s="2" t="str">
        <x:v>法院认定</x:v>
      </x:c>
      <x:c r="F39" s="2" t="str">
        <x:v>认为眼睛治疗效果未达个人预期，对诊治医生怨恨。</x:v>
      </x:c>
      <x:c r="G39" s="7" t="str">
        <x:v>AS036</x:v>
      </x:c>
    </x:row>
    <x:row r="40" ht="38" customHeight="1">
      <x:c r="A40" s="2" t="str">
        <x:v>A032</x:v>
      </x:c>
      <x:c r="B40" s="2" t="str">
        <x:v>expanded</x:v>
      </x:c>
      <x:c r="C40" s="2" t="str">
        <x:v>扩大伤害</x:v>
      </x:c>
      <x:c r="D40" s="2" t="str">
        <x:v>其他已披露背景</x:v>
      </x:c>
      <x:c r="E40" s="2" t="str">
        <x:v>法院认定</x:v>
      </x:c>
      <x:c r="F40" s="2" t="str">
        <x:v>认为眼睛治疗效果未达个人预期，对诊治医生怨恨。</x:v>
      </x:c>
      <x:c r="G40" s="7" t="str">
        <x:v>AS036</x:v>
      </x:c>
    </x:row>
    <x:row r="41" ht="38" customHeight="1">
      <x:c r="A41" s="2" t="str">
        <x:v>A033</x:v>
      </x:c>
      <x:c r="B41" s="2" t="str">
        <x:v>core</x:v>
      </x:c>
      <x:c r="C41" s="2" t="str">
        <x:v>报复社会</x:v>
      </x:c>
      <x:c r="D41" s="2" t="str">
        <x:v>泄愤／转移报复</x:v>
      </x:c>
      <x:c r="E41" s="2" t="str">
        <x:v>检方指控</x:v>
      </x:c>
      <x:c r="F41" s="2" t="str">
        <x:v>检方通报指厌世、自杀及报复社会念头；尚未取得终审认定。</x:v>
      </x:c>
      <x:c r="G41" s="7" t="str">
        <x:v>AS037</x:v>
      </x:c>
    </x:row>
    <x:row r="42" ht="38" customHeight="1">
      <x:c r="A42" s="2" t="str">
        <x:v>A033</x:v>
      </x:c>
      <x:c r="B42" s="2" t="str">
        <x:v>core</x:v>
      </x:c>
      <x:c r="C42" s="2" t="str">
        <x:v>自杀倾向</x:v>
      </x:c>
      <x:c r="D42" s="2" t="str">
        <x:v>求死／求入狱</x:v>
      </x:c>
      <x:c r="E42" s="2" t="str">
        <x:v>检方指控</x:v>
      </x:c>
      <x:c r="F42" s="2" t="str">
        <x:v>检方通报指厌世、自杀及报复社会念头；尚未取得终审认定。</x:v>
      </x:c>
      <x:c r="G42" s="7" t="str">
        <x:v>AS037</x:v>
      </x:c>
    </x:row>
    <x:row r="43" ht="38" customHeight="1">
      <x:c r="A43" s="2" t="str">
        <x:v>A034</x:v>
      </x:c>
      <x:c r="B43" s="2" t="str">
        <x:v>expanded</x:v>
      </x:c>
      <x:c r="C43" s="2" t="str">
        <x:v>工作纠纷</x:v>
      </x:c>
      <x:c r="D43" s="2" t="str">
        <x:v>经济／工作／财产纠纷</x:v>
      </x:c>
      <x:c r="E43" s="2" t="str">
        <x:v>法院认定</x:v>
      </x:c>
      <x:c r="F43" s="2" t="str">
        <x:v>工作与请假等争执后行凶，扩大至学生群体。</x:v>
      </x:c>
      <x:c r="G43" s="7" t="str">
        <x:v>AS038</x:v>
      </x:c>
    </x:row>
    <x:row r="44" ht="38" customHeight="1">
      <x:c r="A44" s="2" t="str">
        <x:v>A034</x:v>
      </x:c>
      <x:c r="B44" s="2" t="str">
        <x:v>expanded</x:v>
      </x:c>
      <x:c r="C44" s="2" t="str">
        <x:v>扩大报复</x:v>
      </x:c>
      <x:c r="D44" s="2" t="str">
        <x:v>其他已披露背景</x:v>
      </x:c>
      <x:c r="E44" s="2" t="str">
        <x:v>法院认定</x:v>
      </x:c>
      <x:c r="F44" s="2" t="str">
        <x:v>工作与请假等争执后行凶，扩大至学生群体。</x:v>
      </x:c>
      <x:c r="G44" s="7" t="str">
        <x:v>AS038</x:v>
      </x:c>
    </x:row>
    <x:row r="45" ht="38" customHeight="1">
      <x:c r="A45" s="2" t="str">
        <x:v>A037</x:v>
      </x:c>
      <x:c r="B45" s="2" t="str">
        <x:v>core</x:v>
      </x:c>
      <x:c r="C45" s="2" t="str">
        <x:v>模仿犯罪</x:v>
      </x:c>
      <x:c r="D45" s="2" t="str">
        <x:v>其他已披露背景</x:v>
      </x:c>
      <x:c r="E45" s="2" t="str">
        <x:v>法院认定</x:v>
      </x:c>
      <x:c r="F45" s="2" t="str">
        <x:v>法院认为受网络小说影响欲模仿砍人情节；第二阶段与司机车费争执。</x:v>
      </x:c>
      <x:c r="G45" s="7" t="str">
        <x:v>AS041</x:v>
      </x:c>
    </x:row>
    <x:row r="46" ht="38" customHeight="1">
      <x:c r="A46" s="2" t="str">
        <x:v>A037</x:v>
      </x:c>
      <x:c r="B46" s="2" t="str">
        <x:v>core</x:v>
      </x:c>
      <x:c r="C46" s="2" t="str">
        <x:v>后续乘车纠纷</x:v>
      </x:c>
      <x:c r="D46" s="2" t="str">
        <x:v>其他已披露背景</x:v>
      </x:c>
      <x:c r="E46" s="2" t="str">
        <x:v>法院认定</x:v>
      </x:c>
      <x:c r="F46" s="2" t="str">
        <x:v>法院认为受网络小说影响欲模仿砍人情节；第二阶段与司机车费争执。</x:v>
      </x:c>
      <x:c r="G46" s="7" t="str">
        <x:v>AS041</x:v>
      </x:c>
    </x:row>
    <x:row r="47" ht="38" customHeight="1">
      <x:c r="A47" s="2" t="str">
        <x:v>A038</x:v>
      </x:c>
      <x:c r="B47" s="2" t="str">
        <x:v>core</x:v>
      </x:c>
      <x:c r="C47" s="2" t="str">
        <x:v>住房纠纷</x:v>
      </x:c>
      <x:c r="D47" s="2" t="str">
        <x:v>经济／工作／财产纠纷</x:v>
      </x:c>
      <x:c r="E47" s="2" t="str">
        <x:v>警方初步通报</x:v>
      </x:c>
      <x:c r="F47" s="2" t="str">
        <x:v>生活不如意及对承租公房拆除不满，为制造影响实施袭击。</x:v>
      </x:c>
      <x:c r="G47" s="7" t="str">
        <x:v>AS042</x:v>
      </x:c>
    </x:row>
    <x:row r="48" ht="38" customHeight="1">
      <x:c r="A48" s="2" t="str">
        <x:v>A038</x:v>
      </x:c>
      <x:c r="B48" s="2" t="str">
        <x:v>core</x:v>
      </x:c>
      <x:c r="C48" s="2" t="str">
        <x:v>生活挫折</x:v>
      </x:c>
      <x:c r="D48" s="2" t="str">
        <x:v>生活受挫／疏离／厌世</x:v>
      </x:c>
      <x:c r="E48" s="2" t="str">
        <x:v>警方初步通报</x:v>
      </x:c>
      <x:c r="F48" s="2" t="str">
        <x:v>生活不如意及对承租公房拆除不满，为制造影响实施袭击。</x:v>
      </x:c>
      <x:c r="G48" s="7" t="str">
        <x:v>AS042</x:v>
      </x:c>
    </x:row>
    <x:row r="49" ht="38" customHeight="1">
      <x:c r="A49" s="2" t="str">
        <x:v>A038</x:v>
      </x:c>
      <x:c r="B49" s="2" t="str">
        <x:v>core</x:v>
      </x:c>
      <x:c r="C49" s="2" t="str">
        <x:v>报复社会</x:v>
      </x:c>
      <x:c r="D49" s="2" t="str">
        <x:v>泄愤／转移报复</x:v>
      </x:c>
      <x:c r="E49" s="2" t="str">
        <x:v>警方初步通报</x:v>
      </x:c>
      <x:c r="F49" s="2" t="str">
        <x:v>生活不如意及对承租公房拆除不满，为制造影响实施袭击。</x:v>
      </x:c>
      <x:c r="G49" s="7" t="str">
        <x:v>AS042</x:v>
      </x:c>
    </x:row>
    <x:row r="50" ht="38" customHeight="1">
      <x:c r="A50" s="2" t="str">
        <x:v>A039</x:v>
      </x:c>
      <x:c r="B50" s="2" t="str">
        <x:v>core</x:v>
      </x:c>
      <x:c r="C50" s="2" t="str">
        <x:v>疑似权益受损</x:v>
      </x:c>
      <x:c r="D50" s="2" t="str">
        <x:v>寻求关注／表达诉求</x:v>
      </x:c>
      <x:c r="E50" s="2" t="str">
        <x:v>法院认定</x:v>
      </x:c>
      <x:c r="F50" s="2" t="str">
        <x:v>怀疑门锁被破坏，意图通过袭击闹市女性将事情闹大。</x:v>
      </x:c>
      <x:c r="G50" s="7" t="str">
        <x:v>AS043</x:v>
      </x:c>
    </x:row>
    <x:row r="51" ht="38" customHeight="1">
      <x:c r="A51" s="2" t="str">
        <x:v>A039</x:v>
      </x:c>
      <x:c r="B51" s="2" t="str">
        <x:v>core</x:v>
      </x:c>
      <x:c r="C51" s="2" t="str">
        <x:v>制造影响</x:v>
      </x:c>
      <x:c r="D51" s="2" t="str">
        <x:v>寻求关注／表达诉求</x:v>
      </x:c>
      <x:c r="E51" s="2" t="str">
        <x:v>法院认定</x:v>
      </x:c>
      <x:c r="F51" s="2" t="str">
        <x:v>怀疑门锁被破坏，意图通过袭击闹市女性将事情闹大。</x:v>
      </x:c>
      <x:c r="G51" s="7" t="str">
        <x:v>AS043</x:v>
      </x:c>
    </x:row>
    <x:row r="52" ht="38" customHeight="1">
      <x:c r="A52" s="2" t="str">
        <x:v>A040</x:v>
      </x:c>
      <x:c r="B52" s="2" t="str">
        <x:v>core</x:v>
      </x:c>
      <x:c r="C52" s="2" t="str">
        <x:v>诉求受挫</x:v>
      </x:c>
      <x:c r="D52" s="2" t="str">
        <x:v>寻求关注／表达诉求</x:v>
      </x:c>
      <x:c r="E52" s="2" t="str">
        <x:v>检方指控</x:v>
      </x:c>
      <x:c r="F52" s="2" t="str">
        <x:v>检方指控因家庭诉求未解决，对社会不满而袭击学生引关注。</x:v>
      </x:c>
      <x:c r="G52" s="7" t="str">
        <x:v>AS044；AS045</x:v>
      </x:c>
    </x:row>
    <x:row r="53" ht="38" customHeight="1">
      <x:c r="A53" s="2" t="str">
        <x:v>A040</x:v>
      </x:c>
      <x:c r="B53" s="2" t="str">
        <x:v>core</x:v>
      </x:c>
      <x:c r="C53" s="2" t="str">
        <x:v>报复社会</x:v>
      </x:c>
      <x:c r="D53" s="2" t="str">
        <x:v>泄愤／转移报复</x:v>
      </x:c>
      <x:c r="E53" s="2" t="str">
        <x:v>检方指控</x:v>
      </x:c>
      <x:c r="F53" s="2" t="str">
        <x:v>检方指控因家庭诉求未解决，对社会不满而袭击学生引关注。</x:v>
      </x:c>
      <x:c r="G53" s="7" t="str">
        <x:v>AS044；AS045</x:v>
      </x:c>
    </x:row>
    <x:row r="54" ht="38" customHeight="1">
      <x:c r="A54" s="2" t="str">
        <x:v>A040</x:v>
      </x:c>
      <x:c r="B54" s="2" t="str">
        <x:v>core</x:v>
      </x:c>
      <x:c r="C54" s="2" t="str">
        <x:v>制造影响</x:v>
      </x:c>
      <x:c r="D54" s="2" t="str">
        <x:v>寻求关注／表达诉求</x:v>
      </x:c>
      <x:c r="E54" s="2" t="str">
        <x:v>检方指控</x:v>
      </x:c>
      <x:c r="F54" s="2" t="str">
        <x:v>检方指控因家庭诉求未解决，对社会不满而袭击学生引关注。</x:v>
      </x:c>
      <x:c r="G54" s="7" t="str">
        <x:v>AS044；AS045</x:v>
      </x:c>
    </x:row>
    <x:row r="55" ht="38" customHeight="1">
      <x:c r="A55" s="2" t="str">
        <x:v>A042</x:v>
      </x:c>
      <x:c r="B55" s="2" t="str">
        <x:v>core</x:v>
      </x:c>
      <x:c r="C55" s="2" t="str">
        <x:v>家庭变故</x:v>
      </x:c>
      <x:c r="D55" s="2" t="str">
        <x:v>婚姻／家庭／感情问题</x:v>
      </x:c>
      <x:c r="E55" s="2" t="str">
        <x:v>警方初步通报</x:v>
      </x:c>
      <x:c r="F55" s="2" t="str">
        <x:v>警方称儿子离世、与妻子离异，对社会产生不满。</x:v>
      </x:c>
      <x:c r="G55" s="7" t="str">
        <x:v>AS047</x:v>
      </x:c>
    </x:row>
    <x:row r="56" ht="38" customHeight="1">
      <x:c r="A56" s="2" t="str">
        <x:v>A042</x:v>
      </x:c>
      <x:c r="B56" s="2" t="str">
        <x:v>core</x:v>
      </x:c>
      <x:c r="C56" s="2" t="str">
        <x:v>报复社会</x:v>
      </x:c>
      <x:c r="D56" s="2" t="str">
        <x:v>泄愤／转移报复</x:v>
      </x:c>
      <x:c r="E56" s="2" t="str">
        <x:v>警方初步通报</x:v>
      </x:c>
      <x:c r="F56" s="2" t="str">
        <x:v>警方称儿子离世、与妻子离异，对社会产生不满。</x:v>
      </x:c>
      <x:c r="G56" s="7" t="str">
        <x:v>AS047</x:v>
      </x:c>
    </x:row>
    <x:row r="57" ht="38" customHeight="1">
      <x:c r="A57" s="2" t="str">
        <x:v>B12</x:v>
      </x:c>
      <x:c r="B57" s="2" t="str">
        <x:v>core</x:v>
      </x:c>
      <x:c r="C57" s="2" t="str">
        <x:v>医疗不满</x:v>
      </x:c>
      <x:c r="D57" s="2" t="str">
        <x:v>医疗不满</x:v>
      </x:c>
      <x:c r="E57" s="2" t="str">
        <x:v>警方初步通报</x:v>
      </x:c>
      <x:c r="F57" s="2" t="str">
        <x:v>警方初查：长期肾病就医后认为医护迫害自己而实施报复。</x:v>
      </x:c>
      <x:c r="G57" s="7" t="str">
        <x:v>BS13</x:v>
      </x:c>
    </x:row>
    <x:row r="58" ht="38" customHeight="1">
      <x:c r="A58" s="2" t="str">
        <x:v>B12</x:v>
      </x:c>
      <x:c r="B58" s="2" t="str">
        <x:v>core</x:v>
      </x:c>
      <x:c r="C58" s="2" t="str">
        <x:v>泄愤报复</x:v>
      </x:c>
      <x:c r="D58" s="2" t="str">
        <x:v>泄愤／转移报复</x:v>
      </x:c>
      <x:c r="E58" s="2" t="str">
        <x:v>警方初步通报</x:v>
      </x:c>
      <x:c r="F58" s="2" t="str">
        <x:v>警方初查：长期肾病就医后认为医护迫害自己而实施报复。</x:v>
      </x:c>
      <x:c r="G58" s="7" t="str">
        <x:v>BS13</x:v>
      </x:c>
    </x:row>
    <x:row r="59" ht="38" customHeight="1">
      <x:c r="A59" s="2" t="str">
        <x:v>B13</x:v>
      </x:c>
      <x:c r="B59" s="2" t="str">
        <x:v>pending</x:v>
      </x:c>
      <x:c r="C59" s="2" t="str">
        <x:v>家庭争执</x:v>
      </x:c>
      <x:c r="D59" s="2" t="str">
        <x:v>其他已披露背景</x:v>
      </x:c>
      <x:c r="E59" s="2" t="str">
        <x:v>警方初步通报</x:v>
      </x:c>
      <x:c r="F59" s="2" t="str">
        <x:v>警方称先与母亲因生活琐事争吵。</x:v>
      </x:c>
      <x:c r="G59" s="7" t="str">
        <x:v>BS14</x:v>
      </x:c>
    </x:row>
    <x:row r="60" ht="38" customHeight="1">
      <x:c r="A60" s="2" t="str">
        <x:v>B01</x:v>
      </x:c>
      <x:c r="B60" s="2" t="str">
        <x:v>core</x:v>
      </x:c>
      <x:c r="C60" s="2" t="str">
        <x:v>经济受挫</x:v>
      </x:c>
      <x:c r="D60" s="2" t="str">
        <x:v>经济／工作／财产纠纷</x:v>
      </x:c>
      <x:c r="E60" s="2" t="str">
        <x:v>法院认定</x:v>
      </x:c>
      <x:c r="F60" s="2" t="str">
        <x:v>法院认定无法接受投资失败，驾车冲撞行人。</x:v>
      </x:c>
      <x:c r="G60" s="7" t="str">
        <x:v>BS01</x:v>
      </x:c>
    </x:row>
    <x:row r="61" ht="38" customHeight="1">
      <x:c r="A61" s="2" t="str">
        <x:v>B01</x:v>
      </x:c>
      <x:c r="B61" s="2" t="str">
        <x:v>core</x:v>
      </x:c>
      <x:c r="C61" s="2" t="str">
        <x:v>泄愤报复</x:v>
      </x:c>
      <x:c r="D61" s="2" t="str">
        <x:v>泄愤／转移报复</x:v>
      </x:c>
      <x:c r="E61" s="2" t="str">
        <x:v>法院认定</x:v>
      </x:c>
      <x:c r="F61" s="2" t="str">
        <x:v>法院认定无法接受投资失败，驾车冲撞行人。</x:v>
      </x:c>
      <x:c r="G61" s="7" t="str">
        <x:v>BS01</x:v>
      </x:c>
    </x:row>
    <x:row r="62" ht="38" customHeight="1">
      <x:c r="A62" s="2" t="str">
        <x:v>B07</x:v>
      </x:c>
      <x:c r="B62" s="2" t="str">
        <x:v>core</x:v>
      </x:c>
      <x:c r="C62" s="2" t="str">
        <x:v>生活失意</x:v>
      </x:c>
      <x:c r="D62" s="2" t="str">
        <x:v>生活受挫／疏离／厌世</x:v>
      </x:c>
      <x:c r="E62" s="2" t="str">
        <x:v>警方初步通报</x:v>
      </x:c>
      <x:c r="F62" s="2" t="str">
        <x:v>警方初步认定因生活失意离家独居，为报复社会持棍行凶。</x:v>
      </x:c>
      <x:c r="G62" s="7" t="str">
        <x:v>BS07</x:v>
      </x:c>
    </x:row>
    <x:row r="63" ht="38" customHeight="1">
      <x:c r="A63" s="2" t="str">
        <x:v>B07</x:v>
      </x:c>
      <x:c r="B63" s="2" t="str">
        <x:v>core</x:v>
      </x:c>
      <x:c r="C63" s="2" t="str">
        <x:v>泄愤报复</x:v>
      </x:c>
      <x:c r="D63" s="2" t="str">
        <x:v>泄愤／转移报复</x:v>
      </x:c>
      <x:c r="E63" s="2" t="str">
        <x:v>警方初步通报</x:v>
      </x:c>
      <x:c r="F63" s="2" t="str">
        <x:v>警方初步认定因生活失意离家独居，为报复社会持棍行凶。</x:v>
      </x:c>
      <x:c r="G63" s="7" t="str">
        <x:v>BS07</x:v>
      </x:c>
    </x:row>
    <x:row r="64" ht="38" customHeight="1">
      <x:c r="A64" s="2" t="str">
        <x:v>B10</x:v>
      </x:c>
      <x:c r="B64" s="2" t="str">
        <x:v>expanded</x:v>
      </x:c>
      <x:c r="C64" s="2" t="str">
        <x:v>婚恋家庭纠纷</x:v>
      </x:c>
      <x:c r="D64" s="2" t="str">
        <x:v>其他已披露背景</x:v>
      </x:c>
      <x:c r="E64" s="2" t="str">
        <x:v>法院认定</x:v>
      </x:c>
      <x:c r="F64" s="2" t="str">
        <x:v>法院认定复合遭拒后跟候前妻，看到她与同学同行而起杀念；逃亡期间持续冲撞不特定车辆行人。</x:v>
      </x:c>
      <x:c r="G64" s="7" t="str">
        <x:v>BS10；BS56</x:v>
      </x:c>
    </x:row>
    <x:row r="65" ht="38" customHeight="1">
      <x:c r="A65" s="2" t="str">
        <x:v>B10</x:v>
      </x:c>
      <x:c r="B65" s="2" t="str">
        <x:v>expanded</x:v>
      </x:c>
      <x:c r="C65" s="2" t="str">
        <x:v>纠纷外溢</x:v>
      </x:c>
      <x:c r="D65" s="2" t="str">
        <x:v>其他已披露背景</x:v>
      </x:c>
      <x:c r="E65" s="2" t="str">
        <x:v>法院认定</x:v>
      </x:c>
      <x:c r="F65" s="2" t="str">
        <x:v>法院认定复合遭拒后跟候前妻，看到她与同学同行而起杀念；逃亡期间持续冲撞不特定车辆行人。</x:v>
      </x:c>
      <x:c r="G65" s="7" t="str">
        <x:v>BS10；BS56</x:v>
      </x:c>
    </x:row>
    <x:row r="66" ht="38" customHeight="1">
      <x:c r="A66" s="2" t="str">
        <x:v>B02</x:v>
      </x:c>
      <x:c r="B66" s="2" t="str">
        <x:v>core</x:v>
      </x:c>
      <x:c r="C66" s="2" t="str">
        <x:v>家庭问题</x:v>
      </x:c>
      <x:c r="D66" s="2" t="str">
        <x:v>婚姻／家庭／感情问题</x:v>
      </x:c>
      <x:c r="E66" s="2" t="str">
        <x:v>法院认定</x:v>
      </x:c>
      <x:c r="F66" s="2" t="str">
        <x:v>对家庭和社会不满，产生报复杀害无辜群众之念。</x:v>
      </x:c>
      <x:c r="G66" s="7" t="str">
        <x:v>BS02</x:v>
      </x:c>
    </x:row>
    <x:row r="67" ht="38" customHeight="1">
      <x:c r="A67" s="2" t="str">
        <x:v>B02</x:v>
      </x:c>
      <x:c r="B67" s="2" t="str">
        <x:v>core</x:v>
      </x:c>
      <x:c r="C67" s="2" t="str">
        <x:v>泄愤报复</x:v>
      </x:c>
      <x:c r="D67" s="2" t="str">
        <x:v>泄愤／转移报复</x:v>
      </x:c>
      <x:c r="E67" s="2" t="str">
        <x:v>法院认定</x:v>
      </x:c>
      <x:c r="F67" s="2" t="str">
        <x:v>对家庭和社会不满，产生报复杀害无辜群众之念。</x:v>
      </x:c>
      <x:c r="G67" s="7" t="str">
        <x:v>BS02</x:v>
      </x:c>
    </x:row>
    <x:row r="68" ht="38" customHeight="1">
      <x:c r="A68" s="2" t="str">
        <x:v>B17</x:v>
      </x:c>
      <x:c r="B68" s="2" t="str">
        <x:v>expanded</x:v>
      </x:c>
      <x:c r="C68" s="2" t="str">
        <x:v>工作冲突</x:v>
      </x:c>
      <x:c r="D68" s="2" t="str">
        <x:v>经济／工作／财产纠纷</x:v>
      </x:c>
      <x:c r="E68" s="2" t="str">
        <x:v>警方初步通报</x:v>
      </x:c>
      <x:c r="F68" s="2" t="str">
        <x:v>警方初查因务工期间口角行凶。</x:v>
      </x:c>
      <x:c r="G68" s="7" t="str">
        <x:v>BS19</x:v>
      </x:c>
    </x:row>
    <x:row r="69" ht="38" customHeight="1">
      <x:c r="A69" s="2" t="str">
        <x:v>B48</x:v>
      </x:c>
      <x:c r="B69" s="2" t="str">
        <x:v>excluded</x:v>
      </x:c>
      <x:c r="C69" s="2" t="str">
        <x:v>工作冲突</x:v>
      </x:c>
      <x:c r="D69" s="2" t="str">
        <x:v>经济／工作／财产纠纷</x:v>
      </x:c>
      <x:c r="E69" s="2" t="str">
        <x:v>警方初步通报</x:v>
      </x:c>
      <x:c r="F69" s="2" t="str">
        <x:v>警方称因与工友琐事争执心生怨恨。</x:v>
      </x:c>
      <x:c r="G69" s="7" t="str">
        <x:v>BS51</x:v>
      </x:c>
    </x:row>
    <x:row r="70" ht="38" customHeight="1">
      <x:c r="A70" s="2" t="str">
        <x:v>B21</x:v>
      </x:c>
      <x:c r="B70" s="2" t="str">
        <x:v>pending</x:v>
      </x:c>
      <x:c r="C70" s="2" t="str">
        <x:v>邻里纠纷</x:v>
      </x:c>
      <x:c r="D70" s="2" t="str">
        <x:v>其他已披露背景</x:v>
      </x:c>
      <x:c r="E70" s="2" t="str">
        <x:v>警方初步通报</x:v>
      </x:c>
      <x:c r="F70" s="2" t="str">
        <x:v>警方初查误认邻居谩骂自己发生争吵。</x:v>
      </x:c>
      <x:c r="G70" s="7" t="str">
        <x:v>BS23</x:v>
      </x:c>
    </x:row>
    <x:row r="71" ht="38" customHeight="1">
      <x:c r="A71" s="2" t="str">
        <x:v>B23</x:v>
      </x:c>
      <x:c r="B71" s="2" t="str">
        <x:v>core</x:v>
      </x:c>
      <x:c r="C71" s="2" t="str">
        <x:v>工作冲突</x:v>
      </x:c>
      <x:c r="D71" s="2" t="str">
        <x:v>经济／工作／财产纠纷</x:v>
      </x:c>
      <x:c r="E71" s="2" t="str">
        <x:v>警方初步通报</x:v>
      </x:c>
      <x:c r="F71" s="2" t="str">
        <x:v>警方称与原单位纠纷交涉未果。</x:v>
      </x:c>
      <x:c r="G71" s="7" t="str">
        <x:v>BS25</x:v>
      </x:c>
    </x:row>
    <x:row r="72" ht="38" customHeight="1">
      <x:c r="A72" s="2" t="str">
        <x:v>B03</x:v>
      </x:c>
      <x:c r="B72" s="2" t="str">
        <x:v>core</x:v>
      </x:c>
      <x:c r="C72" s="2" t="str">
        <x:v>经济受挫</x:v>
      </x:c>
      <x:c r="D72" s="2" t="str">
        <x:v>经济／工作／财产纠纷</x:v>
      </x:c>
      <x:c r="E72" s="2" t="str">
        <x:v>法院认定</x:v>
      </x:c>
      <x:c r="F72" s="2" t="str">
        <x:v>法院认定因投资失败和无力偿还巨额债务怨恨社会。</x:v>
      </x:c>
      <x:c r="G72" s="7" t="str">
        <x:v>BS12</x:v>
      </x:c>
    </x:row>
    <x:row r="73" ht="38" customHeight="1">
      <x:c r="A73" s="2" t="str">
        <x:v>B03</x:v>
      </x:c>
      <x:c r="B73" s="2" t="str">
        <x:v>core</x:v>
      </x:c>
      <x:c r="C73" s="2" t="str">
        <x:v>债务</x:v>
      </x:c>
      <x:c r="D73" s="2" t="str">
        <x:v>经济／工作／财产纠纷</x:v>
      </x:c>
      <x:c r="E73" s="2" t="str">
        <x:v>法院认定</x:v>
      </x:c>
      <x:c r="F73" s="2" t="str">
        <x:v>法院认定因投资失败和无力偿还巨额债务怨恨社会。</x:v>
      </x:c>
      <x:c r="G73" s="7" t="str">
        <x:v>BS12</x:v>
      </x:c>
    </x:row>
    <x:row r="74" ht="38" customHeight="1">
      <x:c r="A74" s="2" t="str">
        <x:v>B03</x:v>
      </x:c>
      <x:c r="B74" s="2" t="str">
        <x:v>core</x:v>
      </x:c>
      <x:c r="C74" s="2" t="str">
        <x:v>泄愤报复</x:v>
      </x:c>
      <x:c r="D74" s="2" t="str">
        <x:v>泄愤／转移报复</x:v>
      </x:c>
      <x:c r="E74" s="2" t="str">
        <x:v>法院认定</x:v>
      </x:c>
      <x:c r="F74" s="2" t="str">
        <x:v>法院认定因投资失败和无力偿还巨额债务怨恨社会。</x:v>
      </x:c>
      <x:c r="G74" s="7" t="str">
        <x:v>BS12</x:v>
      </x:c>
    </x:row>
    <x:row r="75" ht="38" customHeight="1">
      <x:c r="A75" s="2" t="str">
        <x:v>B27</x:v>
      </x:c>
      <x:c r="B75" s="2" t="str">
        <x:v>core</x:v>
      </x:c>
      <x:c r="C75" s="2" t="str">
        <x:v>社会疏离</x:v>
      </x:c>
      <x:c r="D75" s="2" t="str">
        <x:v>生活受挫／疏离／厌世</x:v>
      </x:c>
      <x:c r="E75" s="2" t="str">
        <x:v>媒体调查</x:v>
      </x:c>
      <x:c r="F75" s="2" t="str">
        <x:v>检方指控对生活失望，想通过犯罪入狱脱离社会；本人不同阶段对动机供述反复，不能把其个别说法视为已核定心理事实。</x:v>
      </x:c>
      <x:c r="G75" s="7" t="str">
        <x:v>BS29</x:v>
      </x:c>
    </x:row>
    <x:row r="76" ht="38" customHeight="1">
      <x:c r="A76" s="2" t="str">
        <x:v>B27</x:v>
      </x:c>
      <x:c r="B76" s="2" t="str">
        <x:v>core</x:v>
      </x:c>
      <x:c r="C76" s="2" t="str">
        <x:v>谋求入狱</x:v>
      </x:c>
      <x:c r="D76" s="2" t="str">
        <x:v>求死／求入狱</x:v>
      </x:c>
      <x:c r="E76" s="2" t="str">
        <x:v>媒体调查</x:v>
      </x:c>
      <x:c r="F76" s="2" t="str">
        <x:v>检方指控对生活失望，想通过犯罪入狱脱离社会；本人不同阶段对动机供述反复，不能把其个别说法视为已核定心理事实。</x:v>
      </x:c>
      <x:c r="G76" s="7" t="str">
        <x:v>BS29</x:v>
      </x:c>
    </x:row>
    <x:row r="77" ht="38" customHeight="1">
      <x:c r="A77" s="2" t="str">
        <x:v>B04</x:v>
      </x:c>
      <x:c r="B77" s="2" t="str">
        <x:v>core</x:v>
      </x:c>
      <x:c r="C77" s="2" t="str">
        <x:v>泄愤报复</x:v>
      </x:c>
      <x:c r="D77" s="2" t="str">
        <x:v>泄愤／转移报复</x:v>
      </x:c>
      <x:c r="E77" s="2" t="str">
        <x:v>法院认定</x:v>
      </x:c>
      <x:c r="F77" s="2" t="str">
        <x:v>法院认定为发泄个人情绪。判决记录的社交受挫、家人责骂为被告人供述，不能据此推定一般社会原因。</x:v>
      </x:c>
      <x:c r="G77" s="7" t="str">
        <x:v>BS03</x:v>
      </x:c>
    </x:row>
    <x:row r="78" ht="38" customHeight="1">
      <x:c r="A78" s="2" t="str">
        <x:v>B31</x:v>
      </x:c>
      <x:c r="B78" s="2" t="str">
        <x:v>pending</x:v>
      </x:c>
      <x:c r="C78" s="2" t="str">
        <x:v>感情纠纷</x:v>
      </x:c>
      <x:c r="D78" s="2" t="str">
        <x:v>婚姻／家庭／感情问题</x:v>
      </x:c>
      <x:c r="E78" s="2" t="str">
        <x:v>警方初步通报</x:v>
      </x:c>
      <x:c r="F78" s="2" t="str">
        <x:v>警方称因感情纠纷争执后驾车冲撞特定女性。</x:v>
      </x:c>
      <x:c r="G78" s="7" t="str">
        <x:v>BS34</x:v>
      </x:c>
    </x:row>
    <x:row r="79" ht="38" customHeight="1">
      <x:c r="A79" s="2" t="str">
        <x:v>B32</x:v>
      </x:c>
      <x:c r="B79" s="2" t="str">
        <x:v>core</x:v>
      </x:c>
      <x:c r="C79" s="2" t="str">
        <x:v>学业受挫</x:v>
      </x:c>
      <x:c r="D79" s="2" t="str">
        <x:v>学业问题</x:v>
      </x:c>
      <x:c r="E79" s="2" t="str">
        <x:v>法院认定</x:v>
      </x:c>
      <x:c r="F79" s="2" t="str">
        <x:v>法院认定为报复学校，刺伤学校周边无辜学生群众。起诉书具体称盗窃休学后复学未果而生不满。</x:v>
      </x:c>
      <x:c r="G79" s="7" t="str">
        <x:v>BS35；BS53</x:v>
      </x:c>
    </x:row>
    <x:row r="80" ht="38" customHeight="1">
      <x:c r="A80" s="2" t="str">
        <x:v>B32</x:v>
      </x:c>
      <x:c r="B80" s="2" t="str">
        <x:v>core</x:v>
      </x:c>
      <x:c r="C80" s="2" t="str">
        <x:v>泄愤报复</x:v>
      </x:c>
      <x:c r="D80" s="2" t="str">
        <x:v>泄愤／转移报复</x:v>
      </x:c>
      <x:c r="E80" s="2" t="str">
        <x:v>法院认定</x:v>
      </x:c>
      <x:c r="F80" s="2" t="str">
        <x:v>法院认定为报复学校，刺伤学校周边无辜学生群众。起诉书具体称盗窃休学后复学未果而生不满。</x:v>
      </x:c>
      <x:c r="G80" s="7" t="str">
        <x:v>BS35；BS53</x:v>
      </x:c>
    </x:row>
    <x:row r="81" ht="38" customHeight="1">
      <x:c r="A81" s="2" t="str">
        <x:v>B34</x:v>
      </x:c>
      <x:c r="B81" s="2" t="str">
        <x:v>expanded</x:v>
      </x:c>
      <x:c r="C81" s="2" t="str">
        <x:v>感情纠纷</x:v>
      </x:c>
      <x:c r="D81" s="2" t="str">
        <x:v>婚姻／家庭／感情问题</x:v>
      </x:c>
      <x:c r="E81" s="2" t="str">
        <x:v>警方初步通报</x:v>
      </x:c>
      <x:c r="F81" s="2" t="str">
        <x:v>警方初查源于感情纠纷。</x:v>
      </x:c>
      <x:c r="G81" s="7" t="str">
        <x:v>BS37</x:v>
      </x:c>
    </x:row>
    <x:row r="82" ht="38" customHeight="1">
      <x:c r="A82" s="2" t="str">
        <x:v>B40a</x:v>
      </x:c>
      <x:c r="B82" s="2" t="str">
        <x:v>core</x:v>
      </x:c>
      <x:c r="C82" s="2" t="str">
        <x:v>经济受挫</x:v>
      </x:c>
      <x:c r="D82" s="2" t="str">
        <x:v>经济／工作／财产纠纷</x:v>
      </x:c>
      <x:c r="E82" s="2" t="str">
        <x:v>法院认定</x:v>
      </x:c>
      <x:c r="F82" s="2" t="str">
        <x:v>法院认定生活窘迫、认为社会不公，欲自杀但没有勇气，预谋杀人以求死刑。</x:v>
      </x:c>
      <x:c r="G82" s="7" t="str">
        <x:v>BS43；BS44</x:v>
      </x:c>
    </x:row>
    <x:row r="83" ht="38" customHeight="1">
      <x:c r="A83" s="2" t="str">
        <x:v>B40a</x:v>
      </x:c>
      <x:c r="B83" s="2" t="str">
        <x:v>core</x:v>
      </x:c>
      <x:c r="C83" s="2" t="str">
        <x:v>社会不满</x:v>
      </x:c>
      <x:c r="D83" s="2" t="str">
        <x:v>泄愤／转移报复</x:v>
      </x:c>
      <x:c r="E83" s="2" t="str">
        <x:v>法院认定</x:v>
      </x:c>
      <x:c r="F83" s="2" t="str">
        <x:v>法院认定生活窘迫、认为社会不公，欲自杀但没有勇气，预谋杀人以求死刑。</x:v>
      </x:c>
      <x:c r="G83" s="7" t="str">
        <x:v>BS43；BS44</x:v>
      </x:c>
    </x:row>
    <x:row r="84" ht="38" customHeight="1">
      <x:c r="A84" s="2" t="str">
        <x:v>B40a</x:v>
      </x:c>
      <x:c r="B84" s="2" t="str">
        <x:v>core</x:v>
      </x:c>
      <x:c r="C84" s="2" t="str">
        <x:v>借刑求死</x:v>
      </x:c>
      <x:c r="D84" s="2" t="str">
        <x:v>求死／求入狱</x:v>
      </x:c>
      <x:c r="E84" s="2" t="str">
        <x:v>法院认定</x:v>
      </x:c>
      <x:c r="F84" s="2" t="str">
        <x:v>法院认定生活窘迫、认为社会不公，欲自杀但没有勇气，预谋杀人以求死刑。</x:v>
      </x:c>
      <x:c r="G84" s="7" t="str">
        <x:v>BS43；BS44</x:v>
      </x:c>
    </x:row>
    <x:row r="85" ht="38" customHeight="1">
      <x:c r="A85" s="2" t="str">
        <x:v>B40b</x:v>
      </x:c>
      <x:c r="B85" s="2" t="str">
        <x:v>core</x:v>
      </x:c>
      <x:c r="C85" s="2" t="str">
        <x:v>经济受挫</x:v>
      </x:c>
      <x:c r="D85" s="2" t="str">
        <x:v>经济／工作／财产纠纷</x:v>
      </x:c>
      <x:c r="E85" s="2" t="str">
        <x:v>法院认定</x:v>
      </x:c>
      <x:c r="F85" s="2" t="str">
        <x:v>法院认定生活窘迫、认为社会不公，欲自杀但没有勇气，预谋杀人以求死刑。</x:v>
      </x:c>
      <x:c r="G85" s="7" t="str">
        <x:v>BS43；BS44</x:v>
      </x:c>
    </x:row>
    <x:row r="86" ht="38" customHeight="1">
      <x:c r="A86" s="2" t="str">
        <x:v>B40b</x:v>
      </x:c>
      <x:c r="B86" s="2" t="str">
        <x:v>core</x:v>
      </x:c>
      <x:c r="C86" s="2" t="str">
        <x:v>社会不满</x:v>
      </x:c>
      <x:c r="D86" s="2" t="str">
        <x:v>泄愤／转移报复</x:v>
      </x:c>
      <x:c r="E86" s="2" t="str">
        <x:v>法院认定</x:v>
      </x:c>
      <x:c r="F86" s="2" t="str">
        <x:v>法院认定生活窘迫、认为社会不公，欲自杀但没有勇气，预谋杀人以求死刑。</x:v>
      </x:c>
      <x:c r="G86" s="7" t="str">
        <x:v>BS43；BS44</x:v>
      </x:c>
    </x:row>
    <x:row r="87" ht="38" customHeight="1">
      <x:c r="A87" s="2" t="str">
        <x:v>B40b</x:v>
      </x:c>
      <x:c r="B87" s="2" t="str">
        <x:v>core</x:v>
      </x:c>
      <x:c r="C87" s="2" t="str">
        <x:v>借刑求死</x:v>
      </x:c>
      <x:c r="D87" s="2" t="str">
        <x:v>求死／求入狱</x:v>
      </x:c>
      <x:c r="E87" s="2" t="str">
        <x:v>法院认定</x:v>
      </x:c>
      <x:c r="F87" s="2" t="str">
        <x:v>法院认定生活窘迫、认为社会不公，欲自杀但没有勇气，预谋杀人以求死刑。</x:v>
      </x:c>
      <x:c r="G87" s="7" t="str">
        <x:v>BS43；BS44</x:v>
      </x:c>
    </x:row>
    <x:row r="88" ht="38" customHeight="1">
      <x:c r="A88" s="2" t="str">
        <x:v>B41</x:v>
      </x:c>
      <x:c r="B88" s="2" t="str">
        <x:v>core</x:v>
      </x:c>
      <x:c r="C88" s="2" t="str">
        <x:v>经济受挫</x:v>
      </x:c>
      <x:c r="D88" s="2" t="str">
        <x:v>经济／工作／财产纠纷</x:v>
      </x:c>
      <x:c r="E88" s="2" t="str">
        <x:v>法院认定</x:v>
      </x:c>
      <x:c r="F88" s="2" t="str">
        <x:v>法院认定生活窘迫、认为社会不公，欲自杀但没有勇气，预谋杀人以求死刑。</x:v>
      </x:c>
      <x:c r="G88" s="7" t="str">
        <x:v>BS43；BS44</x:v>
      </x:c>
    </x:row>
    <x:row r="89" ht="38" customHeight="1">
      <x:c r="A89" s="2" t="str">
        <x:v>B41</x:v>
      </x:c>
      <x:c r="B89" s="2" t="str">
        <x:v>core</x:v>
      </x:c>
      <x:c r="C89" s="2" t="str">
        <x:v>社会不满</x:v>
      </x:c>
      <x:c r="D89" s="2" t="str">
        <x:v>泄愤／转移报复</x:v>
      </x:c>
      <x:c r="E89" s="2" t="str">
        <x:v>法院认定</x:v>
      </x:c>
      <x:c r="F89" s="2" t="str">
        <x:v>法院认定生活窘迫、认为社会不公，欲自杀但没有勇气，预谋杀人以求死刑。</x:v>
      </x:c>
      <x:c r="G89" s="7" t="str">
        <x:v>BS43；BS44</x:v>
      </x:c>
    </x:row>
    <x:row r="90" ht="38" customHeight="1">
      <x:c r="A90" s="2" t="str">
        <x:v>B41</x:v>
      </x:c>
      <x:c r="B90" s="2" t="str">
        <x:v>core</x:v>
      </x:c>
      <x:c r="C90" s="2" t="str">
        <x:v>借刑求死</x:v>
      </x:c>
      <x:c r="D90" s="2" t="str">
        <x:v>求死／求入狱</x:v>
      </x:c>
      <x:c r="E90" s="2" t="str">
        <x:v>法院认定</x:v>
      </x:c>
      <x:c r="F90" s="2" t="str">
        <x:v>法院认定生活窘迫、认为社会不公，欲自杀但没有勇气，预谋杀人以求死刑。</x:v>
      </x:c>
      <x:c r="G90" s="7" t="str">
        <x:v>BS43；BS44</x:v>
      </x:c>
    </x:row>
    <x:row r="91" ht="38" customHeight="1">
      <x:c r="A91" s="2" t="str">
        <x:v>C011</x:v>
      </x:c>
      <x:c r="B91" s="2" t="str">
        <x:v>expanded</x:v>
      </x:c>
      <x:c r="C91" s="2" t="str">
        <x:v>临时纠纷</x:v>
      </x:c>
      <x:c r="D91" s="2" t="str">
        <x:v>其他已披露背景</x:v>
      </x:c>
      <x:c r="E91" s="2" t="str">
        <x:v>警方初步通报</x:v>
      </x:c>
      <x:c r="F91" s="2" t="str">
        <x:v>警方初查走路碰撞后持刀行凶。</x:v>
      </x:c>
      <x:c r="G91" s="7" t="str">
        <x:v>CS017</x:v>
      </x:c>
    </x:row>
    <x:row r="92" ht="38" customHeight="1">
      <x:c r="A92" s="2" t="str">
        <x:v>C013</x:v>
      </x:c>
      <x:c r="B92" s="2" t="str">
        <x:v>core</x:v>
      </x:c>
      <x:c r="C92" s="2" t="str">
        <x:v>债务压力</x:v>
      </x:c>
      <x:c r="D92" s="2" t="str">
        <x:v>经济／工作／财产纠纷</x:v>
      </x:c>
      <x:c r="E92" s="2" t="str">
        <x:v>法院认定</x:v>
      </x:c>
      <x:c r="F92" s="2" t="str">
        <x:v>据富士电视台援引日本外务省的判决说明，被告因债务产生厌世心理并杀伤3人；未取得中国法院裁判全文。</x:v>
      </x:c>
      <x:c r="G92" s="7" t="str">
        <x:v>CS059</x:v>
      </x:c>
    </x:row>
    <x:row r="93" ht="38" customHeight="1">
      <x:c r="A93" s="2" t="str">
        <x:v>C013</x:v>
      </x:c>
      <x:c r="B93" s="2" t="str">
        <x:v>core</x:v>
      </x:c>
      <x:c r="C93" s="2" t="str">
        <x:v>厌世</x:v>
      </x:c>
      <x:c r="D93" s="2" t="str">
        <x:v>生活受挫／疏离／厌世</x:v>
      </x:c>
      <x:c r="E93" s="2" t="str">
        <x:v>法院认定</x:v>
      </x:c>
      <x:c r="F93" s="2" t="str">
        <x:v>据富士电视台援引日本外务省的判决说明，被告因债务产生厌世心理并杀伤3人；未取得中国法院裁判全文。</x:v>
      </x:c>
      <x:c r="G93" s="7" t="str">
        <x:v>CS059</x:v>
      </x:c>
    </x:row>
    <x:row r="94" ht="38" customHeight="1">
      <x:c r="A94" s="2" t="str">
        <x:v>C014</x:v>
      </x:c>
      <x:c r="B94" s="2" t="str">
        <x:v>core</x:v>
      </x:c>
      <x:c r="C94" s="2" t="str">
        <x:v>寻求关注</x:v>
      </x:c>
      <x:c r="D94" s="2" t="str">
        <x:v>寻求关注／表达诉求</x:v>
      </x:c>
      <x:c r="E94" s="2" t="str">
        <x:v>法院认定</x:v>
      </x:c>
      <x:c r="F94" s="2" t="str">
        <x:v>联合早报转述日本驻华大使的判决说明：为在网上博取关注而购买刀具、袭击儿童，案发后曾打电话给媒体；未取得中国裁判全文。</x:v>
      </x:c>
      <x:c r="G94" s="7" t="str">
        <x:v>CS060</x:v>
      </x:c>
    </x:row>
    <x:row r="95" ht="38" customHeight="1">
      <x:c r="A95" s="2" t="str">
        <x:v>C004</x:v>
      </x:c>
      <x:c r="B95" s="2" t="str">
        <x:v>core</x:v>
      </x:c>
      <x:c r="C95" s="2" t="str">
        <x:v>经济纠纷</x:v>
      </x:c>
      <x:c r="D95" s="2" t="str">
        <x:v>经济／工作／财产纠纷</x:v>
      </x:c>
      <x:c r="E95" s="2" t="str">
        <x:v>警方初步通报</x:v>
      </x:c>
      <x:c r="F95" s="2" t="str">
        <x:v>警方初查个人经济纠纷后来沪泄愤。</x:v>
      </x:c>
      <x:c r="G95" s="7" t="str">
        <x:v>CS007</x:v>
      </x:c>
    </x:row>
    <x:row r="96" ht="38" customHeight="1">
      <x:c r="A96" s="2" t="str">
        <x:v>C004</x:v>
      </x:c>
      <x:c r="B96" s="2" t="str">
        <x:v>core</x:v>
      </x:c>
      <x:c r="C96" s="2" t="str">
        <x:v>泄愤</x:v>
      </x:c>
      <x:c r="D96" s="2" t="str">
        <x:v>泄愤／转移报复</x:v>
      </x:c>
      <x:c r="E96" s="2" t="str">
        <x:v>警方初步通报</x:v>
      </x:c>
      <x:c r="F96" s="2" t="str">
        <x:v>警方初查个人经济纠纷后来沪泄愤。</x:v>
      </x:c>
      <x:c r="G96" s="7" t="str">
        <x:v>CS007</x:v>
      </x:c>
    </x:row>
    <x:row r="97" ht="38" customHeight="1">
      <x:c r="A97" s="2" t="str">
        <x:v>C001</x:v>
      </x:c>
      <x:c r="B97" s="2" t="str">
        <x:v>core</x:v>
      </x:c>
      <x:c r="C97" s="2" t="str">
        <x:v>婚姻家庭</x:v>
      </x:c>
      <x:c r="D97" s="2" t="str">
        <x:v>婚姻／家庭／感情问题</x:v>
      </x:c>
      <x:c r="E97" s="2" t="str">
        <x:v>法院认定</x:v>
      </x:c>
      <x:c r="F97" s="2" t="str">
        <x:v>法院认定婚姻破裂、生活失意且不满离婚财产分割，决意撞人泄愤。</x:v>
      </x:c>
      <x:c r="G97" s="7" t="str">
        <x:v>CS001</x:v>
      </x:c>
    </x:row>
    <x:row r="98" ht="38" customHeight="1">
      <x:c r="A98" s="2" t="str">
        <x:v>C001</x:v>
      </x:c>
      <x:c r="B98" s="2" t="str">
        <x:v>core</x:v>
      </x:c>
      <x:c r="C98" s="2" t="str">
        <x:v>财产纠纷</x:v>
      </x:c>
      <x:c r="D98" s="2" t="str">
        <x:v>经济／工作／财产纠纷</x:v>
      </x:c>
      <x:c r="E98" s="2" t="str">
        <x:v>法院认定</x:v>
      </x:c>
      <x:c r="F98" s="2" t="str">
        <x:v>法院认定婚姻破裂、生活失意且不满离婚财产分割，决意撞人泄愤。</x:v>
      </x:c>
      <x:c r="G98" s="7" t="str">
        <x:v>CS001</x:v>
      </x:c>
    </x:row>
    <x:row r="99" ht="38" customHeight="1">
      <x:c r="A99" s="2" t="str">
        <x:v>C001</x:v>
      </x:c>
      <x:c r="B99" s="2" t="str">
        <x:v>core</x:v>
      </x:c>
      <x:c r="C99" s="2" t="str">
        <x:v>泄愤</x:v>
      </x:c>
      <x:c r="D99" s="2" t="str">
        <x:v>泄愤／转移报复</x:v>
      </x:c>
      <x:c r="E99" s="2" t="str">
        <x:v>法院认定</x:v>
      </x:c>
      <x:c r="F99" s="2" t="str">
        <x:v>法院认定婚姻破裂、生活失意且不满离婚财产分割，决意撞人泄愤。</x:v>
      </x:c>
      <x:c r="G99" s="7" t="str">
        <x:v>CS001</x:v>
      </x:c>
    </x:row>
    <x:row r="100" ht="38" customHeight="1">
      <x:c r="A100" s="2" t="str">
        <x:v>C002</x:v>
      </x:c>
      <x:c r="B100" s="2" t="str">
        <x:v>core</x:v>
      </x:c>
      <x:c r="C100" s="2" t="str">
        <x:v>学业受挫</x:v>
      </x:c>
      <x:c r="D100" s="2" t="str">
        <x:v>学业问题</x:v>
      </x:c>
      <x:c r="E100" s="2" t="str">
        <x:v>警方初步通报</x:v>
      </x:c>
      <x:c r="F100" s="2" t="str">
        <x:v>警方初查称考试不合格未获毕业证及不满实习报酬，返校行凶。</x:v>
      </x:c>
      <x:c r="G100" s="7" t="str">
        <x:v>CS005</x:v>
      </x:c>
    </x:row>
    <x:row r="101" ht="38" customHeight="1">
      <x:c r="A101" s="2" t="str">
        <x:v>C002</x:v>
      </x:c>
      <x:c r="B101" s="2" t="str">
        <x:v>core</x:v>
      </x:c>
      <x:c r="C101" s="2" t="str">
        <x:v>劳动报酬</x:v>
      </x:c>
      <x:c r="D101" s="2" t="str">
        <x:v>经济／工作／财产纠纷</x:v>
      </x:c>
      <x:c r="E101" s="2" t="str">
        <x:v>警方初步通报</x:v>
      </x:c>
      <x:c r="F101" s="2" t="str">
        <x:v>警方初查称考试不合格未获毕业证及不满实习报酬，返校行凶。</x:v>
      </x:c>
      <x:c r="G101" s="7" t="str">
        <x:v>CS005</x:v>
      </x:c>
    </x:row>
    <x:row r="102" ht="38" customHeight="1">
      <x:c r="A102" s="2" t="str">
        <x:v>C002</x:v>
      </x:c>
      <x:c r="B102" s="2" t="str">
        <x:v>core</x:v>
      </x:c>
      <x:c r="C102" s="2" t="str">
        <x:v>泄愤</x:v>
      </x:c>
      <x:c r="D102" s="2" t="str">
        <x:v>泄愤／转移报复</x:v>
      </x:c>
      <x:c r="E102" s="2" t="str">
        <x:v>警方初步通报</x:v>
      </x:c>
      <x:c r="F102" s="2" t="str">
        <x:v>警方初查称考试不合格未获毕业证及不满实习报酬，返校行凶。</x:v>
      </x:c>
      <x:c r="G102" s="7" t="str">
        <x:v>CS005</x:v>
      </x:c>
    </x:row>
    <x:row r="103" ht="38" customHeight="1">
      <x:c r="A103" s="2" t="str">
        <x:v>C003</x:v>
      </x:c>
      <x:c r="B103" s="2" t="str">
        <x:v>core</x:v>
      </x:c>
      <x:c r="C103" s="2" t="str">
        <x:v>投资亏损</x:v>
      </x:c>
      <x:c r="D103" s="2" t="str">
        <x:v>经济／工作／财产纠纷</x:v>
      </x:c>
      <x:c r="E103" s="2" t="str">
        <x:v>法院认定</x:v>
      </x:c>
      <x:c r="F103" s="2" t="str">
        <x:v>法院认定投资亏损及家庭矛盾，借袭击发泄个人情绪。</x:v>
      </x:c>
      <x:c r="G103" s="7" t="str">
        <x:v>CS006</x:v>
      </x:c>
    </x:row>
    <x:row r="104" ht="38" customHeight="1">
      <x:c r="A104" s="2" t="str">
        <x:v>C003</x:v>
      </x:c>
      <x:c r="B104" s="2" t="str">
        <x:v>core</x:v>
      </x:c>
      <x:c r="C104" s="2" t="str">
        <x:v>婚姻家庭</x:v>
      </x:c>
      <x:c r="D104" s="2" t="str">
        <x:v>婚姻／家庭／感情问题</x:v>
      </x:c>
      <x:c r="E104" s="2" t="str">
        <x:v>法院认定</x:v>
      </x:c>
      <x:c r="F104" s="2" t="str">
        <x:v>法院认定投资亏损及家庭矛盾，借袭击发泄个人情绪。</x:v>
      </x:c>
      <x:c r="G104" s="7" t="str">
        <x:v>CS006</x:v>
      </x:c>
    </x:row>
    <x:row r="105" ht="38" customHeight="1">
      <x:c r="A105" s="2" t="str">
        <x:v>C003</x:v>
      </x:c>
      <x:c r="B105" s="2" t="str">
        <x:v>core</x:v>
      </x:c>
      <x:c r="C105" s="2" t="str">
        <x:v>泄愤</x:v>
      </x:c>
      <x:c r="D105" s="2" t="str">
        <x:v>泄愤／转移报复</x:v>
      </x:c>
      <x:c r="E105" s="2" t="str">
        <x:v>法院认定</x:v>
      </x:c>
      <x:c r="F105" s="2" t="str">
        <x:v>法院认定投资亏损及家庭矛盾，借袭击发泄个人情绪。</x:v>
      </x:c>
      <x:c r="G105" s="7" t="str">
        <x:v>CS006</x:v>
      </x:c>
    </x:row>
    <x:row r="106" ht="38" customHeight="1">
      <x:c r="A106" s="2" t="str">
        <x:v>C043</x:v>
      </x:c>
      <x:c r="B106" s="2" t="str">
        <x:v>excluded</x:v>
      </x:c>
      <x:c r="C106" s="2" t="str">
        <x:v>不满处罚</x:v>
      </x:c>
      <x:c r="D106" s="2" t="str">
        <x:v>其他已披露背景</x:v>
      </x:c>
      <x:c r="E106" s="2" t="str">
        <x:v>法院认定</x:v>
      </x:c>
      <x:c r="F106" s="2" t="str">
        <x:v>因盗窃被行政拘留后，认为生活不公，放火泄愤。</x:v>
      </x:c>
      <x:c r="G106" s="7" t="str">
        <x:v>CS054</x:v>
      </x:c>
    </x:row>
    <x:row r="107" ht="38" customHeight="1">
      <x:c r="A107" s="2" t="str">
        <x:v>C043</x:v>
      </x:c>
      <x:c r="B107" s="2" t="str">
        <x:v>excluded</x:v>
      </x:c>
      <x:c r="C107" s="2" t="str">
        <x:v>泄愤</x:v>
      </x:c>
      <x:c r="D107" s="2" t="str">
        <x:v>泄愤／转移报复</x:v>
      </x:c>
      <x:c r="E107" s="2" t="str">
        <x:v>法院认定</x:v>
      </x:c>
      <x:c r="F107" s="2" t="str">
        <x:v>因盗窃被行政拘留后，认为生活不公，放火泄愤。</x:v>
      </x:c>
      <x:c r="G107" s="7" t="str">
        <x:v>CS054</x:v>
      </x:c>
    </x:row>
    <x:row r="108" ht="38" customHeight="1">
      <x:c r="A108" s="2" t="str">
        <x:v>C023</x:v>
      </x:c>
      <x:c r="B108" s="2" t="str">
        <x:v>expanded</x:v>
      </x:c>
      <x:c r="C108" s="2" t="str">
        <x:v>感情纠纷</x:v>
      </x:c>
      <x:c r="D108" s="2" t="str">
        <x:v>婚姻／家庭／感情问题</x:v>
      </x:c>
      <x:c r="E108" s="2" t="str">
        <x:v>警方初步通报</x:v>
      </x:c>
      <x:c r="F108" s="2" t="str">
        <x:v>与前女友感情纠纷、到其工作单位发生口角。</x:v>
      </x:c>
      <x:c r="G108" s="7" t="str">
        <x:v>CS033</x:v>
      </x:c>
    </x:row>
    <x:row r="109" ht="38" customHeight="1">
      <x:c r="A109" s="2" t="str">
        <x:v>C019</x:v>
      </x:c>
      <x:c r="B109" s="2" t="str">
        <x:v>pending</x:v>
      </x:c>
      <x:c r="C109" s="2" t="str">
        <x:v>学业受挫</x:v>
      </x:c>
      <x:c r="D109" s="2" t="str">
        <x:v>学业问题</x:v>
      </x:c>
      <x:c r="E109" s="2" t="str">
        <x:v>警方初步通报</x:v>
      </x:c>
      <x:c r="F109" s="2" t="str">
        <x:v>警方称因学业不顺行凶。</x:v>
      </x:c>
      <x:c r="G109" s="7" t="str">
        <x:v>CS028</x:v>
      </x:c>
    </x:row>
    <x:row r="110" ht="38" customHeight="1">
      <x:c r="A110" s="2" t="str">
        <x:v>C025</x:v>
      </x:c>
      <x:c r="B110" s="2" t="str">
        <x:v>excluded</x:v>
      </x:c>
      <x:c r="C110" s="2" t="str">
        <x:v>现场纠纷</x:v>
      </x:c>
      <x:c r="D110" s="2" t="str">
        <x:v>其他已披露背景</x:v>
      </x:c>
      <x:c r="E110" s="2" t="str">
        <x:v>警方初步通报</x:v>
      </x:c>
      <x:c r="F110" s="2" t="str">
        <x:v>前车卸货挡道持续鸣笛，与围车群众争执后强行驶离。</x:v>
      </x:c>
      <x:c r="G110" s="7" t="str">
        <x:v>CS035</x:v>
      </x:c>
    </x:row>
    <x:row r="111" ht="38" customHeight="1">
      <x:c r="A111" s="2" t="str">
        <x:v>LX26A03</x:v>
      </x:c>
      <x:c r="B111" s="2" t="str">
        <x:v>excluded</x:v>
      </x:c>
      <x:c r="C111" s="2" t="str">
        <x:v>邻里纠纷</x:v>
      </x:c>
      <x:c r="D111" s="2" t="str">
        <x:v>其他已披露背景</x:v>
      </x:c>
      <x:c r="E111" s="2" t="str">
        <x:v>警方初步通报</x:v>
      </x:c>
      <x:c r="F111" s="2" t="str">
        <x:v>小区社交群琐事争执后约见，矛盾激化。</x:v>
      </x:c>
      <x:c r="G111" s="7" t="str">
        <x:v>LXS26A07</x:v>
      </x:c>
    </x:row>
    <x:row r="112" ht="38" customHeight="1">
      <x:c r="A112" s="2" t="str">
        <x:v>LX26A13</x:v>
      </x:c>
      <x:c r="B112" s="2" t="str">
        <x:v>expanded</x:v>
      </x:c>
      <x:c r="C112" s="2" t="str">
        <x:v>情感纠纷</x:v>
      </x:c>
      <x:c r="D112" s="2" t="str">
        <x:v>婚姻／家庭／感情问题</x:v>
      </x:c>
      <x:c r="E112" s="2" t="str">
        <x:v>官方事迹</x:v>
      </x:c>
      <x:c r="F112" s="2" t="str">
        <x:v>官方事迹称感情纠纷后饮酒行凶。</x:v>
      </x:c>
      <x:c r="G112" s="7" t="str">
        <x:v>LXS26A18</x:v>
      </x:c>
    </x:row>
    <x:row r="113" ht="38" customHeight="1">
      <x:c r="A113" s="2" t="str">
        <x:v>LX26A07</x:v>
      </x:c>
      <x:c r="B113" s="2" t="str">
        <x:v>pending</x:v>
      </x:c>
      <x:c r="C113" s="2" t="str">
        <x:v>抢劫</x:v>
      </x:c>
      <x:c r="D113" s="2" t="str">
        <x:v>其他已披露背景</x:v>
      </x:c>
      <x:c r="E113" s="2" t="str">
        <x:v>警方初步通报</x:v>
      </x:c>
      <x:c r="F113" s="2" t="str">
        <x:v>警方认定实施抢劫。</x:v>
      </x:c>
      <x:c r="G113" s="7" t="str">
        <x:v>LXS26A13</x:v>
      </x:c>
    </x:row>
    <x:row r="114" ht="38" customHeight="1">
      <x:c r="A114" s="2" t="str">
        <x:v>LX26A14</x:v>
      </x:c>
      <x:c r="B114" s="2" t="str">
        <x:v>excluded</x:v>
      </x:c>
      <x:c r="C114" s="2" t="str">
        <x:v>家庭纠纷</x:v>
      </x:c>
      <x:c r="D114" s="2" t="str">
        <x:v>婚姻／家庭／感情问题</x:v>
      </x:c>
      <x:c r="E114" s="2" t="str">
        <x:v>官方事迹</x:v>
      </x:c>
      <x:c r="F114" s="2" t="str">
        <x:v>家庭纠纷。</x:v>
      </x:c>
      <x:c r="G114" s="7" t="str">
        <x:v>LXS26A18</x:v>
      </x:c>
    </x:row>
    <x:row r="115" ht="38" customHeight="1">
      <x:c r="A115" s="2" t="str">
        <x:v>LX26B02</x:v>
      </x:c>
      <x:c r="B115" s="2" t="str">
        <x:v>expanded</x:v>
      </x:c>
      <x:c r="C115" s="2" t="str">
        <x:v>工作纠纷</x:v>
      </x:c>
      <x:c r="D115" s="2" t="str">
        <x:v>经济／工作／财产纠纷</x:v>
      </x:c>
      <x:c r="E115" s="2" t="str">
        <x:v>官方事迹</x:v>
      </x:c>
      <x:c r="F115" s="2" t="str">
        <x:v>官方案例记述袭击者与老板存在既往纠纷；具体心理动机未披露。</x:v>
      </x:c>
      <x:c r="G115" s="7" t="str">
        <x:v>LXS26B01</x:v>
      </x:c>
    </x:row>
    <x:row r="116" ht="38" customHeight="1">
      <x:c r="A116" s="2" t="str">
        <x:v>LX26B08</x:v>
      </x:c>
      <x:c r="B116" s="2" t="str">
        <x:v>excluded</x:v>
      </x:c>
      <x:c r="C116" s="2" t="str">
        <x:v>工作纠纷</x:v>
      </x:c>
      <x:c r="D116" s="2" t="str">
        <x:v>经济／工作／财产纠纷</x:v>
      </x:c>
      <x:c r="E116" s="2" t="str">
        <x:v>警方初步通报</x:v>
      </x:c>
      <x:c r="F116" s="2" t="str">
        <x:v>警方初查为同事矛盾。</x:v>
      </x:c>
      <x:c r="G116" s="7" t="str">
        <x:v>LXS26B09</x:v>
      </x:c>
    </x:row>
    <x:row r="117" ht="38" customHeight="1">
      <x:c r="A117" s="2" t="str">
        <x:v>LX26B10</x:v>
      </x:c>
      <x:c r="B117" s="2" t="str">
        <x:v>pending</x:v>
      </x:c>
      <x:c r="C117" s="2" t="str">
        <x:v>经营纠纷</x:v>
      </x:c>
      <x:c r="D117" s="2" t="str">
        <x:v>其他已披露背景</x:v>
      </x:c>
      <x:c r="E117" s="2" t="str">
        <x:v>警方初步通报</x:v>
      </x:c>
      <x:c r="F117" s="2" t="str">
        <x:v>警方查明因经营纠纷实施放火。</x:v>
      </x:c>
      <x:c r="G117" s="7" t="str">
        <x:v>LXS26B12；LXS26B13</x:v>
      </x:c>
    </x:row>
    <x:row r="118" ht="38" customHeight="1">
      <x:c r="A118" s="2" t="str">
        <x:v>LX26C05</x:v>
      </x:c>
      <x:c r="B118" s="2" t="str">
        <x:v>pending</x:v>
      </x:c>
      <x:c r="C118" s="2" t="str">
        <x:v>商业纠纷</x:v>
      </x:c>
      <x:c r="D118" s="2" t="str">
        <x:v>其他已披露背景</x:v>
      </x:c>
      <x:c r="E118" s="2" t="str">
        <x:v>警方初步通报</x:v>
      </x:c>
      <x:c r="F118" s="2" t="str">
        <x:v>警方初查称与店主存在矛盾纠纷后纵火，细节未知。</x:v>
      </x:c>
      <x:c r="G118" s="7" t="str">
        <x:v>LXS26C14</x:v>
      </x:c>
    </x:row>
    <x:row r="119" ht="38" customHeight="1">
      <x:c r="A119" s="2" t="str">
        <x:v>LX26C06</x:v>
      </x:c>
      <x:c r="B119" s="2" t="str">
        <x:v>excluded</x:v>
      </x:c>
      <x:c r="C119" s="2" t="str">
        <x:v>邻里纠纷</x:v>
      </x:c>
      <x:c r="D119" s="2" t="str">
        <x:v>其他已披露背景</x:v>
      </x:c>
      <x:c r="E119" s="2" t="str">
        <x:v>警方初步通报</x:v>
      </x:c>
      <x:c r="F119" s="2" t="str">
        <x:v>警方初查为邻里矛盾引发争执。</x:v>
      </x:c>
      <x:c r="G119" s="7" t="str">
        <x:v>LXS26C15</x:v>
      </x:c>
    </x:row>
    <x:row r="120" ht="38" customHeight="1">
      <x:c r="A120" s="2" t="str">
        <x:v>LX26C04</x:v>
      </x:c>
      <x:c r="B120" s="2" t="str">
        <x:v>excluded</x:v>
      </x:c>
      <x:c r="C120" s="2" t="str">
        <x:v>人际纠纷</x:v>
      </x:c>
      <x:c r="D120" s="2" t="str">
        <x:v>其他已披露背景</x:v>
      </x:c>
      <x:c r="E120" s="2" t="str">
        <x:v>警方初步通报</x:v>
      </x:c>
      <x:c r="F120" s="2" t="str">
        <x:v>警方初查：因纠纷伤害特定女子，纠纷内容未公布。</x:v>
      </x:c>
      <x:c r="G120" s="7" t="str">
        <x:v>LXS26C13</x:v>
      </x:c>
    </x:row>
    <x:row r="121" ht="38" customHeight="1">
      <x:c r="A121" s="2" t="str">
        <x:v>C041</x:v>
      </x:c>
      <x:c r="B121" s="2" t="str">
        <x:v>expanded</x:v>
      </x:c>
      <x:c r="C121" s="2" t="str">
        <x:v>人际纠纷</x:v>
      </x:c>
      <x:c r="D121" s="2" t="str">
        <x:v>其他已披露背景</x:v>
      </x:c>
      <x:c r="E121" s="2" t="str">
        <x:v>媒体调查</x:v>
      </x:c>
      <x:c r="F121" s="2" t="str">
        <x:v>目击者采访称与摊主冲突，进一步起因未披露。</x:v>
      </x:c>
      <x:c r="G121" s="7" t="str">
        <x:v>LXS26C07</x:v>
      </x:c>
    </x:row>
  </x:sheetData>
  <x:pageMargins left="0.7" right="0.7" top="0.75" bottom="0.75" header="0.3" footer="0.3"/>
  <x:tableParts count="1">
    <x:tablePart xmlns:r="http://schemas.openxmlformats.org/officeDocument/2006/relationships" r:id="Ra086ef67312a4124"/>
  </x:tableParts>
</x:worksheet>
</file>

<file path=xl/worksheets/sheet5.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s>
  <x:sheetData>
    <x:row r="1" ht="42" customHeight="1">
      <x:c r="A1" s="6" t="str">
        <x:v>省级地区</x:v>
      </x:c>
      <x:c r="B1" s="6" t="str">
        <x:v>年份</x:v>
      </x:c>
      <x:c r="C1" s="6" t="str">
        <x:v>核心记录件数</x:v>
      </x:c>
      <x:c r="D1" s="6" t="str">
        <x:v>常住人口_万人</x:v>
      </x:c>
      <x:c r="E1" s="6" t="str">
        <x:v>每百万人公开记录数</x:v>
      </x:c>
      <x:c r="F1" s="6" t="str">
        <x:v>城镇化率_%</x:v>
      </x:c>
      <x:c r="G1" s="6" t="str">
        <x:v>居民人均可支配收入_元</x:v>
      </x:c>
      <x:c r="H1" s="6" t="str">
        <x:v>调查失业率_缺失</x:v>
      </x:c>
      <x:c r="I1" s="6" t="str">
        <x:v>就业人员_万人</x:v>
      </x:c>
      <x:c r="J1" s="6" t="str">
        <x:v>第三产业就业_万人</x:v>
      </x:c>
      <x:c r="K1" s="6" t="str">
        <x:v>第三产业就业占比_%</x:v>
      </x:c>
      <x:c r="L1" s="6" t="str">
        <x:v>人口来源</x:v>
      </x:c>
      <x:c r="M1" s="6" t="str">
        <x:v>城镇化来源</x:v>
      </x:c>
      <x:c r="N1" s="6" t="str">
        <x:v>收入来源</x:v>
      </x:c>
      <x:c r="O1" s="6" t="str">
        <x:v>就业来源</x:v>
      </x:c>
      <x:c r="P1" s="6" t="str">
        <x:v>失业指标缺口</x:v>
      </x:c>
      <x:c r="Q1" s="6" t="str">
        <x:v>未检出解释</x:v>
      </x:c>
    </x:row>
    <x:row r="2" ht="38" customHeight="1">
      <x:c r="A2" s="2" t="str">
        <x:v>北京</x:v>
      </x:c>
      <x:c r="B2" s="9" t="n">
        <x:v>2018</x:v>
      </x:c>
      <x:c r="C2" s="9" t="n">
        <x:f>COUNTIFS('事件主表'!$D$2:$D$215,A2,'事件主表'!$BH$2:$BH$215,B2,'事件主表'!$F$2:$F$215,"core")</x:f>
        <x:v>2</x:v>
      </x:c>
      <x:c r="D2" s="9" t="n">
        <x:v>2192</x:v>
      </x:c>
      <x:c r="E2" s="22" t="n">
        <x:f>C2/(D2/100)</x:f>
        <x:v>0.09124087591240876</x:v>
      </x:c>
      <x:c r="F2" s="22" t="n">
        <x:v>87.09</x:v>
      </x:c>
      <x:c r="G2" s="9" t="n">
        <x:v>62361</x:v>
      </x:c>
      <x:c r="H2" s="2"/>
      <x:c r="I2" s="9"/>
      <x:c r="J2" s="9"/>
      <x:c r="K2" s="22"/>
      <x:c r="L2" s="2" t="str">
        <x:v>R_NBS_POP</x:v>
      </x:c>
      <x:c r="M2" s="2" t="str">
        <x:v>R_NBS_URBAN</x:v>
      </x:c>
      <x:c r="N2" s="2" t="str">
        <x:v>R_NBS_INCOME</x:v>
      </x:c>
      <x:c r="O2" s="2"/>
      <x:c r="P2" s="2" t="str">
        <x:v>未获取同口径省级连续面板；不以登记失业率替代调查失业率</x:v>
      </x:c>
      <x:c r="Q2" s="2" t="str">
        <x:v>公开核实记录</x:v>
      </x:c>
    </x:row>
    <x:row r="3" ht="38" customHeight="1">
      <x:c r="A3" s="2" t="str">
        <x:v>北京</x:v>
      </x:c>
      <x:c r="B3" s="9" t="n">
        <x:v>2019</x:v>
      </x:c>
      <x:c r="C3" s="9" t="n">
        <x:f>COUNTIFS('事件主表'!$D$2:$D$215,A3,'事件主表'!$BH$2:$BH$215,B3,'事件主表'!$F$2:$F$215,"core")</x:f>
        <x:v>1</x:v>
      </x:c>
      <x:c r="D3" s="9" t="n">
        <x:v>2190</x:v>
      </x:c>
      <x:c r="E3" s="22" t="n">
        <x:f>C3/(D3/100)</x:f>
        <x:v>0.04566210045662101</x:v>
      </x:c>
      <x:c r="F3" s="22" t="n">
        <x:v>87.35</x:v>
      </x:c>
      <x:c r="G3" s="9" t="n">
        <x:v>67756</x:v>
      </x:c>
      <x:c r="H3" s="2"/>
      <x:c r="I3" s="9"/>
      <x:c r="J3" s="9"/>
      <x:c r="K3" s="22"/>
      <x:c r="L3" s="2" t="str">
        <x:v>R_NBS_POP</x:v>
      </x:c>
      <x:c r="M3" s="2" t="str">
        <x:v>R_NBS_URBAN</x:v>
      </x:c>
      <x:c r="N3" s="2" t="str">
        <x:v>R_NBS_INCOME</x:v>
      </x:c>
      <x:c r="O3" s="2"/>
      <x:c r="P3" s="2" t="str">
        <x:v>未获取同口径省级连续面板；不以登记失业率替代调查失业率</x:v>
      </x:c>
      <x:c r="Q3" s="2" t="str">
        <x:v>公开核实记录</x:v>
      </x:c>
    </x:row>
    <x:row r="4" ht="38" customHeight="1">
      <x:c r="A4" s="2" t="str">
        <x:v>北京</x:v>
      </x:c>
      <x:c r="B4" s="9" t="n">
        <x:v>2020</x:v>
      </x:c>
      <x:c r="C4" s="9" t="n">
        <x:f>COUNTIFS('事件主表'!$D$2:$D$215,A4,'事件主表'!$BH$2:$BH$215,B4,'事件主表'!$F$2:$F$215,"core")</x:f>
        <x:v>0</x:v>
      </x:c>
      <x:c r="D4" s="9" t="n">
        <x:v>2189</x:v>
      </x:c>
      <x:c r="E4" s="22" t="n">
        <x:f>C4/(D4/100)</x:f>
        <x:v>0</x:v>
      </x:c>
      <x:c r="F4" s="22" t="n">
        <x:v>87.55</x:v>
      </x:c>
      <x:c r="G4" s="9" t="n">
        <x:v>69434</x:v>
      </x:c>
      <x:c r="H4" s="2"/>
      <x:c r="I4" s="9"/>
      <x:c r="J4" s="9"/>
      <x:c r="K4" s="22"/>
      <x:c r="L4" s="2" t="str">
        <x:v>R_NBS_POP</x:v>
      </x:c>
      <x:c r="M4" s="2" t="str">
        <x:v>R_NBS_URBAN</x:v>
      </x:c>
      <x:c r="N4" s="2" t="str">
        <x:v>R_NBS_INCOME</x:v>
      </x:c>
      <x:c r="O4" s="2"/>
      <x:c r="P4" s="2" t="str">
        <x:v>未获取同口径省级连续面板；不以登记失业率替代调查失业率</x:v>
      </x:c>
      <x:c r="Q4" s="2" t="str">
        <x:v>未检出，不代表实际零发生</x:v>
      </x:c>
    </x:row>
    <x:row r="5" ht="38" customHeight="1">
      <x:c r="A5" s="2" t="str">
        <x:v>北京</x:v>
      </x:c>
      <x:c r="B5" s="9" t="n">
        <x:v>2021</x:v>
      </x:c>
      <x:c r="C5" s="9" t="n">
        <x:f>COUNTIFS('事件主表'!$D$2:$D$215,A5,'事件主表'!$BH$2:$BH$215,B5,'事件主表'!$F$2:$F$215,"core")</x:f>
        <x:v>0</x:v>
      </x:c>
      <x:c r="D5" s="9" t="n">
        <x:v>2189</x:v>
      </x:c>
      <x:c r="E5" s="22" t="n">
        <x:f>C5/(D5/100)</x:f>
        <x:v>0</x:v>
      </x:c>
      <x:c r="F5" s="22" t="n">
        <x:v>87.5</x:v>
      </x:c>
      <x:c r="G5" s="9" t="n">
        <x:v>75002</x:v>
      </x:c>
      <x:c r="H5" s="2"/>
      <x:c r="I5" s="9"/>
      <x:c r="J5" s="9"/>
      <x:c r="K5" s="22"/>
      <x:c r="L5" s="2" t="str">
        <x:v>R_NBS_POP</x:v>
      </x:c>
      <x:c r="M5" s="2" t="str">
        <x:v>R_NBS_URBAN</x:v>
      </x:c>
      <x:c r="N5" s="2" t="str">
        <x:v>R_NBS_INCOME</x:v>
      </x:c>
      <x:c r="O5" s="2"/>
      <x:c r="P5" s="2" t="str">
        <x:v>未获取同口径省级连续面板；不以登记失业率替代调查失业率</x:v>
      </x:c>
      <x:c r="Q5" s="2" t="str">
        <x:v>未检出，不代表实际零发生</x:v>
      </x:c>
    </x:row>
    <x:row r="6" ht="38" customHeight="1">
      <x:c r="A6" s="2" t="str">
        <x:v>北京</x:v>
      </x:c>
      <x:c r="B6" s="9" t="n">
        <x:v>2022</x:v>
      </x:c>
      <x:c r="C6" s="9" t="n">
        <x:f>COUNTIFS('事件主表'!$D$2:$D$215,A6,'事件主表'!$BH$2:$BH$215,B6,'事件主表'!$F$2:$F$215,"core")</x:f>
        <x:v>0</x:v>
      </x:c>
      <x:c r="D6" s="9" t="n">
        <x:v>2184</x:v>
      </x:c>
      <x:c r="E6" s="22" t="n">
        <x:f>C6/(D6/100)</x:f>
        <x:v>0</x:v>
      </x:c>
      <x:c r="F6" s="22" t="n">
        <x:v>87.57</x:v>
      </x:c>
      <x:c r="G6" s="9" t="n">
        <x:v>77415</x:v>
      </x:c>
      <x:c r="H6" s="2"/>
      <x:c r="I6" s="9"/>
      <x:c r="J6" s="9"/>
      <x:c r="K6" s="22"/>
      <x:c r="L6" s="2" t="str">
        <x:v>R_NBS_POP</x:v>
      </x:c>
      <x:c r="M6" s="2" t="str">
        <x:v>R_NBS_URBAN</x:v>
      </x:c>
      <x:c r="N6" s="2" t="str">
        <x:v>R_NBS_INCOME</x:v>
      </x:c>
      <x:c r="O6" s="2"/>
      <x:c r="P6" s="2" t="str">
        <x:v>未获取同口径省级连续面板；不以登记失业率替代调查失业率</x:v>
      </x:c>
      <x:c r="Q6" s="2" t="str">
        <x:v>未检出，不代表实际零发生</x:v>
      </x:c>
    </x:row>
    <x:row r="7" ht="38" customHeight="1">
      <x:c r="A7" s="2" t="str">
        <x:v>北京</x:v>
      </x:c>
      <x:c r="B7" s="9" t="n">
        <x:v>2023</x:v>
      </x:c>
      <x:c r="C7" s="9" t="n">
        <x:f>COUNTIFS('事件主表'!$D$2:$D$215,A7,'事件主表'!$BH$2:$BH$215,B7,'事件主表'!$F$2:$F$215,"core")</x:f>
        <x:v>0</x:v>
      </x:c>
      <x:c r="D7" s="9" t="n">
        <x:v>2186</x:v>
      </x:c>
      <x:c r="E7" s="22" t="n">
        <x:f>C7/(D7/100)</x:f>
        <x:v>0</x:v>
      </x:c>
      <x:c r="F7" s="22" t="n">
        <x:v>87.83</x:v>
      </x:c>
      <x:c r="G7" s="9" t="n">
        <x:v>81752</x:v>
      </x:c>
      <x:c r="H7" s="2"/>
      <x:c r="I7" s="9"/>
      <x:c r="J7" s="9"/>
      <x:c r="K7" s="22"/>
      <x:c r="L7" s="2" t="str">
        <x:v>R_NBS_POP</x:v>
      </x:c>
      <x:c r="M7" s="2" t="str">
        <x:v>R_NBS_URBAN</x:v>
      </x:c>
      <x:c r="N7" s="2" t="str">
        <x:v>R_NBS_INCOME</x:v>
      </x:c>
      <x:c r="O7" s="2"/>
      <x:c r="P7" s="2" t="str">
        <x:v>未获取同口径省级连续面板；不以登记失业率替代调查失业率</x:v>
      </x:c>
      <x:c r="Q7" s="2" t="str">
        <x:v>未检出，不代表实际零发生</x:v>
      </x:c>
    </x:row>
    <x:row r="8" ht="38" customHeight="1">
      <x:c r="A8" s="2" t="str">
        <x:v>北京</x:v>
      </x:c>
      <x:c r="B8" s="9" t="n">
        <x:v>2024</x:v>
      </x:c>
      <x:c r="C8" s="9" t="n">
        <x:f>COUNTIFS('事件主表'!$D$2:$D$215,A8,'事件主表'!$BH$2:$BH$215,B8,'事件主表'!$F$2:$F$215,"core")</x:f>
        <x:v>1</x:v>
      </x:c>
      <x:c r="D8" s="9" t="n">
        <x:v>2183</x:v>
      </x:c>
      <x:c r="E8" s="22" t="n">
        <x:f>C8/(D8/100)</x:f>
        <x:v>0.04580852038479157</x:v>
      </x:c>
      <x:c r="F8" s="22" t="n">
        <x:v>88.22</x:v>
      </x:c>
      <x:c r="G8" s="9" t="n">
        <x:v>85415</x:v>
      </x:c>
      <x:c r="H8" s="2"/>
      <x:c r="I8" s="9" t="n">
        <x:v>1118</x:v>
      </x:c>
      <x:c r="J8" s="9" t="n">
        <x:v>917</x:v>
      </x:c>
      <x:c r="K8" s="22" t="n">
        <x:v>82.02146690518784</x:v>
      </x:c>
      <x:c r="L8" s="2" t="str">
        <x:v>R_NBS_POP</x:v>
      </x:c>
      <x:c r="M8" s="2" t="str">
        <x:v>R_NBS_URBAN</x:v>
      </x:c>
      <x:c r="N8" s="2" t="str">
        <x:v>R_NBS_INCOME</x:v>
      </x:c>
      <x:c r="O8" s="2" t="str">
        <x:v>R_NBS_EMPLOYMENT</x:v>
      </x:c>
      <x:c r="P8" s="2" t="str">
        <x:v>未获取同口径省级连续面板；不以登记失业率替代调查失业率</x:v>
      </x:c>
      <x:c r="Q8" s="2" t="str">
        <x:v>公开核实记录</x:v>
      </x:c>
    </x:row>
    <x:row r="9" ht="38" customHeight="1">
      <x:c r="A9" s="2" t="str">
        <x:v>天津</x:v>
      </x:c>
      <x:c r="B9" s="9" t="n">
        <x:v>2018</x:v>
      </x:c>
      <x:c r="C9" s="9" t="n">
        <x:f>COUNTIFS('事件主表'!$D$2:$D$215,A9,'事件主表'!$BH$2:$BH$215,B9,'事件主表'!$F$2:$F$215,"core")</x:f>
        <x:v>0</x:v>
      </x:c>
      <x:c r="D9" s="9" t="n">
        <x:v>1383</x:v>
      </x:c>
      <x:c r="E9" s="22" t="n">
        <x:f>C9/(D9/100)</x:f>
        <x:v>0</x:v>
      </x:c>
      <x:c r="F9" s="22" t="n">
        <x:v>83.95</x:v>
      </x:c>
      <x:c r="G9" s="9" t="n">
        <x:v>39506</x:v>
      </x:c>
      <x:c r="H9" s="2"/>
      <x:c r="I9" s="9"/>
      <x:c r="J9" s="9"/>
      <x:c r="K9" s="22"/>
      <x:c r="L9" s="2" t="str">
        <x:v>R_NBS_POP</x:v>
      </x:c>
      <x:c r="M9" s="2" t="str">
        <x:v>R_NBS_URBAN</x:v>
      </x:c>
      <x:c r="N9" s="2" t="str">
        <x:v>R_NBS_INCOME</x:v>
      </x:c>
      <x:c r="O9" s="2"/>
      <x:c r="P9" s="2" t="str">
        <x:v>未获取同口径省级连续面板；不以登记失业率替代调查失业率</x:v>
      </x:c>
      <x:c r="Q9" s="2" t="str">
        <x:v>未检出，不代表实际零发生</x:v>
      </x:c>
    </x:row>
    <x:row r="10" ht="38" customHeight="1">
      <x:c r="A10" s="2" t="str">
        <x:v>天津</x:v>
      </x:c>
      <x:c r="B10" s="9" t="n">
        <x:v>2019</x:v>
      </x:c>
      <x:c r="C10" s="9" t="n">
        <x:f>COUNTIFS('事件主表'!$D$2:$D$215,A10,'事件主表'!$BH$2:$BH$215,B10,'事件主表'!$F$2:$F$215,"core")</x:f>
        <x:v>0</x:v>
      </x:c>
      <x:c r="D10" s="9" t="n">
        <x:v>1385</x:v>
      </x:c>
      <x:c r="E10" s="22" t="n">
        <x:f>C10/(D10/100)</x:f>
        <x:v>0</x:v>
      </x:c>
      <x:c r="F10" s="22" t="n">
        <x:v>84.31</x:v>
      </x:c>
      <x:c r="G10" s="9" t="n">
        <x:v>42404</x:v>
      </x:c>
      <x:c r="H10" s="2"/>
      <x:c r="I10" s="9"/>
      <x:c r="J10" s="9"/>
      <x:c r="K10" s="22"/>
      <x:c r="L10" s="2" t="str">
        <x:v>R_NBS_POP</x:v>
      </x:c>
      <x:c r="M10" s="2" t="str">
        <x:v>R_NBS_URBAN</x:v>
      </x:c>
      <x:c r="N10" s="2" t="str">
        <x:v>R_NBS_INCOME</x:v>
      </x:c>
      <x:c r="O10" s="2"/>
      <x:c r="P10" s="2" t="str">
        <x:v>未获取同口径省级连续面板；不以登记失业率替代调查失业率</x:v>
      </x:c>
      <x:c r="Q10" s="2" t="str">
        <x:v>未检出，不代表实际零发生</x:v>
      </x:c>
    </x:row>
    <x:row r="11" ht="38" customHeight="1">
      <x:c r="A11" s="2" t="str">
        <x:v>天津</x:v>
      </x:c>
      <x:c r="B11" s="9" t="n">
        <x:v>2020</x:v>
      </x:c>
      <x:c r="C11" s="9" t="n">
        <x:f>COUNTIFS('事件主表'!$D$2:$D$215,A11,'事件主表'!$BH$2:$BH$215,B11,'事件主表'!$F$2:$F$215,"core")</x:f>
        <x:v>1</x:v>
      </x:c>
      <x:c r="D11" s="9" t="n">
        <x:v>1387</x:v>
      </x:c>
      <x:c r="E11" s="22" t="n">
        <x:f>C11/(D11/100)</x:f>
        <x:v>0.07209805335255949</x:v>
      </x:c>
      <x:c r="F11" s="22" t="n">
        <x:v>84.7</x:v>
      </x:c>
      <x:c r="G11" s="9" t="n">
        <x:v>43854</x:v>
      </x:c>
      <x:c r="H11" s="2"/>
      <x:c r="I11" s="9"/>
      <x:c r="J11" s="9"/>
      <x:c r="K11" s="22"/>
      <x:c r="L11" s="2" t="str">
        <x:v>R_NBS_POP</x:v>
      </x:c>
      <x:c r="M11" s="2" t="str">
        <x:v>R_NBS_URBAN</x:v>
      </x:c>
      <x:c r="N11" s="2" t="str">
        <x:v>R_NBS_INCOME</x:v>
      </x:c>
      <x:c r="O11" s="2"/>
      <x:c r="P11" s="2" t="str">
        <x:v>未获取同口径省级连续面板；不以登记失业率替代调查失业率</x:v>
      </x:c>
      <x:c r="Q11" s="2" t="str">
        <x:v>公开核实记录</x:v>
      </x:c>
    </x:row>
    <x:row r="12" ht="38" customHeight="1">
      <x:c r="A12" s="2" t="str">
        <x:v>天津</x:v>
      </x:c>
      <x:c r="B12" s="9" t="n">
        <x:v>2021</x:v>
      </x:c>
      <x:c r="C12" s="9" t="n">
        <x:f>COUNTIFS('事件主表'!$D$2:$D$215,A12,'事件主表'!$BH$2:$BH$215,B12,'事件主表'!$F$2:$F$215,"core")</x:f>
        <x:v>0</x:v>
      </x:c>
      <x:c r="D12" s="9" t="n">
        <x:v>1373</x:v>
      </x:c>
      <x:c r="E12" s="22" t="n">
        <x:f>C12/(D12/100)</x:f>
        <x:v>0</x:v>
      </x:c>
      <x:c r="F12" s="22" t="n">
        <x:v>84.88</x:v>
      </x:c>
      <x:c r="G12" s="9" t="n">
        <x:v>47449</x:v>
      </x:c>
      <x:c r="H12" s="2"/>
      <x:c r="I12" s="9"/>
      <x:c r="J12" s="9"/>
      <x:c r="K12" s="22"/>
      <x:c r="L12" s="2" t="str">
        <x:v>R_NBS_POP</x:v>
      </x:c>
      <x:c r="M12" s="2" t="str">
        <x:v>R_NBS_URBAN</x:v>
      </x:c>
      <x:c r="N12" s="2" t="str">
        <x:v>R_NBS_INCOME</x:v>
      </x:c>
      <x:c r="O12" s="2"/>
      <x:c r="P12" s="2" t="str">
        <x:v>未获取同口径省级连续面板；不以登记失业率替代调查失业率</x:v>
      </x:c>
      <x:c r="Q12" s="2" t="str">
        <x:v>未检出，不代表实际零发生</x:v>
      </x:c>
    </x:row>
    <x:row r="13" ht="38" customHeight="1">
      <x:c r="A13" s="2" t="str">
        <x:v>天津</x:v>
      </x:c>
      <x:c r="B13" s="9" t="n">
        <x:v>2022</x:v>
      </x:c>
      <x:c r="C13" s="9" t="n">
        <x:f>COUNTIFS('事件主表'!$D$2:$D$215,A13,'事件主表'!$BH$2:$BH$215,B13,'事件主表'!$F$2:$F$215,"core")</x:f>
        <x:v>0</x:v>
      </x:c>
      <x:c r="D13" s="9" t="n">
        <x:v>1363</x:v>
      </x:c>
      <x:c r="E13" s="22" t="n">
        <x:f>C13/(D13/100)</x:f>
        <x:v>0</x:v>
      </x:c>
      <x:c r="F13" s="22" t="n">
        <x:v>85.11</x:v>
      </x:c>
      <x:c r="G13" s="9" t="n">
        <x:v>48976</x:v>
      </x:c>
      <x:c r="H13" s="2"/>
      <x:c r="I13" s="9"/>
      <x:c r="J13" s="9"/>
      <x:c r="K13" s="22"/>
      <x:c r="L13" s="2" t="str">
        <x:v>R_NBS_POP</x:v>
      </x:c>
      <x:c r="M13" s="2" t="str">
        <x:v>R_NBS_URBAN</x:v>
      </x:c>
      <x:c r="N13" s="2" t="str">
        <x:v>R_NBS_INCOME</x:v>
      </x:c>
      <x:c r="O13" s="2"/>
      <x:c r="P13" s="2" t="str">
        <x:v>未获取同口径省级连续面板；不以登记失业率替代调查失业率</x:v>
      </x:c>
      <x:c r="Q13" s="2" t="str">
        <x:v>未检出，不代表实际零发生</x:v>
      </x:c>
    </x:row>
    <x:row r="14" ht="38" customHeight="1">
      <x:c r="A14" s="2" t="str">
        <x:v>天津</x:v>
      </x:c>
      <x:c r="B14" s="9" t="n">
        <x:v>2023</x:v>
      </x:c>
      <x:c r="C14" s="9" t="n">
        <x:f>COUNTIFS('事件主表'!$D$2:$D$215,A14,'事件主表'!$BH$2:$BH$215,B14,'事件主表'!$F$2:$F$215,"core")</x:f>
        <x:v>0</x:v>
      </x:c>
      <x:c r="D14" s="9" t="n">
        <x:v>1364</x:v>
      </x:c>
      <x:c r="E14" s="22" t="n">
        <x:f>C14/(D14/100)</x:f>
        <x:v>0</x:v>
      </x:c>
      <x:c r="F14" s="22" t="n">
        <x:v>85.49</x:v>
      </x:c>
      <x:c r="G14" s="9" t="n">
        <x:v>51271</x:v>
      </x:c>
      <x:c r="H14" s="2"/>
      <x:c r="I14" s="9"/>
      <x:c r="J14" s="9"/>
      <x:c r="K14" s="22"/>
      <x:c r="L14" s="2" t="str">
        <x:v>R_NBS_POP</x:v>
      </x:c>
      <x:c r="M14" s="2" t="str">
        <x:v>R_NBS_URBAN</x:v>
      </x:c>
      <x:c r="N14" s="2" t="str">
        <x:v>R_NBS_INCOME</x:v>
      </x:c>
      <x:c r="O14" s="2"/>
      <x:c r="P14" s="2" t="str">
        <x:v>未获取同口径省级连续面板；不以登记失业率替代调查失业率</x:v>
      </x:c>
      <x:c r="Q14" s="2" t="str">
        <x:v>未检出，不代表实际零发生</x:v>
      </x:c>
    </x:row>
    <x:row r="15" ht="38" customHeight="1">
      <x:c r="A15" s="2" t="str">
        <x:v>天津</x:v>
      </x:c>
      <x:c r="B15" s="9" t="n">
        <x:v>2024</x:v>
      </x:c>
      <x:c r="C15" s="9" t="n">
        <x:f>COUNTIFS('事件主表'!$D$2:$D$215,A15,'事件主表'!$BH$2:$BH$215,B15,'事件主表'!$F$2:$F$215,"core")</x:f>
        <x:v>0</x:v>
      </x:c>
      <x:c r="D15" s="9" t="n">
        <x:v>1364</x:v>
      </x:c>
      <x:c r="E15" s="22" t="n">
        <x:f>C15/(D15/100)</x:f>
        <x:v>0</x:v>
      </x:c>
      <x:c r="F15" s="22" t="n">
        <x:v>86.01</x:v>
      </x:c>
      <x:c r="G15" s="9" t="n">
        <x:v>53581</x:v>
      </x:c>
      <x:c r="H15" s="2"/>
      <x:c r="I15" s="9" t="n">
        <x:v>634</x:v>
      </x:c>
      <x:c r="J15" s="9" t="n">
        <x:v>390</x:v>
      </x:c>
      <x:c r="K15" s="22" t="n">
        <x:v>61.51419558359621</x:v>
      </x:c>
      <x:c r="L15" s="2" t="str">
        <x:v>R_NBS_POP</x:v>
      </x:c>
      <x:c r="M15" s="2" t="str">
        <x:v>R_NBS_URBAN</x:v>
      </x:c>
      <x:c r="N15" s="2" t="str">
        <x:v>R_NBS_INCOME</x:v>
      </x:c>
      <x:c r="O15" s="2" t="str">
        <x:v>R_NBS_EMPLOYMENT</x:v>
      </x:c>
      <x:c r="P15" s="2" t="str">
        <x:v>未获取同口径省级连续面板；不以登记失业率替代调查失业率</x:v>
      </x:c>
      <x:c r="Q15" s="2" t="str">
        <x:v>未检出，不代表实际零发生</x:v>
      </x:c>
    </x:row>
    <x:row r="16" ht="38" customHeight="1">
      <x:c r="A16" s="2" t="str">
        <x:v>河北</x:v>
      </x:c>
      <x:c r="B16" s="9" t="n">
        <x:v>2018</x:v>
      </x:c>
      <x:c r="C16" s="9" t="n">
        <x:f>COUNTIFS('事件主表'!$D$2:$D$215,A16,'事件主表'!$BH$2:$BH$215,B16,'事件主表'!$F$2:$F$215,"core")</x:f>
        <x:v>1</x:v>
      </x:c>
      <x:c r="D16" s="9" t="n">
        <x:v>7426</x:v>
      </x:c>
      <x:c r="E16" s="22" t="n">
        <x:f>C16/(D16/100)</x:f>
        <x:v>0.013466199838405602</x:v>
      </x:c>
      <x:c r="F16" s="22" t="n">
        <x:v>57.33</x:v>
      </x:c>
      <x:c r="G16" s="9" t="n">
        <x:v>23446</x:v>
      </x:c>
      <x:c r="H16" s="2"/>
      <x:c r="I16" s="9"/>
      <x:c r="J16" s="9"/>
      <x:c r="K16" s="22"/>
      <x:c r="L16" s="2" t="str">
        <x:v>R_NBS_POP</x:v>
      </x:c>
      <x:c r="M16" s="2" t="str">
        <x:v>R_NBS_URBAN</x:v>
      </x:c>
      <x:c r="N16" s="2" t="str">
        <x:v>R_NBS_INCOME</x:v>
      </x:c>
      <x:c r="O16" s="2"/>
      <x:c r="P16" s="2" t="str">
        <x:v>未获取同口径省级连续面板；不以登记失业率替代调查失业率</x:v>
      </x:c>
      <x:c r="Q16" s="2" t="str">
        <x:v>公开核实记录</x:v>
      </x:c>
    </x:row>
    <x:row r="17" ht="38" customHeight="1">
      <x:c r="A17" s="2" t="str">
        <x:v>河北</x:v>
      </x:c>
      <x:c r="B17" s="9" t="n">
        <x:v>2019</x:v>
      </x:c>
      <x:c r="C17" s="9" t="n">
        <x:f>COUNTIFS('事件主表'!$D$2:$D$215,A17,'事件主表'!$BH$2:$BH$215,B17,'事件主表'!$F$2:$F$215,"core")</x:f>
        <x:v>0</x:v>
      </x:c>
      <x:c r="D17" s="9" t="n">
        <x:v>7447</x:v>
      </x:c>
      <x:c r="E17" s="22" t="n">
        <x:f>C17/(D17/100)</x:f>
        <x:v>0</x:v>
      </x:c>
      <x:c r="F17" s="22" t="n">
        <x:v>58.77</x:v>
      </x:c>
      <x:c r="G17" s="9" t="n">
        <x:v>25665</x:v>
      </x:c>
      <x:c r="H17" s="2"/>
      <x:c r="I17" s="9"/>
      <x:c r="J17" s="9"/>
      <x:c r="K17" s="22"/>
      <x:c r="L17" s="2" t="str">
        <x:v>R_NBS_POP</x:v>
      </x:c>
      <x:c r="M17" s="2" t="str">
        <x:v>R_NBS_URBAN</x:v>
      </x:c>
      <x:c r="N17" s="2" t="str">
        <x:v>R_NBS_INCOME</x:v>
      </x:c>
      <x:c r="O17" s="2"/>
      <x:c r="P17" s="2" t="str">
        <x:v>未获取同口径省级连续面板；不以登记失业率替代调查失业率</x:v>
      </x:c>
      <x:c r="Q17" s="2" t="str">
        <x:v>未检出，不代表实际零发生</x:v>
      </x:c>
    </x:row>
    <x:row r="18" ht="38" customHeight="1">
      <x:c r="A18" s="2" t="str">
        <x:v>河北</x:v>
      </x:c>
      <x:c r="B18" s="9" t="n">
        <x:v>2020</x:v>
      </x:c>
      <x:c r="C18" s="9" t="n">
        <x:f>COUNTIFS('事件主表'!$D$2:$D$215,A18,'事件主表'!$BH$2:$BH$215,B18,'事件主表'!$F$2:$F$215,"core")</x:f>
        <x:v>1</x:v>
      </x:c>
      <x:c r="D18" s="9" t="n">
        <x:v>7464</x:v>
      </x:c>
      <x:c r="E18" s="22" t="n">
        <x:f>C18/(D18/100)</x:f>
        <x:v>0.01339764201500536</x:v>
      </x:c>
      <x:c r="F18" s="22" t="n">
        <x:v>60.07</x:v>
      </x:c>
      <x:c r="G18" s="9" t="n">
        <x:v>27136</x:v>
      </x:c>
      <x:c r="H18" s="2"/>
      <x:c r="I18" s="9"/>
      <x:c r="J18" s="9"/>
      <x:c r="K18" s="22"/>
      <x:c r="L18" s="2" t="str">
        <x:v>R_NBS_POP</x:v>
      </x:c>
      <x:c r="M18" s="2" t="str">
        <x:v>R_NBS_URBAN</x:v>
      </x:c>
      <x:c r="N18" s="2" t="str">
        <x:v>R_NBS_INCOME</x:v>
      </x:c>
      <x:c r="O18" s="2"/>
      <x:c r="P18" s="2" t="str">
        <x:v>未获取同口径省级连续面板；不以登记失业率替代调查失业率</x:v>
      </x:c>
      <x:c r="Q18" s="2" t="str">
        <x:v>公开核实记录</x:v>
      </x:c>
    </x:row>
    <x:row r="19" ht="38" customHeight="1">
      <x:c r="A19" s="2" t="str">
        <x:v>河北</x:v>
      </x:c>
      <x:c r="B19" s="9" t="n">
        <x:v>2021</x:v>
      </x:c>
      <x:c r="C19" s="9" t="n">
        <x:f>COUNTIFS('事件主表'!$D$2:$D$215,A19,'事件主表'!$BH$2:$BH$215,B19,'事件主表'!$F$2:$F$215,"core")</x:f>
        <x:v>0</x:v>
      </x:c>
      <x:c r="D19" s="9" t="n">
        <x:v>7448</x:v>
      </x:c>
      <x:c r="E19" s="22" t="n">
        <x:f>C19/(D19/100)</x:f>
        <x:v>0</x:v>
      </x:c>
      <x:c r="F19" s="22" t="n">
        <x:v>61.14</x:v>
      </x:c>
      <x:c r="G19" s="9" t="n">
        <x:v>29383</x:v>
      </x:c>
      <x:c r="H19" s="2"/>
      <x:c r="I19" s="9"/>
      <x:c r="J19" s="9"/>
      <x:c r="K19" s="22"/>
      <x:c r="L19" s="2" t="str">
        <x:v>R_NBS_POP</x:v>
      </x:c>
      <x:c r="M19" s="2" t="str">
        <x:v>R_NBS_URBAN</x:v>
      </x:c>
      <x:c r="N19" s="2" t="str">
        <x:v>R_NBS_INCOME</x:v>
      </x:c>
      <x:c r="O19" s="2"/>
      <x:c r="P19" s="2" t="str">
        <x:v>未获取同口径省级连续面板；不以登记失业率替代调查失业率</x:v>
      </x:c>
      <x:c r="Q19" s="2" t="str">
        <x:v>未检出，不代表实际零发生</x:v>
      </x:c>
    </x:row>
    <x:row r="20" ht="38" customHeight="1">
      <x:c r="A20" s="2" t="str">
        <x:v>河北</x:v>
      </x:c>
      <x:c r="B20" s="9" t="n">
        <x:v>2022</x:v>
      </x:c>
      <x:c r="C20" s="9" t="n">
        <x:f>COUNTIFS('事件主表'!$D$2:$D$215,A20,'事件主表'!$BH$2:$BH$215,B20,'事件主表'!$F$2:$F$215,"core")</x:f>
        <x:v>0</x:v>
      </x:c>
      <x:c r="D20" s="9" t="n">
        <x:v>7420</x:v>
      </x:c>
      <x:c r="E20" s="22" t="n">
        <x:f>C20/(D20/100)</x:f>
        <x:v>0</x:v>
      </x:c>
      <x:c r="F20" s="22" t="n">
        <x:v>61.65</x:v>
      </x:c>
      <x:c r="G20" s="9" t="n">
        <x:v>30867</x:v>
      </x:c>
      <x:c r="H20" s="2"/>
      <x:c r="I20" s="9"/>
      <x:c r="J20" s="9"/>
      <x:c r="K20" s="22"/>
      <x:c r="L20" s="2" t="str">
        <x:v>R_NBS_POP</x:v>
      </x:c>
      <x:c r="M20" s="2" t="str">
        <x:v>R_NBS_URBAN</x:v>
      </x:c>
      <x:c r="N20" s="2" t="str">
        <x:v>R_NBS_INCOME</x:v>
      </x:c>
      <x:c r="O20" s="2"/>
      <x:c r="P20" s="2" t="str">
        <x:v>未获取同口径省级连续面板；不以登记失业率替代调查失业率</x:v>
      </x:c>
      <x:c r="Q20" s="2" t="str">
        <x:v>未检出，不代表实际零发生</x:v>
      </x:c>
    </x:row>
    <x:row r="21" ht="38" customHeight="1">
      <x:c r="A21" s="2" t="str">
        <x:v>河北</x:v>
      </x:c>
      <x:c r="B21" s="9" t="n">
        <x:v>2023</x:v>
      </x:c>
      <x:c r="C21" s="9" t="n">
        <x:f>COUNTIFS('事件主表'!$D$2:$D$215,A21,'事件主表'!$BH$2:$BH$215,B21,'事件主表'!$F$2:$F$215,"core")</x:f>
        <x:v>0</x:v>
      </x:c>
      <x:c r="D21" s="9" t="n">
        <x:v>7393</x:v>
      </x:c>
      <x:c r="E21" s="22" t="n">
        <x:f>C21/(D21/100)</x:f>
        <x:v>0</x:v>
      </x:c>
      <x:c r="F21" s="22" t="n">
        <x:v>62.77</x:v>
      </x:c>
      <x:c r="G21" s="9" t="n">
        <x:v>32903</x:v>
      </x:c>
      <x:c r="H21" s="2"/>
      <x:c r="I21" s="9"/>
      <x:c r="J21" s="9"/>
      <x:c r="K21" s="22"/>
      <x:c r="L21" s="2" t="str">
        <x:v>R_NBS_POP</x:v>
      </x:c>
      <x:c r="M21" s="2" t="str">
        <x:v>R_NBS_URBAN</x:v>
      </x:c>
      <x:c r="N21" s="2" t="str">
        <x:v>R_NBS_INCOME</x:v>
      </x:c>
      <x:c r="O21" s="2"/>
      <x:c r="P21" s="2" t="str">
        <x:v>未获取同口径省级连续面板；不以登记失业率替代调查失业率</x:v>
      </x:c>
      <x:c r="Q21" s="2" t="str">
        <x:v>未检出，不代表实际零发生</x:v>
      </x:c>
    </x:row>
    <x:row r="22" ht="38" customHeight="1">
      <x:c r="A22" s="2" t="str">
        <x:v>河北</x:v>
      </x:c>
      <x:c r="B22" s="9" t="n">
        <x:v>2024</x:v>
      </x:c>
      <x:c r="C22" s="9" t="n">
        <x:f>COUNTIFS('事件主表'!$D$2:$D$215,A22,'事件主表'!$BH$2:$BH$215,B22,'事件主表'!$F$2:$F$215,"core")</x:f>
        <x:v>0</x:v>
      </x:c>
      <x:c r="D22" s="9" t="n">
        <x:v>7378</x:v>
      </x:c>
      <x:c r="E22" s="22" t="n">
        <x:f>C22/(D22/100)</x:f>
        <x:v>0</x:v>
      </x:c>
      <x:c r="F22" s="22" t="n">
        <x:v>63.42</x:v>
      </x:c>
      <x:c r="G22" s="9" t="n">
        <x:v>34665</x:v>
      </x:c>
      <x:c r="H22" s="2"/>
      <x:c r="I22" s="9" t="n">
        <x:v>3614</x:v>
      </x:c>
      <x:c r="J22" s="9" t="n">
        <x:v>1703</x:v>
      </x:c>
      <x:c r="K22" s="22" t="n">
        <x:v>47.12230215827338</x:v>
      </x:c>
      <x:c r="L22" s="2" t="str">
        <x:v>R_NBS_POP</x:v>
      </x:c>
      <x:c r="M22" s="2" t="str">
        <x:v>R_NBS_URBAN</x:v>
      </x:c>
      <x:c r="N22" s="2" t="str">
        <x:v>R_NBS_INCOME</x:v>
      </x:c>
      <x:c r="O22" s="2" t="str">
        <x:v>R_NBS_EMPLOYMENT</x:v>
      </x:c>
      <x:c r="P22" s="2" t="str">
        <x:v>未获取同口径省级连续面板；不以登记失业率替代调查失业率</x:v>
      </x:c>
      <x:c r="Q22" s="2" t="str">
        <x:v>未检出，不代表实际零发生</x:v>
      </x:c>
    </x:row>
    <x:row r="23" ht="38" customHeight="1">
      <x:c r="A23" s="2" t="str">
        <x:v>山西</x:v>
      </x:c>
      <x:c r="B23" s="9" t="n">
        <x:v>2018</x:v>
      </x:c>
      <x:c r="C23" s="9" t="n">
        <x:f>COUNTIFS('事件主表'!$D$2:$D$215,A23,'事件主表'!$BH$2:$BH$215,B23,'事件主表'!$F$2:$F$215,"core")</x:f>
        <x:v>0</x:v>
      </x:c>
      <x:c r="D23" s="9" t="n">
        <x:v>3502</x:v>
      </x:c>
      <x:c r="E23" s="22" t="n">
        <x:f>C23/(D23/100)</x:f>
        <x:v>0</x:v>
      </x:c>
      <x:c r="F23" s="22" t="n">
        <x:v>59.85</x:v>
      </x:c>
      <x:c r="G23" s="9" t="n">
        <x:v>21990</x:v>
      </x:c>
      <x:c r="H23" s="2"/>
      <x:c r="I23" s="9"/>
      <x:c r="J23" s="9"/>
      <x:c r="K23" s="22"/>
      <x:c r="L23" s="2" t="str">
        <x:v>R_NBS_POP</x:v>
      </x:c>
      <x:c r="M23" s="2" t="str">
        <x:v>R_NBS_URBAN</x:v>
      </x:c>
      <x:c r="N23" s="2" t="str">
        <x:v>R_NBS_INCOME</x:v>
      </x:c>
      <x:c r="O23" s="2"/>
      <x:c r="P23" s="2" t="str">
        <x:v>未获取同口径省级连续面板；不以登记失业率替代调查失业率</x:v>
      </x:c>
      <x:c r="Q23" s="2" t="str">
        <x:v>未检出，不代表实际零发生</x:v>
      </x:c>
    </x:row>
    <x:row r="24" ht="38" customHeight="1">
      <x:c r="A24" s="2" t="str">
        <x:v>山西</x:v>
      </x:c>
      <x:c r="B24" s="9" t="n">
        <x:v>2019</x:v>
      </x:c>
      <x:c r="C24" s="9" t="n">
        <x:f>COUNTIFS('事件主表'!$D$2:$D$215,A24,'事件主表'!$BH$2:$BH$215,B24,'事件主表'!$F$2:$F$215,"core")</x:f>
        <x:v>0</x:v>
      </x:c>
      <x:c r="D24" s="9" t="n">
        <x:v>3497</x:v>
      </x:c>
      <x:c r="E24" s="22" t="n">
        <x:f>C24/(D24/100)</x:f>
        <x:v>0</x:v>
      </x:c>
      <x:c r="F24" s="22" t="n">
        <x:v>61.29</x:v>
      </x:c>
      <x:c r="G24" s="9" t="n">
        <x:v>23828</x:v>
      </x:c>
      <x:c r="H24" s="2"/>
      <x:c r="I24" s="9"/>
      <x:c r="J24" s="9"/>
      <x:c r="K24" s="22"/>
      <x:c r="L24" s="2" t="str">
        <x:v>R_NBS_POP</x:v>
      </x:c>
      <x:c r="M24" s="2" t="str">
        <x:v>R_NBS_URBAN</x:v>
      </x:c>
      <x:c r="N24" s="2" t="str">
        <x:v>R_NBS_INCOME</x:v>
      </x:c>
      <x:c r="O24" s="2"/>
      <x:c r="P24" s="2" t="str">
        <x:v>未获取同口径省级连续面板；不以登记失业率替代调查失业率</x:v>
      </x:c>
      <x:c r="Q24" s="2" t="str">
        <x:v>未检出，不代表实际零发生</x:v>
      </x:c>
    </x:row>
    <x:row r="25" ht="38" customHeight="1">
      <x:c r="A25" s="2" t="str">
        <x:v>山西</x:v>
      </x:c>
      <x:c r="B25" s="9" t="n">
        <x:v>2020</x:v>
      </x:c>
      <x:c r="C25" s="9" t="n">
        <x:f>COUNTIFS('事件主表'!$D$2:$D$215,A25,'事件主表'!$BH$2:$BH$215,B25,'事件主表'!$F$2:$F$215,"core")</x:f>
        <x:v>0</x:v>
      </x:c>
      <x:c r="D25" s="9" t="n">
        <x:v>3490</x:v>
      </x:c>
      <x:c r="E25" s="22" t="n">
        <x:f>C25/(D25/100)</x:f>
        <x:v>0</x:v>
      </x:c>
      <x:c r="F25" s="22" t="n">
        <x:v>62.53</x:v>
      </x:c>
      <x:c r="G25" s="9" t="n">
        <x:v>25214</x:v>
      </x:c>
      <x:c r="H25" s="2"/>
      <x:c r="I25" s="9"/>
      <x:c r="J25" s="9"/>
      <x:c r="K25" s="22"/>
      <x:c r="L25" s="2" t="str">
        <x:v>R_NBS_POP</x:v>
      </x:c>
      <x:c r="M25" s="2" t="str">
        <x:v>R_NBS_URBAN</x:v>
      </x:c>
      <x:c r="N25" s="2" t="str">
        <x:v>R_NBS_INCOME</x:v>
      </x:c>
      <x:c r="O25" s="2"/>
      <x:c r="P25" s="2" t="str">
        <x:v>未获取同口径省级连续面板；不以登记失业率替代调查失业率</x:v>
      </x:c>
      <x:c r="Q25" s="2" t="str">
        <x:v>未检出，不代表实际零发生</x:v>
      </x:c>
    </x:row>
    <x:row r="26" ht="38" customHeight="1">
      <x:c r="A26" s="2" t="str">
        <x:v>山西</x:v>
      </x:c>
      <x:c r="B26" s="9" t="n">
        <x:v>2021</x:v>
      </x:c>
      <x:c r="C26" s="9" t="n">
        <x:f>COUNTIFS('事件主表'!$D$2:$D$215,A26,'事件主表'!$BH$2:$BH$215,B26,'事件主表'!$F$2:$F$215,"core")</x:f>
        <x:v>0</x:v>
      </x:c>
      <x:c r="D26" s="9" t="n">
        <x:v>3480</x:v>
      </x:c>
      <x:c r="E26" s="22" t="n">
        <x:f>C26/(D26/100)</x:f>
        <x:v>0</x:v>
      </x:c>
      <x:c r="F26" s="22" t="n">
        <x:v>63.42</x:v>
      </x:c>
      <x:c r="G26" s="9" t="n">
        <x:v>27426</x:v>
      </x:c>
      <x:c r="H26" s="2"/>
      <x:c r="I26" s="9"/>
      <x:c r="J26" s="9"/>
      <x:c r="K26" s="22"/>
      <x:c r="L26" s="2" t="str">
        <x:v>R_NBS_POP</x:v>
      </x:c>
      <x:c r="M26" s="2" t="str">
        <x:v>R_NBS_URBAN</x:v>
      </x:c>
      <x:c r="N26" s="2" t="str">
        <x:v>R_NBS_INCOME</x:v>
      </x:c>
      <x:c r="O26" s="2"/>
      <x:c r="P26" s="2" t="str">
        <x:v>未获取同口径省级连续面板；不以登记失业率替代调查失业率</x:v>
      </x:c>
      <x:c r="Q26" s="2" t="str">
        <x:v>未检出，不代表实际零发生</x:v>
      </x:c>
    </x:row>
    <x:row r="27" ht="38" customHeight="1">
      <x:c r="A27" s="2" t="str">
        <x:v>山西</x:v>
      </x:c>
      <x:c r="B27" s="9" t="n">
        <x:v>2022</x:v>
      </x:c>
      <x:c r="C27" s="9" t="n">
        <x:f>COUNTIFS('事件主表'!$D$2:$D$215,A27,'事件主表'!$BH$2:$BH$215,B27,'事件主表'!$F$2:$F$215,"core")</x:f>
        <x:v>0</x:v>
      </x:c>
      <x:c r="D27" s="9" t="n">
        <x:v>3481</x:v>
      </x:c>
      <x:c r="E27" s="22" t="n">
        <x:f>C27/(D27/100)</x:f>
        <x:v>0</x:v>
      </x:c>
      <x:c r="F27" s="22" t="n">
        <x:v>63.96</x:v>
      </x:c>
      <x:c r="G27" s="9" t="n">
        <x:v>29178</x:v>
      </x:c>
      <x:c r="H27" s="2"/>
      <x:c r="I27" s="9"/>
      <x:c r="J27" s="9"/>
      <x:c r="K27" s="22"/>
      <x:c r="L27" s="2" t="str">
        <x:v>R_NBS_POP</x:v>
      </x:c>
      <x:c r="M27" s="2" t="str">
        <x:v>R_NBS_URBAN</x:v>
      </x:c>
      <x:c r="N27" s="2" t="str">
        <x:v>R_NBS_INCOME</x:v>
      </x:c>
      <x:c r="O27" s="2"/>
      <x:c r="P27" s="2" t="str">
        <x:v>未获取同口径省级连续面板；不以登记失业率替代调查失业率</x:v>
      </x:c>
      <x:c r="Q27" s="2" t="str">
        <x:v>未检出，不代表实际零发生</x:v>
      </x:c>
    </x:row>
    <x:row r="28" ht="38" customHeight="1">
      <x:c r="A28" s="2" t="str">
        <x:v>山西</x:v>
      </x:c>
      <x:c r="B28" s="9" t="n">
        <x:v>2023</x:v>
      </x:c>
      <x:c r="C28" s="9" t="n">
        <x:f>COUNTIFS('事件主表'!$D$2:$D$215,A28,'事件主表'!$BH$2:$BH$215,B28,'事件主表'!$F$2:$F$215,"core")</x:f>
        <x:v>0</x:v>
      </x:c>
      <x:c r="D28" s="9" t="n">
        <x:v>3466</x:v>
      </x:c>
      <x:c r="E28" s="22" t="n">
        <x:f>C28/(D28/100)</x:f>
        <x:v>0</x:v>
      </x:c>
      <x:c r="F28" s="22" t="n">
        <x:v>64.97</x:v>
      </x:c>
      <x:c r="G28" s="9" t="n">
        <x:v>30924</x:v>
      </x:c>
      <x:c r="H28" s="2"/>
      <x:c r="I28" s="9"/>
      <x:c r="J28" s="9"/>
      <x:c r="K28" s="22"/>
      <x:c r="L28" s="2" t="str">
        <x:v>R_NBS_POP</x:v>
      </x:c>
      <x:c r="M28" s="2" t="str">
        <x:v>R_NBS_URBAN</x:v>
      </x:c>
      <x:c r="N28" s="2" t="str">
        <x:v>R_NBS_INCOME</x:v>
      </x:c>
      <x:c r="O28" s="2"/>
      <x:c r="P28" s="2" t="str">
        <x:v>未获取同口径省级连续面板；不以登记失业率替代调查失业率</x:v>
      </x:c>
      <x:c r="Q28" s="2" t="str">
        <x:v>未检出，不代表实际零发生</x:v>
      </x:c>
    </x:row>
    <x:row r="29" ht="38" customHeight="1">
      <x:c r="A29" s="2" t="str">
        <x:v>山西</x:v>
      </x:c>
      <x:c r="B29" s="9" t="n">
        <x:v>2024</x:v>
      </x:c>
      <x:c r="C29" s="9" t="n">
        <x:f>COUNTIFS('事件主表'!$D$2:$D$215,A29,'事件主表'!$BH$2:$BH$215,B29,'事件主表'!$F$2:$F$215,"core")</x:f>
        <x:v>0</x:v>
      </x:c>
      <x:c r="D29" s="9" t="n">
        <x:v>3446</x:v>
      </x:c>
      <x:c r="E29" s="22" t="n">
        <x:f>C29/(D29/100)</x:f>
        <x:v>0</x:v>
      </x:c>
      <x:c r="F29" s="22" t="n">
        <x:v>66.32</x:v>
      </x:c>
      <x:c r="G29" s="9" t="n">
        <x:v>32441</x:v>
      </x:c>
      <x:c r="H29" s="2"/>
      <x:c r="I29" s="9" t="n">
        <x:v>1682</x:v>
      </x:c>
      <x:c r="J29" s="9" t="n">
        <x:v>881</x:v>
      </x:c>
      <x:c r="K29" s="22" t="n">
        <x:v>52.3781212841855</x:v>
      </x:c>
      <x:c r="L29" s="2" t="str">
        <x:v>R_NBS_POP</x:v>
      </x:c>
      <x:c r="M29" s="2" t="str">
        <x:v>R_NBS_URBAN</x:v>
      </x:c>
      <x:c r="N29" s="2" t="str">
        <x:v>R_NBS_INCOME</x:v>
      </x:c>
      <x:c r="O29" s="2" t="str">
        <x:v>R_NBS_EMPLOYMENT</x:v>
      </x:c>
      <x:c r="P29" s="2" t="str">
        <x:v>未获取同口径省级连续面板；不以登记失业率替代调查失业率</x:v>
      </x:c>
      <x:c r="Q29" s="2" t="str">
        <x:v>未检出，不代表实际零发生</x:v>
      </x:c>
    </x:row>
    <x:row r="30" ht="38" customHeight="1">
      <x:c r="A30" s="2" t="str">
        <x:v>内蒙古</x:v>
      </x:c>
      <x:c r="B30" s="9" t="n">
        <x:v>2018</x:v>
      </x:c>
      <x:c r="C30" s="9" t="n">
        <x:f>COUNTIFS('事件主表'!$D$2:$D$215,A30,'事件主表'!$BH$2:$BH$215,B30,'事件主表'!$F$2:$F$215,"core")</x:f>
        <x:v>0</x:v>
      </x:c>
      <x:c r="D30" s="9" t="n">
        <x:v>2422</x:v>
      </x:c>
      <x:c r="E30" s="22" t="n">
        <x:f>C30/(D30/100)</x:f>
        <x:v>0</x:v>
      </x:c>
      <x:c r="F30" s="22" t="n">
        <x:v>65.51</x:v>
      </x:c>
      <x:c r="G30" s="9" t="n">
        <x:v>28376</x:v>
      </x:c>
      <x:c r="H30" s="2"/>
      <x:c r="I30" s="9"/>
      <x:c r="J30" s="9"/>
      <x:c r="K30" s="22"/>
      <x:c r="L30" s="2" t="str">
        <x:v>R_NBS_POP</x:v>
      </x:c>
      <x:c r="M30" s="2" t="str">
        <x:v>R_NBS_URBAN</x:v>
      </x:c>
      <x:c r="N30" s="2" t="str">
        <x:v>R_NBS_INCOME</x:v>
      </x:c>
      <x:c r="O30" s="2"/>
      <x:c r="P30" s="2" t="str">
        <x:v>未获取同口径省级连续面板；不以登记失业率替代调查失业率</x:v>
      </x:c>
      <x:c r="Q30" s="2" t="str">
        <x:v>未检出，不代表实际零发生</x:v>
      </x:c>
    </x:row>
    <x:row r="31" ht="38" customHeight="1">
      <x:c r="A31" s="2" t="str">
        <x:v>内蒙古</x:v>
      </x:c>
      <x:c r="B31" s="9" t="n">
        <x:v>2019</x:v>
      </x:c>
      <x:c r="C31" s="9" t="n">
        <x:f>COUNTIFS('事件主表'!$D$2:$D$215,A31,'事件主表'!$BH$2:$BH$215,B31,'事件主表'!$F$2:$F$215,"core")</x:f>
        <x:v>0</x:v>
      </x:c>
      <x:c r="D31" s="9" t="n">
        <x:v>2415</x:v>
      </x:c>
      <x:c r="E31" s="22" t="n">
        <x:f>C31/(D31/100)</x:f>
        <x:v>0</x:v>
      </x:c>
      <x:c r="F31" s="22" t="n">
        <x:v>66.46</x:v>
      </x:c>
      <x:c r="G31" s="9" t="n">
        <x:v>30555</x:v>
      </x:c>
      <x:c r="H31" s="2"/>
      <x:c r="I31" s="9"/>
      <x:c r="J31" s="9"/>
      <x:c r="K31" s="22"/>
      <x:c r="L31" s="2" t="str">
        <x:v>R_NBS_POP</x:v>
      </x:c>
      <x:c r="M31" s="2" t="str">
        <x:v>R_NBS_URBAN</x:v>
      </x:c>
      <x:c r="N31" s="2" t="str">
        <x:v>R_NBS_INCOME</x:v>
      </x:c>
      <x:c r="O31" s="2"/>
      <x:c r="P31" s="2" t="str">
        <x:v>未获取同口径省级连续面板；不以登记失业率替代调查失业率</x:v>
      </x:c>
      <x:c r="Q31" s="2" t="str">
        <x:v>未检出，不代表实际零发生</x:v>
      </x:c>
    </x:row>
    <x:row r="32" ht="38" customHeight="1">
      <x:c r="A32" s="2" t="str">
        <x:v>内蒙古</x:v>
      </x:c>
      <x:c r="B32" s="9" t="n">
        <x:v>2020</x:v>
      </x:c>
      <x:c r="C32" s="9" t="n">
        <x:f>COUNTIFS('事件主表'!$D$2:$D$215,A32,'事件主表'!$BH$2:$BH$215,B32,'事件主表'!$F$2:$F$215,"core")</x:f>
        <x:v>0</x:v>
      </x:c>
      <x:c r="D32" s="9" t="n">
        <x:v>2403</x:v>
      </x:c>
      <x:c r="E32" s="22" t="n">
        <x:f>C32/(D32/100)</x:f>
        <x:v>0</x:v>
      </x:c>
      <x:c r="F32" s="22" t="n">
        <x:v>67.48</x:v>
      </x:c>
      <x:c r="G32" s="9" t="n">
        <x:v>31497</x:v>
      </x:c>
      <x:c r="H32" s="2"/>
      <x:c r="I32" s="9"/>
      <x:c r="J32" s="9"/>
      <x:c r="K32" s="22"/>
      <x:c r="L32" s="2" t="str">
        <x:v>R_NBS_POP</x:v>
      </x:c>
      <x:c r="M32" s="2" t="str">
        <x:v>R_NBS_URBAN</x:v>
      </x:c>
      <x:c r="N32" s="2" t="str">
        <x:v>R_NBS_INCOME</x:v>
      </x:c>
      <x:c r="O32" s="2"/>
      <x:c r="P32" s="2" t="str">
        <x:v>未获取同口径省级连续面板；不以登记失业率替代调查失业率</x:v>
      </x:c>
      <x:c r="Q32" s="2" t="str">
        <x:v>未检出，不代表实际零发生</x:v>
      </x:c>
    </x:row>
    <x:row r="33" ht="38" customHeight="1">
      <x:c r="A33" s="2" t="str">
        <x:v>内蒙古</x:v>
      </x:c>
      <x:c r="B33" s="9" t="n">
        <x:v>2021</x:v>
      </x:c>
      <x:c r="C33" s="9" t="n">
        <x:f>COUNTIFS('事件主表'!$D$2:$D$215,A33,'事件主表'!$BH$2:$BH$215,B33,'事件主表'!$F$2:$F$215,"core")</x:f>
        <x:v>0</x:v>
      </x:c>
      <x:c r="D33" s="9" t="n">
        <x:v>2400</x:v>
      </x:c>
      <x:c r="E33" s="22" t="n">
        <x:f>C33/(D33/100)</x:f>
        <x:v>0</x:v>
      </x:c>
      <x:c r="F33" s="22" t="n">
        <x:v>68.21</x:v>
      </x:c>
      <x:c r="G33" s="9" t="n">
        <x:v>34108</x:v>
      </x:c>
      <x:c r="H33" s="2"/>
      <x:c r="I33" s="9"/>
      <x:c r="J33" s="9"/>
      <x:c r="K33" s="22"/>
      <x:c r="L33" s="2" t="str">
        <x:v>R_NBS_POP</x:v>
      </x:c>
      <x:c r="M33" s="2" t="str">
        <x:v>R_NBS_URBAN</x:v>
      </x:c>
      <x:c r="N33" s="2" t="str">
        <x:v>R_NBS_INCOME</x:v>
      </x:c>
      <x:c r="O33" s="2"/>
      <x:c r="P33" s="2" t="str">
        <x:v>未获取同口径省级连续面板；不以登记失业率替代调查失业率</x:v>
      </x:c>
      <x:c r="Q33" s="2" t="str">
        <x:v>未检出，不代表实际零发生</x:v>
      </x:c>
    </x:row>
    <x:row r="34" ht="38" customHeight="1">
      <x:c r="A34" s="2" t="str">
        <x:v>内蒙古</x:v>
      </x:c>
      <x:c r="B34" s="9" t="n">
        <x:v>2022</x:v>
      </x:c>
      <x:c r="C34" s="9" t="n">
        <x:f>COUNTIFS('事件主表'!$D$2:$D$215,A34,'事件主表'!$BH$2:$BH$215,B34,'事件主表'!$F$2:$F$215,"core")</x:f>
        <x:v>0</x:v>
      </x:c>
      <x:c r="D34" s="9" t="n">
        <x:v>2401</x:v>
      </x:c>
      <x:c r="E34" s="22" t="n">
        <x:f>C34/(D34/100)</x:f>
        <x:v>0</x:v>
      </x:c>
      <x:c r="F34" s="22" t="n">
        <x:v>68.6</x:v>
      </x:c>
      <x:c r="G34" s="9" t="n">
        <x:v>35921</x:v>
      </x:c>
      <x:c r="H34" s="2"/>
      <x:c r="I34" s="9"/>
      <x:c r="J34" s="9"/>
      <x:c r="K34" s="22"/>
      <x:c r="L34" s="2" t="str">
        <x:v>R_NBS_POP</x:v>
      </x:c>
      <x:c r="M34" s="2" t="str">
        <x:v>R_NBS_URBAN</x:v>
      </x:c>
      <x:c r="N34" s="2" t="str">
        <x:v>R_NBS_INCOME</x:v>
      </x:c>
      <x:c r="O34" s="2"/>
      <x:c r="P34" s="2" t="str">
        <x:v>未获取同口径省级连续面板；不以登记失业率替代调查失业率</x:v>
      </x:c>
      <x:c r="Q34" s="2" t="str">
        <x:v>未检出，不代表实际零发生</x:v>
      </x:c>
    </x:row>
    <x:row r="35" ht="38" customHeight="1">
      <x:c r="A35" s="2" t="str">
        <x:v>内蒙古</x:v>
      </x:c>
      <x:c r="B35" s="9" t="n">
        <x:v>2023</x:v>
      </x:c>
      <x:c r="C35" s="9" t="n">
        <x:f>COUNTIFS('事件主表'!$D$2:$D$215,A35,'事件主表'!$BH$2:$BH$215,B35,'事件主表'!$F$2:$F$215,"core")</x:f>
        <x:v>0</x:v>
      </x:c>
      <x:c r="D35" s="9" t="n">
        <x:v>2396</x:v>
      </x:c>
      <x:c r="E35" s="22" t="n">
        <x:f>C35/(D35/100)</x:f>
        <x:v>0</x:v>
      </x:c>
      <x:c r="F35" s="22" t="n">
        <x:v>69.58</x:v>
      </x:c>
      <x:c r="G35" s="9" t="n">
        <x:v>38130</x:v>
      </x:c>
      <x:c r="H35" s="2"/>
      <x:c r="I35" s="9"/>
      <x:c r="J35" s="9"/>
      <x:c r="K35" s="22"/>
      <x:c r="L35" s="2" t="str">
        <x:v>R_NBS_POP</x:v>
      </x:c>
      <x:c r="M35" s="2" t="str">
        <x:v>R_NBS_URBAN</x:v>
      </x:c>
      <x:c r="N35" s="2" t="str">
        <x:v>R_NBS_INCOME</x:v>
      </x:c>
      <x:c r="O35" s="2"/>
      <x:c r="P35" s="2" t="str">
        <x:v>未获取同口径省级连续面板；不以登记失业率替代调查失业率</x:v>
      </x:c>
      <x:c r="Q35" s="2" t="str">
        <x:v>未检出，不代表实际零发生</x:v>
      </x:c>
    </x:row>
    <x:row r="36" ht="38" customHeight="1">
      <x:c r="A36" s="2" t="str">
        <x:v>内蒙古</x:v>
      </x:c>
      <x:c r="B36" s="9" t="n">
        <x:v>2024</x:v>
      </x:c>
      <x:c r="C36" s="9" t="n">
        <x:f>COUNTIFS('事件主表'!$D$2:$D$215,A36,'事件主表'!$BH$2:$BH$215,B36,'事件主表'!$F$2:$F$215,"core")</x:f>
        <x:v>0</x:v>
      </x:c>
      <x:c r="D36" s="9" t="n">
        <x:v>2388</x:v>
      </x:c>
      <x:c r="E36" s="22" t="n">
        <x:f>C36/(D36/100)</x:f>
        <x:v>0</x:v>
      </x:c>
      <x:c r="F36" s="22" t="n">
        <x:v>70.73</x:v>
      </x:c>
      <x:c r="G36" s="9" t="n">
        <x:v>40077</x:v>
      </x:c>
      <x:c r="H36" s="2"/>
      <x:c r="I36" s="9" t="n">
        <x:v>1198</x:v>
      </x:c>
      <x:c r="J36" s="9" t="n">
        <x:v>589</x:v>
      </x:c>
      <x:c r="K36" s="22" t="n">
        <x:v>49.165275459098496</x:v>
      </x:c>
      <x:c r="L36" s="2" t="str">
        <x:v>R_NBS_POP</x:v>
      </x:c>
      <x:c r="M36" s="2" t="str">
        <x:v>R_NBS_URBAN</x:v>
      </x:c>
      <x:c r="N36" s="2" t="str">
        <x:v>R_NBS_INCOME</x:v>
      </x:c>
      <x:c r="O36" s="2" t="str">
        <x:v>R_NBS_EMPLOYMENT</x:v>
      </x:c>
      <x:c r="P36" s="2" t="str">
        <x:v>未获取同口径省级连续面板；不以登记失业率替代调查失业率</x:v>
      </x:c>
      <x:c r="Q36" s="2" t="str">
        <x:v>未检出，不代表实际零发生</x:v>
      </x:c>
    </x:row>
    <x:row r="37" ht="38" customHeight="1">
      <x:c r="A37" s="2" t="str">
        <x:v>辽宁</x:v>
      </x:c>
      <x:c r="B37" s="9" t="n">
        <x:v>2018</x:v>
      </x:c>
      <x:c r="C37" s="9" t="n">
        <x:f>COUNTIFS('事件主表'!$D$2:$D$215,A37,'事件主表'!$BH$2:$BH$215,B37,'事件主表'!$F$2:$F$215,"core")</x:f>
        <x:v>1</x:v>
      </x:c>
      <x:c r="D37" s="9" t="n">
        <x:v>4291</x:v>
      </x:c>
      <x:c r="E37" s="22" t="n">
        <x:f>C37/(D37/100)</x:f>
        <x:v>0.023304591004427874</x:v>
      </x:c>
      <x:c r="F37" s="22" t="n">
        <x:v>70.26</x:v>
      </x:c>
      <x:c r="G37" s="9" t="n">
        <x:v>29701</x:v>
      </x:c>
      <x:c r="H37" s="2"/>
      <x:c r="I37" s="9"/>
      <x:c r="J37" s="9"/>
      <x:c r="K37" s="22"/>
      <x:c r="L37" s="2" t="str">
        <x:v>R_NBS_POP</x:v>
      </x:c>
      <x:c r="M37" s="2" t="str">
        <x:v>R_NBS_URBAN</x:v>
      </x:c>
      <x:c r="N37" s="2" t="str">
        <x:v>R_NBS_INCOME</x:v>
      </x:c>
      <x:c r="O37" s="2"/>
      <x:c r="P37" s="2" t="str">
        <x:v>未获取同口径省级连续面板；不以登记失业率替代调查失业率</x:v>
      </x:c>
      <x:c r="Q37" s="2" t="str">
        <x:v>公开核实记录</x:v>
      </x:c>
    </x:row>
    <x:row r="38" ht="38" customHeight="1">
      <x:c r="A38" s="2" t="str">
        <x:v>辽宁</x:v>
      </x:c>
      <x:c r="B38" s="9" t="n">
        <x:v>2019</x:v>
      </x:c>
      <x:c r="C38" s="9" t="n">
        <x:f>COUNTIFS('事件主表'!$D$2:$D$215,A38,'事件主表'!$BH$2:$BH$215,B38,'事件主表'!$F$2:$F$215,"core")</x:f>
        <x:v>0</x:v>
      </x:c>
      <x:c r="D38" s="9" t="n">
        <x:v>4277</x:v>
      </x:c>
      <x:c r="E38" s="22" t="n">
        <x:f>C38/(D38/100)</x:f>
        <x:v>0</x:v>
      </x:c>
      <x:c r="F38" s="22" t="n">
        <x:v>71.21</x:v>
      </x:c>
      <x:c r="G38" s="9" t="n">
        <x:v>31820</x:v>
      </x:c>
      <x:c r="H38" s="2"/>
      <x:c r="I38" s="9"/>
      <x:c r="J38" s="9"/>
      <x:c r="K38" s="22"/>
      <x:c r="L38" s="2" t="str">
        <x:v>R_NBS_POP</x:v>
      </x:c>
      <x:c r="M38" s="2" t="str">
        <x:v>R_NBS_URBAN</x:v>
      </x:c>
      <x:c r="N38" s="2" t="str">
        <x:v>R_NBS_INCOME</x:v>
      </x:c>
      <x:c r="O38" s="2"/>
      <x:c r="P38" s="2" t="str">
        <x:v>未获取同口径省级连续面板；不以登记失业率替代调查失业率</x:v>
      </x:c>
      <x:c r="Q38" s="2" t="str">
        <x:v>未检出，不代表实际零发生</x:v>
      </x:c>
    </x:row>
    <x:row r="39" ht="38" customHeight="1">
      <x:c r="A39" s="2" t="str">
        <x:v>辽宁</x:v>
      </x:c>
      <x:c r="B39" s="9" t="n">
        <x:v>2020</x:v>
      </x:c>
      <x:c r="C39" s="9" t="n">
        <x:f>COUNTIFS('事件主表'!$D$2:$D$215,A39,'事件主表'!$BH$2:$BH$215,B39,'事件主表'!$F$2:$F$215,"core")</x:f>
        <x:v>1</x:v>
      </x:c>
      <x:c r="D39" s="9" t="n">
        <x:v>4255</x:v>
      </x:c>
      <x:c r="E39" s="22" t="n">
        <x:f>C39/(D39/100)</x:f>
        <x:v>0.023501762632197415</x:v>
      </x:c>
      <x:c r="F39" s="22" t="n">
        <x:v>72.14</x:v>
      </x:c>
      <x:c r="G39" s="9" t="n">
        <x:v>32738</x:v>
      </x:c>
      <x:c r="H39" s="2"/>
      <x:c r="I39" s="9"/>
      <x:c r="J39" s="9"/>
      <x:c r="K39" s="22"/>
      <x:c r="L39" s="2" t="str">
        <x:v>R_NBS_POP</x:v>
      </x:c>
      <x:c r="M39" s="2" t="str">
        <x:v>R_NBS_URBAN</x:v>
      </x:c>
      <x:c r="N39" s="2" t="str">
        <x:v>R_NBS_INCOME</x:v>
      </x:c>
      <x:c r="O39" s="2"/>
      <x:c r="P39" s="2" t="str">
        <x:v>未获取同口径省级连续面板；不以登记失业率替代调查失业率</x:v>
      </x:c>
      <x:c r="Q39" s="2" t="str">
        <x:v>公开核实记录</x:v>
      </x:c>
    </x:row>
    <x:row r="40" ht="38" customHeight="1">
      <x:c r="A40" s="2" t="str">
        <x:v>辽宁</x:v>
      </x:c>
      <x:c r="B40" s="9" t="n">
        <x:v>2021</x:v>
      </x:c>
      <x:c r="C40" s="9" t="n">
        <x:f>COUNTIFS('事件主表'!$D$2:$D$215,A40,'事件主表'!$BH$2:$BH$215,B40,'事件主表'!$F$2:$F$215,"core")</x:f>
        <x:v>1</x:v>
      </x:c>
      <x:c r="D40" s="9" t="n">
        <x:v>4229</x:v>
      </x:c>
      <x:c r="E40" s="22" t="n">
        <x:f>C40/(D40/100)</x:f>
        <x:v>0.023646252069047056</x:v>
      </x:c>
      <x:c r="F40" s="22" t="n">
        <x:v>72.81</x:v>
      </x:c>
      <x:c r="G40" s="9" t="n">
        <x:v>35112</x:v>
      </x:c>
      <x:c r="H40" s="2"/>
      <x:c r="I40" s="9"/>
      <x:c r="J40" s="9"/>
      <x:c r="K40" s="22"/>
      <x:c r="L40" s="2" t="str">
        <x:v>R_NBS_POP</x:v>
      </x:c>
      <x:c r="M40" s="2" t="str">
        <x:v>R_NBS_URBAN</x:v>
      </x:c>
      <x:c r="N40" s="2" t="str">
        <x:v>R_NBS_INCOME</x:v>
      </x:c>
      <x:c r="O40" s="2"/>
      <x:c r="P40" s="2" t="str">
        <x:v>未获取同口径省级连续面板；不以登记失业率替代调查失业率</x:v>
      </x:c>
      <x:c r="Q40" s="2" t="str">
        <x:v>公开核实记录</x:v>
      </x:c>
    </x:row>
    <x:row r="41" ht="38" customHeight="1">
      <x:c r="A41" s="2" t="str">
        <x:v>辽宁</x:v>
      </x:c>
      <x:c r="B41" s="9" t="n">
        <x:v>2022</x:v>
      </x:c>
      <x:c r="C41" s="9" t="n">
        <x:f>COUNTIFS('事件主表'!$D$2:$D$215,A41,'事件主表'!$BH$2:$BH$215,B41,'事件主表'!$F$2:$F$215,"core")</x:f>
        <x:v>0</x:v>
      </x:c>
      <x:c r="D41" s="9" t="n">
        <x:v>4197</x:v>
      </x:c>
      <x:c r="E41" s="22" t="n">
        <x:f>C41/(D41/100)</x:f>
        <x:v>0</x:v>
      </x:c>
      <x:c r="F41" s="22" t="n">
        <x:v>73</x:v>
      </x:c>
      <x:c r="G41" s="9" t="n">
        <x:v>36089</x:v>
      </x:c>
      <x:c r="H41" s="2"/>
      <x:c r="I41" s="9"/>
      <x:c r="J41" s="9"/>
      <x:c r="K41" s="22"/>
      <x:c r="L41" s="2" t="str">
        <x:v>R_NBS_POP</x:v>
      </x:c>
      <x:c r="M41" s="2" t="str">
        <x:v>R_NBS_URBAN</x:v>
      </x:c>
      <x:c r="N41" s="2" t="str">
        <x:v>R_NBS_INCOME</x:v>
      </x:c>
      <x:c r="O41" s="2"/>
      <x:c r="P41" s="2" t="str">
        <x:v>未获取同口径省级连续面板；不以登记失业率替代调查失业率</x:v>
      </x:c>
      <x:c r="Q41" s="2" t="str">
        <x:v>未检出，不代表实际零发生</x:v>
      </x:c>
    </x:row>
    <x:row r="42" ht="38" customHeight="1">
      <x:c r="A42" s="2" t="str">
        <x:v>辽宁</x:v>
      </x:c>
      <x:c r="B42" s="9" t="n">
        <x:v>2023</x:v>
      </x:c>
      <x:c r="C42" s="9" t="n">
        <x:f>COUNTIFS('事件主表'!$D$2:$D$215,A42,'事件主表'!$BH$2:$BH$215,B42,'事件主表'!$F$2:$F$215,"core")</x:f>
        <x:v>0</x:v>
      </x:c>
      <x:c r="D42" s="9" t="n">
        <x:v>4182</x:v>
      </x:c>
      <x:c r="E42" s="22" t="n">
        <x:f>C42/(D42/100)</x:f>
        <x:v>0</x:v>
      </x:c>
      <x:c r="F42" s="22" t="n">
        <x:v>73.51</x:v>
      </x:c>
      <x:c r="G42" s="9" t="n">
        <x:v>37992</x:v>
      </x:c>
      <x:c r="H42" s="2"/>
      <x:c r="I42" s="9"/>
      <x:c r="J42" s="9"/>
      <x:c r="K42" s="22"/>
      <x:c r="L42" s="2" t="str">
        <x:v>R_NBS_POP</x:v>
      </x:c>
      <x:c r="M42" s="2" t="str">
        <x:v>R_NBS_URBAN</x:v>
      </x:c>
      <x:c r="N42" s="2" t="str">
        <x:v>R_NBS_INCOME</x:v>
      </x:c>
      <x:c r="O42" s="2"/>
      <x:c r="P42" s="2" t="str">
        <x:v>未获取同口径省级连续面板；不以登记失业率替代调查失业率</x:v>
      </x:c>
      <x:c r="Q42" s="2" t="str">
        <x:v>未检出，不代表实际零发生</x:v>
      </x:c>
    </x:row>
    <x:row r="43" ht="38" customHeight="1">
      <x:c r="A43" s="2" t="str">
        <x:v>辽宁</x:v>
      </x:c>
      <x:c r="B43" s="9" t="n">
        <x:v>2024</x:v>
      </x:c>
      <x:c r="C43" s="9" t="n">
        <x:f>COUNTIFS('事件主表'!$D$2:$D$215,A43,'事件主表'!$BH$2:$BH$215,B43,'事件主表'!$F$2:$F$215,"core")</x:f>
        <x:v>0</x:v>
      </x:c>
      <x:c r="D43" s="9" t="n">
        <x:v>4155</x:v>
      </x:c>
      <x:c r="E43" s="22" t="n">
        <x:f>C43/(D43/100)</x:f>
        <x:v>0</x:v>
      </x:c>
      <x:c r="F43" s="22" t="n">
        <x:v>74.18</x:v>
      </x:c>
      <x:c r="G43" s="9" t="n">
        <x:v>39844</x:v>
      </x:c>
      <x:c r="H43" s="2"/>
      <x:c r="I43" s="9" t="n">
        <x:v>2074</x:v>
      </x:c>
      <x:c r="J43" s="9" t="n">
        <x:v>1045</x:v>
      </x:c>
      <x:c r="K43" s="22" t="n">
        <x:v>50.38572806171649</x:v>
      </x:c>
      <x:c r="L43" s="2" t="str">
        <x:v>R_NBS_POP</x:v>
      </x:c>
      <x:c r="M43" s="2" t="str">
        <x:v>R_NBS_URBAN</x:v>
      </x:c>
      <x:c r="N43" s="2" t="str">
        <x:v>R_NBS_INCOME</x:v>
      </x:c>
      <x:c r="O43" s="2" t="str">
        <x:v>R_NBS_EMPLOYMENT</x:v>
      </x:c>
      <x:c r="P43" s="2" t="str">
        <x:v>未获取同口径省级连续面板；不以登记失业率替代调查失业率</x:v>
      </x:c>
      <x:c r="Q43" s="2" t="str">
        <x:v>未检出，不代表实际零发生</x:v>
      </x:c>
    </x:row>
    <x:row r="44" ht="38" customHeight="1">
      <x:c r="A44" s="2" t="str">
        <x:v>吉林</x:v>
      </x:c>
      <x:c r="B44" s="9" t="n">
        <x:v>2018</x:v>
      </x:c>
      <x:c r="C44" s="9" t="n">
        <x:f>COUNTIFS('事件主表'!$D$2:$D$215,A44,'事件主表'!$BH$2:$BH$215,B44,'事件主表'!$F$2:$F$215,"core")</x:f>
        <x:v>0</x:v>
      </x:c>
      <x:c r="D44" s="9" t="n">
        <x:v>2484</x:v>
      </x:c>
      <x:c r="E44" s="22" t="n">
        <x:f>C44/(D44/100)</x:f>
        <x:v>0</x:v>
      </x:c>
      <x:c r="F44" s="22" t="n">
        <x:v>60.85</x:v>
      </x:c>
      <x:c r="G44" s="9" t="n">
        <x:v>22798</x:v>
      </x:c>
      <x:c r="H44" s="2"/>
      <x:c r="I44" s="9"/>
      <x:c r="J44" s="9"/>
      <x:c r="K44" s="22"/>
      <x:c r="L44" s="2" t="str">
        <x:v>R_NBS_POP</x:v>
      </x:c>
      <x:c r="M44" s="2" t="str">
        <x:v>R_NBS_URBAN</x:v>
      </x:c>
      <x:c r="N44" s="2" t="str">
        <x:v>R_NBS_INCOME</x:v>
      </x:c>
      <x:c r="O44" s="2"/>
      <x:c r="P44" s="2" t="str">
        <x:v>未获取同口径省级连续面板；不以登记失业率替代调查失业率</x:v>
      </x:c>
      <x:c r="Q44" s="2" t="str">
        <x:v>未检出，不代表实际零发生</x:v>
      </x:c>
    </x:row>
    <x:row r="45" ht="38" customHeight="1">
      <x:c r="A45" s="2" t="str">
        <x:v>吉林</x:v>
      </x:c>
      <x:c r="B45" s="9" t="n">
        <x:v>2019</x:v>
      </x:c>
      <x:c r="C45" s="9" t="n">
        <x:f>COUNTIFS('事件主表'!$D$2:$D$215,A45,'事件主表'!$BH$2:$BH$215,B45,'事件主表'!$F$2:$F$215,"core")</x:f>
        <x:v>0</x:v>
      </x:c>
      <x:c r="D45" s="9" t="n">
        <x:v>2448</x:v>
      </x:c>
      <x:c r="E45" s="22" t="n">
        <x:f>C45/(D45/100)</x:f>
        <x:v>0</x:v>
      </x:c>
      <x:c r="F45" s="22" t="n">
        <x:v>61.63</x:v>
      </x:c>
      <x:c r="G45" s="9" t="n">
        <x:v>24563</x:v>
      </x:c>
      <x:c r="H45" s="2"/>
      <x:c r="I45" s="9"/>
      <x:c r="J45" s="9"/>
      <x:c r="K45" s="22"/>
      <x:c r="L45" s="2" t="str">
        <x:v>R_NBS_POP</x:v>
      </x:c>
      <x:c r="M45" s="2" t="str">
        <x:v>R_NBS_URBAN</x:v>
      </x:c>
      <x:c r="N45" s="2" t="str">
        <x:v>R_NBS_INCOME</x:v>
      </x:c>
      <x:c r="O45" s="2"/>
      <x:c r="P45" s="2" t="str">
        <x:v>未获取同口径省级连续面板；不以登记失业率替代调查失业率</x:v>
      </x:c>
      <x:c r="Q45" s="2" t="str">
        <x:v>未检出，不代表实际零发生</x:v>
      </x:c>
    </x:row>
    <x:row r="46" ht="38" customHeight="1">
      <x:c r="A46" s="2" t="str">
        <x:v>吉林</x:v>
      </x:c>
      <x:c r="B46" s="9" t="n">
        <x:v>2020</x:v>
      </x:c>
      <x:c r="C46" s="9" t="n">
        <x:f>COUNTIFS('事件主表'!$D$2:$D$215,A46,'事件主表'!$BH$2:$BH$215,B46,'事件主表'!$F$2:$F$215,"core")</x:f>
        <x:v>0</x:v>
      </x:c>
      <x:c r="D46" s="9" t="n">
        <x:v>2399</x:v>
      </x:c>
      <x:c r="E46" s="22" t="n">
        <x:f>C46/(D46/100)</x:f>
        <x:v>0</x:v>
      </x:c>
      <x:c r="F46" s="22" t="n">
        <x:v>62.64</x:v>
      </x:c>
      <x:c r="G46" s="9" t="n">
        <x:v>25751</x:v>
      </x:c>
      <x:c r="H46" s="2"/>
      <x:c r="I46" s="9"/>
      <x:c r="J46" s="9"/>
      <x:c r="K46" s="22"/>
      <x:c r="L46" s="2" t="str">
        <x:v>R_NBS_POP</x:v>
      </x:c>
      <x:c r="M46" s="2" t="str">
        <x:v>R_NBS_URBAN</x:v>
      </x:c>
      <x:c r="N46" s="2" t="str">
        <x:v>R_NBS_INCOME</x:v>
      </x:c>
      <x:c r="O46" s="2"/>
      <x:c r="P46" s="2" t="str">
        <x:v>未获取同口径省级连续面板；不以登记失业率替代调查失业率</x:v>
      </x:c>
      <x:c r="Q46" s="2" t="str">
        <x:v>未检出，不代表实际零发生</x:v>
      </x:c>
    </x:row>
    <x:row r="47" ht="38" customHeight="1">
      <x:c r="A47" s="2" t="str">
        <x:v>吉林</x:v>
      </x:c>
      <x:c r="B47" s="9" t="n">
        <x:v>2021</x:v>
      </x:c>
      <x:c r="C47" s="9" t="n">
        <x:f>COUNTIFS('事件主表'!$D$2:$D$215,A47,'事件主表'!$BH$2:$BH$215,B47,'事件主表'!$F$2:$F$215,"core")</x:f>
        <x:v>0</x:v>
      </x:c>
      <x:c r="D47" s="9" t="n">
        <x:v>2375</x:v>
      </x:c>
      <x:c r="E47" s="22" t="n">
        <x:f>C47/(D47/100)</x:f>
        <x:v>0</x:v>
      </x:c>
      <x:c r="F47" s="22" t="n">
        <x:v>63.36</x:v>
      </x:c>
      <x:c r="G47" s="9" t="n">
        <x:v>27770</x:v>
      </x:c>
      <x:c r="H47" s="2"/>
      <x:c r="I47" s="9"/>
      <x:c r="J47" s="9"/>
      <x:c r="K47" s="22"/>
      <x:c r="L47" s="2" t="str">
        <x:v>R_NBS_POP</x:v>
      </x:c>
      <x:c r="M47" s="2" t="str">
        <x:v>R_NBS_URBAN</x:v>
      </x:c>
      <x:c r="N47" s="2" t="str">
        <x:v>R_NBS_INCOME</x:v>
      </x:c>
      <x:c r="O47" s="2"/>
      <x:c r="P47" s="2" t="str">
        <x:v>未获取同口径省级连续面板；不以登记失业率替代调查失业率</x:v>
      </x:c>
      <x:c r="Q47" s="2" t="str">
        <x:v>未检出，不代表实际零发生</x:v>
      </x:c>
    </x:row>
    <x:row r="48" ht="38" customHeight="1">
      <x:c r="A48" s="2" t="str">
        <x:v>吉林</x:v>
      </x:c>
      <x:c r="B48" s="9" t="n">
        <x:v>2022</x:v>
      </x:c>
      <x:c r="C48" s="9" t="n">
        <x:f>COUNTIFS('事件主表'!$D$2:$D$215,A48,'事件主表'!$BH$2:$BH$215,B48,'事件主表'!$F$2:$F$215,"core")</x:f>
        <x:v>0</x:v>
      </x:c>
      <x:c r="D48" s="9" t="n">
        <x:v>2348</x:v>
      </x:c>
      <x:c r="E48" s="22" t="n">
        <x:f>C48/(D48/100)</x:f>
        <x:v>0</x:v>
      </x:c>
      <x:c r="F48" s="22" t="n">
        <x:v>63.72</x:v>
      </x:c>
      <x:c r="G48" s="9" t="n">
        <x:v>27975</x:v>
      </x:c>
      <x:c r="H48" s="2"/>
      <x:c r="I48" s="9"/>
      <x:c r="J48" s="9"/>
      <x:c r="K48" s="22"/>
      <x:c r="L48" s="2" t="str">
        <x:v>R_NBS_POP</x:v>
      </x:c>
      <x:c r="M48" s="2" t="str">
        <x:v>R_NBS_URBAN</x:v>
      </x:c>
      <x:c r="N48" s="2" t="str">
        <x:v>R_NBS_INCOME</x:v>
      </x:c>
      <x:c r="O48" s="2"/>
      <x:c r="P48" s="2" t="str">
        <x:v>未获取同口径省级连续面板；不以登记失业率替代调查失业率</x:v>
      </x:c>
      <x:c r="Q48" s="2" t="str">
        <x:v>未检出，不代表实际零发生</x:v>
      </x:c>
    </x:row>
    <x:row r="49" ht="38" customHeight="1">
      <x:c r="A49" s="2" t="str">
        <x:v>吉林</x:v>
      </x:c>
      <x:c r="B49" s="9" t="n">
        <x:v>2023</x:v>
      </x:c>
      <x:c r="C49" s="9" t="n">
        <x:f>COUNTIFS('事件主表'!$D$2:$D$215,A49,'事件主表'!$BH$2:$BH$215,B49,'事件主表'!$F$2:$F$215,"core")</x:f>
        <x:v>3</x:v>
      </x:c>
      <x:c r="D49" s="9" t="n">
        <x:v>2339</x:v>
      </x:c>
      <x:c r="E49" s="22" t="n">
        <x:f>C49/(D49/100)</x:f>
        <x:v>0.12825994014536127</x:v>
      </x:c>
      <x:c r="F49" s="22" t="n">
        <x:v>64.73</x:v>
      </x:c>
      <x:c r="G49" s="9" t="n">
        <x:v>29797</x:v>
      </x:c>
      <x:c r="H49" s="2"/>
      <x:c r="I49" s="9"/>
      <x:c r="J49" s="9"/>
      <x:c r="K49" s="22"/>
      <x:c r="L49" s="2" t="str">
        <x:v>R_NBS_POP</x:v>
      </x:c>
      <x:c r="M49" s="2" t="str">
        <x:v>R_NBS_URBAN</x:v>
      </x:c>
      <x:c r="N49" s="2" t="str">
        <x:v>R_NBS_INCOME</x:v>
      </x:c>
      <x:c r="O49" s="2"/>
      <x:c r="P49" s="2" t="str">
        <x:v>未获取同口径省级连续面板；不以登记失业率替代调查失业率</x:v>
      </x:c>
      <x:c r="Q49" s="2" t="str">
        <x:v>公开核实记录</x:v>
      </x:c>
    </x:row>
    <x:row r="50" ht="38" customHeight="1">
      <x:c r="A50" s="2" t="str">
        <x:v>吉林</x:v>
      </x:c>
      <x:c r="B50" s="9" t="n">
        <x:v>2024</x:v>
      </x:c>
      <x:c r="C50" s="9" t="n">
        <x:f>COUNTIFS('事件主表'!$D$2:$D$215,A50,'事件主表'!$BH$2:$BH$215,B50,'事件主表'!$F$2:$F$215,"core")</x:f>
        <x:v>0</x:v>
      </x:c>
      <x:c r="D50" s="9" t="n">
        <x:v>2317</x:v>
      </x:c>
      <x:c r="E50" s="22" t="n">
        <x:f>C50/(D50/100)</x:f>
        <x:v>0</x:v>
      </x:c>
      <x:c r="F50" s="22" t="n">
        <x:v>65.78</x:v>
      </x:c>
      <x:c r="G50" s="9" t="n">
        <x:v>31318</x:v>
      </x:c>
      <x:c r="H50" s="2"/>
      <x:c r="I50" s="9" t="n">
        <x:v>1161</x:v>
      </x:c>
      <x:c r="J50" s="9" t="n">
        <x:v>546</x:v>
      </x:c>
      <x:c r="K50" s="22" t="n">
        <x:v>47.02842377260982</x:v>
      </x:c>
      <x:c r="L50" s="2" t="str">
        <x:v>R_NBS_POP</x:v>
      </x:c>
      <x:c r="M50" s="2" t="str">
        <x:v>R_NBS_URBAN</x:v>
      </x:c>
      <x:c r="N50" s="2" t="str">
        <x:v>R_NBS_INCOME</x:v>
      </x:c>
      <x:c r="O50" s="2" t="str">
        <x:v>R_NBS_EMPLOYMENT</x:v>
      </x:c>
      <x:c r="P50" s="2" t="str">
        <x:v>未获取同口径省级连续面板；不以登记失业率替代调查失业率</x:v>
      </x:c>
      <x:c r="Q50" s="2" t="str">
        <x:v>未检出，不代表实际零发生</x:v>
      </x:c>
    </x:row>
    <x:row r="51" ht="38" customHeight="1">
      <x:c r="A51" s="2" t="str">
        <x:v>黑龙江</x:v>
      </x:c>
      <x:c r="B51" s="9" t="n">
        <x:v>2018</x:v>
      </x:c>
      <x:c r="C51" s="9" t="n">
        <x:f>COUNTIFS('事件主表'!$D$2:$D$215,A51,'事件主表'!$BH$2:$BH$215,B51,'事件主表'!$F$2:$F$215,"core")</x:f>
        <x:v>0</x:v>
      </x:c>
      <x:c r="D51" s="9" t="n">
        <x:v>3327</x:v>
      </x:c>
      <x:c r="E51" s="22" t="n">
        <x:f>C51/(D51/100)</x:f>
        <x:v>0</x:v>
      </x:c>
      <x:c r="F51" s="22" t="n">
        <x:v>63.46</x:v>
      </x:c>
      <x:c r="G51" s="9" t="n">
        <x:v>22726</x:v>
      </x:c>
      <x:c r="H51" s="2"/>
      <x:c r="I51" s="9"/>
      <x:c r="J51" s="9"/>
      <x:c r="K51" s="22"/>
      <x:c r="L51" s="2" t="str">
        <x:v>R_NBS_POP</x:v>
      </x:c>
      <x:c r="M51" s="2" t="str">
        <x:v>R_NBS_URBAN</x:v>
      </x:c>
      <x:c r="N51" s="2" t="str">
        <x:v>R_NBS_INCOME</x:v>
      </x:c>
      <x:c r="O51" s="2"/>
      <x:c r="P51" s="2" t="str">
        <x:v>未获取同口径省级连续面板；不以登记失业率替代调查失业率</x:v>
      </x:c>
      <x:c r="Q51" s="2" t="str">
        <x:v>未检出，不代表实际零发生</x:v>
      </x:c>
    </x:row>
    <x:row r="52" ht="38" customHeight="1">
      <x:c r="A52" s="2" t="str">
        <x:v>黑龙江</x:v>
      </x:c>
      <x:c r="B52" s="9" t="n">
        <x:v>2019</x:v>
      </x:c>
      <x:c r="C52" s="9" t="n">
        <x:f>COUNTIFS('事件主表'!$D$2:$D$215,A52,'事件主表'!$BH$2:$BH$215,B52,'事件主表'!$F$2:$F$215,"core")</x:f>
        <x:v>0</x:v>
      </x:c>
      <x:c r="D52" s="9" t="n">
        <x:v>3255</x:v>
      </x:c>
      <x:c r="E52" s="22" t="n">
        <x:f>C52/(D52/100)</x:f>
        <x:v>0</x:v>
      </x:c>
      <x:c r="F52" s="22" t="n">
        <x:v>64.62</x:v>
      </x:c>
      <x:c r="G52" s="9" t="n">
        <x:v>24254</x:v>
      </x:c>
      <x:c r="H52" s="2"/>
      <x:c r="I52" s="9"/>
      <x:c r="J52" s="9"/>
      <x:c r="K52" s="22"/>
      <x:c r="L52" s="2" t="str">
        <x:v>R_NBS_POP</x:v>
      </x:c>
      <x:c r="M52" s="2" t="str">
        <x:v>R_NBS_URBAN</x:v>
      </x:c>
      <x:c r="N52" s="2" t="str">
        <x:v>R_NBS_INCOME</x:v>
      </x:c>
      <x:c r="O52" s="2"/>
      <x:c r="P52" s="2" t="str">
        <x:v>未获取同口径省级连续面板；不以登记失业率替代调查失业率</x:v>
      </x:c>
      <x:c r="Q52" s="2" t="str">
        <x:v>未检出，不代表实际零发生</x:v>
      </x:c>
    </x:row>
    <x:row r="53" ht="38" customHeight="1">
      <x:c r="A53" s="2" t="str">
        <x:v>黑龙江</x:v>
      </x:c>
      <x:c r="B53" s="9" t="n">
        <x:v>2020</x:v>
      </x:c>
      <x:c r="C53" s="9" t="n">
        <x:f>COUNTIFS('事件主表'!$D$2:$D$215,A53,'事件主表'!$BH$2:$BH$215,B53,'事件主表'!$F$2:$F$215,"core")</x:f>
        <x:v>0</x:v>
      </x:c>
      <x:c r="D53" s="9" t="n">
        <x:v>3171</x:v>
      </x:c>
      <x:c r="E53" s="22" t="n">
        <x:f>C53/(D53/100)</x:f>
        <x:v>0</x:v>
      </x:c>
      <x:c r="F53" s="22" t="n">
        <x:v>65.61</x:v>
      </x:c>
      <x:c r="G53" s="9" t="n">
        <x:v>24902</x:v>
      </x:c>
      <x:c r="H53" s="2"/>
      <x:c r="I53" s="9"/>
      <x:c r="J53" s="9"/>
      <x:c r="K53" s="22"/>
      <x:c r="L53" s="2" t="str">
        <x:v>R_NBS_POP</x:v>
      </x:c>
      <x:c r="M53" s="2" t="str">
        <x:v>R_NBS_URBAN</x:v>
      </x:c>
      <x:c r="N53" s="2" t="str">
        <x:v>R_NBS_INCOME</x:v>
      </x:c>
      <x:c r="O53" s="2"/>
      <x:c r="P53" s="2" t="str">
        <x:v>未获取同口径省级连续面板；不以登记失业率替代调查失业率</x:v>
      </x:c>
      <x:c r="Q53" s="2" t="str">
        <x:v>未检出，不代表实际零发生</x:v>
      </x:c>
    </x:row>
    <x:row r="54" ht="38" customHeight="1">
      <x:c r="A54" s="2" t="str">
        <x:v>黑龙江</x:v>
      </x:c>
      <x:c r="B54" s="9" t="n">
        <x:v>2021</x:v>
      </x:c>
      <x:c r="C54" s="9" t="n">
        <x:f>COUNTIFS('事件主表'!$D$2:$D$215,A54,'事件主表'!$BH$2:$BH$215,B54,'事件主表'!$F$2:$F$215,"core")</x:f>
        <x:v>0</x:v>
      </x:c>
      <x:c r="D54" s="9" t="n">
        <x:v>3125</x:v>
      </x:c>
      <x:c r="E54" s="22" t="n">
        <x:f>C54/(D54/100)</x:f>
        <x:v>0</x:v>
      </x:c>
      <x:c r="F54" s="22" t="n">
        <x:v>65.69</x:v>
      </x:c>
      <x:c r="G54" s="9" t="n">
        <x:v>27159</x:v>
      </x:c>
      <x:c r="H54" s="2"/>
      <x:c r="I54" s="9"/>
      <x:c r="J54" s="9"/>
      <x:c r="K54" s="22"/>
      <x:c r="L54" s="2" t="str">
        <x:v>R_NBS_POP</x:v>
      </x:c>
      <x:c r="M54" s="2" t="str">
        <x:v>R_NBS_URBAN</x:v>
      </x:c>
      <x:c r="N54" s="2" t="str">
        <x:v>R_NBS_INCOME</x:v>
      </x:c>
      <x:c r="O54" s="2"/>
      <x:c r="P54" s="2" t="str">
        <x:v>未获取同口径省级连续面板；不以登记失业率替代调查失业率</x:v>
      </x:c>
      <x:c r="Q54" s="2" t="str">
        <x:v>未检出，不代表实际零发生</x:v>
      </x:c>
    </x:row>
    <x:row r="55" ht="38" customHeight="1">
      <x:c r="A55" s="2" t="str">
        <x:v>黑龙江</x:v>
      </x:c>
      <x:c r="B55" s="9" t="n">
        <x:v>2022</x:v>
      </x:c>
      <x:c r="C55" s="9" t="n">
        <x:f>COUNTIFS('事件主表'!$D$2:$D$215,A55,'事件主表'!$BH$2:$BH$215,B55,'事件主表'!$F$2:$F$215,"core")</x:f>
        <x:v>0</x:v>
      </x:c>
      <x:c r="D55" s="9" t="n">
        <x:v>3099</x:v>
      </x:c>
      <x:c r="E55" s="22" t="n">
        <x:f>C55/(D55/100)</x:f>
        <x:v>0</x:v>
      </x:c>
      <x:c r="F55" s="22" t="n">
        <x:v>66.21</x:v>
      </x:c>
      <x:c r="G55" s="9" t="n">
        <x:v>28346</x:v>
      </x:c>
      <x:c r="H55" s="2"/>
      <x:c r="I55" s="9"/>
      <x:c r="J55" s="9"/>
      <x:c r="K55" s="22"/>
      <x:c r="L55" s="2" t="str">
        <x:v>R_NBS_POP</x:v>
      </x:c>
      <x:c r="M55" s="2" t="str">
        <x:v>R_NBS_URBAN</x:v>
      </x:c>
      <x:c r="N55" s="2" t="str">
        <x:v>R_NBS_INCOME</x:v>
      </x:c>
      <x:c r="O55" s="2"/>
      <x:c r="P55" s="2" t="str">
        <x:v>未获取同口径省级连续面板；不以登记失业率替代调查失业率</x:v>
      </x:c>
      <x:c r="Q55" s="2" t="str">
        <x:v>未检出，不代表实际零发生</x:v>
      </x:c>
    </x:row>
    <x:row r="56" ht="38" customHeight="1">
      <x:c r="A56" s="2" t="str">
        <x:v>黑龙江</x:v>
      </x:c>
      <x:c r="B56" s="9" t="n">
        <x:v>2023</x:v>
      </x:c>
      <x:c r="C56" s="9" t="n">
        <x:f>COUNTIFS('事件主表'!$D$2:$D$215,A56,'事件主表'!$BH$2:$BH$215,B56,'事件主表'!$F$2:$F$215,"core")</x:f>
        <x:v>0</x:v>
      </x:c>
      <x:c r="D56" s="9" t="n">
        <x:v>3062</x:v>
      </x:c>
      <x:c r="E56" s="22" t="n">
        <x:f>C56/(D56/100)</x:f>
        <x:v>0</x:v>
      </x:c>
      <x:c r="F56" s="22" t="n">
        <x:v>67.11</x:v>
      </x:c>
      <x:c r="G56" s="9" t="n">
        <x:v>29694</x:v>
      </x:c>
      <x:c r="H56" s="2"/>
      <x:c r="I56" s="9"/>
      <x:c r="J56" s="9"/>
      <x:c r="K56" s="22"/>
      <x:c r="L56" s="2" t="str">
        <x:v>R_NBS_POP</x:v>
      </x:c>
      <x:c r="M56" s="2" t="str">
        <x:v>R_NBS_URBAN</x:v>
      </x:c>
      <x:c r="N56" s="2" t="str">
        <x:v>R_NBS_INCOME</x:v>
      </x:c>
      <x:c r="O56" s="2"/>
      <x:c r="P56" s="2" t="str">
        <x:v>未获取同口径省级连续面板；不以登记失业率替代调查失业率</x:v>
      </x:c>
      <x:c r="Q56" s="2" t="str">
        <x:v>未检出，不代表实际零发生</x:v>
      </x:c>
    </x:row>
    <x:row r="57" ht="38" customHeight="1">
      <x:c r="A57" s="2" t="str">
        <x:v>黑龙江</x:v>
      </x:c>
      <x:c r="B57" s="9" t="n">
        <x:v>2024</x:v>
      </x:c>
      <x:c r="C57" s="9" t="n">
        <x:f>COUNTIFS('事件主表'!$D$2:$D$215,A57,'事件主表'!$BH$2:$BH$215,B57,'事件主表'!$F$2:$F$215,"core")</x:f>
        <x:v>0</x:v>
      </x:c>
      <x:c r="D57" s="9" t="n">
        <x:v>3029</x:v>
      </x:c>
      <x:c r="E57" s="22" t="n">
        <x:f>C57/(D57/100)</x:f>
        <x:v>0</x:v>
      </x:c>
      <x:c r="F57" s="22" t="n">
        <x:v>68.05</x:v>
      </x:c>
      <x:c r="G57" s="9" t="n">
        <x:v>31269</x:v>
      </x:c>
      <x:c r="H57" s="2"/>
      <x:c r="I57" s="9" t="n">
        <x:v>1305</x:v>
      </x:c>
      <x:c r="J57" s="9" t="n">
        <x:v>648</x:v>
      </x:c>
      <x:c r="K57" s="22" t="n">
        <x:v>49.6551724137931</x:v>
      </x:c>
      <x:c r="L57" s="2" t="str">
        <x:v>R_NBS_POP</x:v>
      </x:c>
      <x:c r="M57" s="2" t="str">
        <x:v>R_NBS_URBAN</x:v>
      </x:c>
      <x:c r="N57" s="2" t="str">
        <x:v>R_NBS_INCOME</x:v>
      </x:c>
      <x:c r="O57" s="2" t="str">
        <x:v>R_NBS_EMPLOYMENT</x:v>
      </x:c>
      <x:c r="P57" s="2" t="str">
        <x:v>未获取同口径省级连续面板；不以登记失业率替代调查失业率</x:v>
      </x:c>
      <x:c r="Q57" s="2" t="str">
        <x:v>未检出，不代表实际零发生</x:v>
      </x:c>
    </x:row>
    <x:row r="58" ht="38" customHeight="1">
      <x:c r="A58" s="2" t="str">
        <x:v>上海</x:v>
      </x:c>
      <x:c r="B58" s="9" t="n">
        <x:v>2018</x:v>
      </x:c>
      <x:c r="C58" s="9" t="n">
        <x:f>COUNTIFS('事件主表'!$D$2:$D$215,A58,'事件主表'!$BH$2:$BH$215,B58,'事件主表'!$F$2:$F$215,"core")</x:f>
        <x:v>1</x:v>
      </x:c>
      <x:c r="D58" s="9" t="n">
        <x:v>2475</x:v>
      </x:c>
      <x:c r="E58" s="22" t="n">
        <x:f>C58/(D58/100)</x:f>
        <x:v>0.04040404040404041</x:v>
      </x:c>
      <x:c r="F58" s="22" t="n">
        <x:v>89.13</x:v>
      </x:c>
      <x:c r="G58" s="9" t="n">
        <x:v>64183</x:v>
      </x:c>
      <x:c r="H58" s="2"/>
      <x:c r="I58" s="9"/>
      <x:c r="J58" s="9"/>
      <x:c r="K58" s="22"/>
      <x:c r="L58" s="2" t="str">
        <x:v>R_NBS_POP</x:v>
      </x:c>
      <x:c r="M58" s="2" t="str">
        <x:v>R_NBS_URBAN</x:v>
      </x:c>
      <x:c r="N58" s="2" t="str">
        <x:v>R_NBS_INCOME</x:v>
      </x:c>
      <x:c r="O58" s="2"/>
      <x:c r="P58" s="2" t="str">
        <x:v>未获取同口径省级连续面板；不以登记失业率替代调查失业率</x:v>
      </x:c>
      <x:c r="Q58" s="2" t="str">
        <x:v>公开核实记录</x:v>
      </x:c>
    </x:row>
    <x:row r="59" ht="38" customHeight="1">
      <x:c r="A59" s="2" t="str">
        <x:v>上海</x:v>
      </x:c>
      <x:c r="B59" s="9" t="n">
        <x:v>2019</x:v>
      </x:c>
      <x:c r="C59" s="9" t="n">
        <x:f>COUNTIFS('事件主表'!$D$2:$D$215,A59,'事件主表'!$BH$2:$BH$215,B59,'事件主表'!$F$2:$F$215,"core")</x:f>
        <x:v>0</x:v>
      </x:c>
      <x:c r="D59" s="9" t="n">
        <x:v>2481</x:v>
      </x:c>
      <x:c r="E59" s="22" t="n">
        <x:f>C59/(D59/100)</x:f>
        <x:v>0</x:v>
      </x:c>
      <x:c r="F59" s="22" t="n">
        <x:v>89.22</x:v>
      </x:c>
      <x:c r="G59" s="9" t="n">
        <x:v>69442</x:v>
      </x:c>
      <x:c r="H59" s="2"/>
      <x:c r="I59" s="9"/>
      <x:c r="J59" s="9"/>
      <x:c r="K59" s="22"/>
      <x:c r="L59" s="2" t="str">
        <x:v>R_NBS_POP</x:v>
      </x:c>
      <x:c r="M59" s="2" t="str">
        <x:v>R_NBS_URBAN</x:v>
      </x:c>
      <x:c r="N59" s="2" t="str">
        <x:v>R_NBS_INCOME</x:v>
      </x:c>
      <x:c r="O59" s="2"/>
      <x:c r="P59" s="2" t="str">
        <x:v>未获取同口径省级连续面板；不以登记失业率替代调查失业率</x:v>
      </x:c>
      <x:c r="Q59" s="2" t="str">
        <x:v>未检出，不代表实际零发生</x:v>
      </x:c>
    </x:row>
    <x:row r="60" ht="38" customHeight="1">
      <x:c r="A60" s="2" t="str">
        <x:v>上海</x:v>
      </x:c>
      <x:c r="B60" s="9" t="n">
        <x:v>2020</x:v>
      </x:c>
      <x:c r="C60" s="9" t="n">
        <x:f>COUNTIFS('事件主表'!$D$2:$D$215,A60,'事件主表'!$BH$2:$BH$215,B60,'事件主表'!$F$2:$F$215,"core")</x:f>
        <x:v>0</x:v>
      </x:c>
      <x:c r="D60" s="9" t="n">
        <x:v>2488</x:v>
      </x:c>
      <x:c r="E60" s="22" t="n">
        <x:f>C60/(D60/100)</x:f>
        <x:v>0</x:v>
      </x:c>
      <x:c r="F60" s="22" t="n">
        <x:v>89.3</x:v>
      </x:c>
      <x:c r="G60" s="9" t="n">
        <x:v>72232</x:v>
      </x:c>
      <x:c r="H60" s="2"/>
      <x:c r="I60" s="9"/>
      <x:c r="J60" s="9"/>
      <x:c r="K60" s="22"/>
      <x:c r="L60" s="2" t="str">
        <x:v>R_NBS_POP</x:v>
      </x:c>
      <x:c r="M60" s="2" t="str">
        <x:v>R_NBS_URBAN</x:v>
      </x:c>
      <x:c r="N60" s="2" t="str">
        <x:v>R_NBS_INCOME</x:v>
      </x:c>
      <x:c r="O60" s="2"/>
      <x:c r="P60" s="2" t="str">
        <x:v>未获取同口径省级连续面板；不以登记失业率替代调查失业率</x:v>
      </x:c>
      <x:c r="Q60" s="2" t="str">
        <x:v>未检出，不代表实际零发生</x:v>
      </x:c>
    </x:row>
    <x:row r="61" ht="38" customHeight="1">
      <x:c r="A61" s="2" t="str">
        <x:v>上海</x:v>
      </x:c>
      <x:c r="B61" s="9" t="n">
        <x:v>2021</x:v>
      </x:c>
      <x:c r="C61" s="9" t="n">
        <x:f>COUNTIFS('事件主表'!$D$2:$D$215,A61,'事件主表'!$BH$2:$BH$215,B61,'事件主表'!$F$2:$F$215,"core")</x:f>
        <x:v>1</x:v>
      </x:c>
      <x:c r="D61" s="9" t="n">
        <x:v>2489</x:v>
      </x:c>
      <x:c r="E61" s="22" t="n">
        <x:f>C61/(D61/100)</x:f>
        <x:v>0.040176777822418644</x:v>
      </x:c>
      <x:c r="F61" s="22" t="n">
        <x:v>89.3</x:v>
      </x:c>
      <x:c r="G61" s="9" t="n">
        <x:v>78027</x:v>
      </x:c>
      <x:c r="H61" s="2"/>
      <x:c r="I61" s="9"/>
      <x:c r="J61" s="9"/>
      <x:c r="K61" s="22"/>
      <x:c r="L61" s="2" t="str">
        <x:v>R_NBS_POP</x:v>
      </x:c>
      <x:c r="M61" s="2" t="str">
        <x:v>R_NBS_URBAN</x:v>
      </x:c>
      <x:c r="N61" s="2" t="str">
        <x:v>R_NBS_INCOME</x:v>
      </x:c>
      <x:c r="O61" s="2"/>
      <x:c r="P61" s="2" t="str">
        <x:v>未获取同口径省级连续面板；不以登记失业率替代调查失业率</x:v>
      </x:c>
      <x:c r="Q61" s="2" t="str">
        <x:v>公开核实记录</x:v>
      </x:c>
    </x:row>
    <x:row r="62" ht="38" customHeight="1">
      <x:c r="A62" s="2" t="str">
        <x:v>上海</x:v>
      </x:c>
      <x:c r="B62" s="9" t="n">
        <x:v>2022</x:v>
      </x:c>
      <x:c r="C62" s="9" t="n">
        <x:f>COUNTIFS('事件主表'!$D$2:$D$215,A62,'事件主表'!$BH$2:$BH$215,B62,'事件主表'!$F$2:$F$215,"core")</x:f>
        <x:v>2</x:v>
      </x:c>
      <x:c r="D62" s="9" t="n">
        <x:v>2475</x:v>
      </x:c>
      <x:c r="E62" s="22" t="n">
        <x:f>C62/(D62/100)</x:f>
        <x:v>0.08080808080808081</x:v>
      </x:c>
      <x:c r="F62" s="22" t="n">
        <x:v>89.33</x:v>
      </x:c>
      <x:c r="G62" s="9" t="n">
        <x:v>79610</x:v>
      </x:c>
      <x:c r="H62" s="2"/>
      <x:c r="I62" s="9"/>
      <x:c r="J62" s="9"/>
      <x:c r="K62" s="22"/>
      <x:c r="L62" s="2" t="str">
        <x:v>R_NBS_POP</x:v>
      </x:c>
      <x:c r="M62" s="2" t="str">
        <x:v>R_NBS_URBAN</x:v>
      </x:c>
      <x:c r="N62" s="2" t="str">
        <x:v>R_NBS_INCOME</x:v>
      </x:c>
      <x:c r="O62" s="2"/>
      <x:c r="P62" s="2" t="str">
        <x:v>未获取同口径省级连续面板；不以登记失业率替代调查失业率</x:v>
      </x:c>
      <x:c r="Q62" s="2" t="str">
        <x:v>公开核实记录</x:v>
      </x:c>
    </x:row>
    <x:row r="63" ht="38" customHeight="1">
      <x:c r="A63" s="2" t="str">
        <x:v>上海</x:v>
      </x:c>
      <x:c r="B63" s="9" t="n">
        <x:v>2023</x:v>
      </x:c>
      <x:c r="C63" s="9" t="n">
        <x:f>COUNTIFS('事件主表'!$D$2:$D$215,A63,'事件主表'!$BH$2:$BH$215,B63,'事件主表'!$F$2:$F$215,"core")</x:f>
        <x:v>0</x:v>
      </x:c>
      <x:c r="D63" s="9" t="n">
        <x:v>2487</x:v>
      </x:c>
      <x:c r="E63" s="22" t="n">
        <x:f>C63/(D63/100)</x:f>
        <x:v>0</x:v>
      </x:c>
      <x:c r="F63" s="22" t="n">
        <x:v>89.46</x:v>
      </x:c>
      <x:c r="G63" s="9" t="n">
        <x:v>84834</x:v>
      </x:c>
      <x:c r="H63" s="2"/>
      <x:c r="I63" s="9"/>
      <x:c r="J63" s="9"/>
      <x:c r="K63" s="22"/>
      <x:c r="L63" s="2" t="str">
        <x:v>R_NBS_POP</x:v>
      </x:c>
      <x:c r="M63" s="2" t="str">
        <x:v>R_NBS_URBAN</x:v>
      </x:c>
      <x:c r="N63" s="2" t="str">
        <x:v>R_NBS_INCOME</x:v>
      </x:c>
      <x:c r="O63" s="2"/>
      <x:c r="P63" s="2" t="str">
        <x:v>未获取同口径省级连续面板；不以登记失业率替代调查失业率</x:v>
      </x:c>
      <x:c r="Q63" s="2" t="str">
        <x:v>未检出，不代表实际零发生</x:v>
      </x:c>
    </x:row>
    <x:row r="64" ht="38" customHeight="1">
      <x:c r="A64" s="2" t="str">
        <x:v>上海</x:v>
      </x:c>
      <x:c r="B64" s="9" t="n">
        <x:v>2024</x:v>
      </x:c>
      <x:c r="C64" s="9" t="n">
        <x:f>COUNTIFS('事件主表'!$D$2:$D$215,A64,'事件主表'!$BH$2:$BH$215,B64,'事件主表'!$F$2:$F$215,"core")</x:f>
        <x:v>1</x:v>
      </x:c>
      <x:c r="D64" s="9" t="n">
        <x:v>2480</x:v>
      </x:c>
      <x:c r="E64" s="22" t="n">
        <x:f>C64/(D64/100)</x:f>
        <x:v>0.04032258064516129</x:v>
      </x:c>
      <x:c r="F64" s="22" t="n">
        <x:v>89.85</x:v>
      </x:c>
      <x:c r="G64" s="9" t="n">
        <x:v>88366</x:v>
      </x:c>
      <x:c r="H64" s="2"/>
      <x:c r="I64" s="9" t="n">
        <x:v>1330</x:v>
      </x:c>
      <x:c r="J64" s="9" t="n">
        <x:v>884</x:v>
      </x:c>
      <x:c r="K64" s="22" t="n">
        <x:v>66.46616541353383</x:v>
      </x:c>
      <x:c r="L64" s="2" t="str">
        <x:v>R_NBS_POP</x:v>
      </x:c>
      <x:c r="M64" s="2" t="str">
        <x:v>R_NBS_URBAN</x:v>
      </x:c>
      <x:c r="N64" s="2" t="str">
        <x:v>R_NBS_INCOME</x:v>
      </x:c>
      <x:c r="O64" s="2" t="str">
        <x:v>R_NBS_EMPLOYMENT</x:v>
      </x:c>
      <x:c r="P64" s="2" t="str">
        <x:v>未获取同口径省级连续面板；不以登记失业率替代调查失业率</x:v>
      </x:c>
      <x:c r="Q64" s="2" t="str">
        <x:v>公开核实记录</x:v>
      </x:c>
    </x:row>
    <x:row r="65" ht="38" customHeight="1">
      <x:c r="A65" s="2" t="str">
        <x:v>江苏</x:v>
      </x:c>
      <x:c r="B65" s="9" t="n">
        <x:v>2018</x:v>
      </x:c>
      <x:c r="C65" s="9" t="n">
        <x:f>COUNTIFS('事件主表'!$D$2:$D$215,A65,'事件主表'!$BH$2:$BH$215,B65,'事件主表'!$F$2:$F$215,"core")</x:f>
        <x:v>1</x:v>
      </x:c>
      <x:c r="D65" s="9" t="n">
        <x:v>8446</x:v>
      </x:c>
      <x:c r="E65" s="22" t="n">
        <x:f>C65/(D65/100)</x:f>
        <x:v>0.011839924224484964</x:v>
      </x:c>
      <x:c r="F65" s="22" t="n">
        <x:v>71.19</x:v>
      </x:c>
      <x:c r="G65" s="9" t="n">
        <x:v>38096</x:v>
      </x:c>
      <x:c r="H65" s="2"/>
      <x:c r="I65" s="9"/>
      <x:c r="J65" s="9"/>
      <x:c r="K65" s="22"/>
      <x:c r="L65" s="2" t="str">
        <x:v>R_NBS_POP</x:v>
      </x:c>
      <x:c r="M65" s="2" t="str">
        <x:v>R_NBS_URBAN</x:v>
      </x:c>
      <x:c r="N65" s="2" t="str">
        <x:v>R_NBS_INCOME</x:v>
      </x:c>
      <x:c r="O65" s="2"/>
      <x:c r="P65" s="2" t="str">
        <x:v>未获取同口径省级连续面板；不以登记失业率替代调查失业率</x:v>
      </x:c>
      <x:c r="Q65" s="2" t="str">
        <x:v>公开核实记录</x:v>
      </x:c>
    </x:row>
    <x:row r="66" ht="38" customHeight="1">
      <x:c r="A66" s="2" t="str">
        <x:v>江苏</x:v>
      </x:c>
      <x:c r="B66" s="9" t="n">
        <x:v>2019</x:v>
      </x:c>
      <x:c r="C66" s="9" t="n">
        <x:f>COUNTIFS('事件主表'!$D$2:$D$215,A66,'事件主表'!$BH$2:$BH$215,B66,'事件主表'!$F$2:$F$215,"core")</x:f>
        <x:v>0</x:v>
      </x:c>
      <x:c r="D66" s="9" t="n">
        <x:v>8469</x:v>
      </x:c>
      <x:c r="E66" s="22" t="n">
        <x:f>C66/(D66/100)</x:f>
        <x:v>0</x:v>
      </x:c>
      <x:c r="F66" s="22" t="n">
        <x:v>72.47</x:v>
      </x:c>
      <x:c r="G66" s="9" t="n">
        <x:v>41400</x:v>
      </x:c>
      <x:c r="H66" s="2"/>
      <x:c r="I66" s="9"/>
      <x:c r="J66" s="9"/>
      <x:c r="K66" s="22"/>
      <x:c r="L66" s="2" t="str">
        <x:v>R_NBS_POP</x:v>
      </x:c>
      <x:c r="M66" s="2" t="str">
        <x:v>R_NBS_URBAN</x:v>
      </x:c>
      <x:c r="N66" s="2" t="str">
        <x:v>R_NBS_INCOME</x:v>
      </x:c>
      <x:c r="O66" s="2"/>
      <x:c r="P66" s="2" t="str">
        <x:v>未获取同口径省级连续面板；不以登记失业率替代调查失业率</x:v>
      </x:c>
      <x:c r="Q66" s="2" t="str">
        <x:v>未检出，不代表实际零发生</x:v>
      </x:c>
    </x:row>
    <x:row r="67" ht="38" customHeight="1">
      <x:c r="A67" s="2" t="str">
        <x:v>江苏</x:v>
      </x:c>
      <x:c r="B67" s="9" t="n">
        <x:v>2020</x:v>
      </x:c>
      <x:c r="C67" s="9" t="n">
        <x:f>COUNTIFS('事件主表'!$D$2:$D$215,A67,'事件主表'!$BH$2:$BH$215,B67,'事件主表'!$F$2:$F$215,"core")</x:f>
        <x:v>0</x:v>
      </x:c>
      <x:c r="D67" s="9" t="n">
        <x:v>8477</x:v>
      </x:c>
      <x:c r="E67" s="22" t="n">
        <x:f>C67/(D67/100)</x:f>
        <x:v>0</x:v>
      </x:c>
      <x:c r="F67" s="22" t="n">
        <x:v>73.44</x:v>
      </x:c>
      <x:c r="G67" s="9" t="n">
        <x:v>43390</x:v>
      </x:c>
      <x:c r="H67" s="2"/>
      <x:c r="I67" s="9"/>
      <x:c r="J67" s="9"/>
      <x:c r="K67" s="22"/>
      <x:c r="L67" s="2" t="str">
        <x:v>R_NBS_POP</x:v>
      </x:c>
      <x:c r="M67" s="2" t="str">
        <x:v>R_NBS_URBAN</x:v>
      </x:c>
      <x:c r="N67" s="2" t="str">
        <x:v>R_NBS_INCOME</x:v>
      </x:c>
      <x:c r="O67" s="2"/>
      <x:c r="P67" s="2" t="str">
        <x:v>未获取同口径省级连续面板；不以登记失业率替代调查失业率</x:v>
      </x:c>
      <x:c r="Q67" s="2" t="str">
        <x:v>未检出，不代表实际零发生</x:v>
      </x:c>
    </x:row>
    <x:row r="68" ht="38" customHeight="1">
      <x:c r="A68" s="2" t="str">
        <x:v>江苏</x:v>
      </x:c>
      <x:c r="B68" s="9" t="n">
        <x:v>2021</x:v>
      </x:c>
      <x:c r="C68" s="9" t="n">
        <x:f>COUNTIFS('事件主表'!$D$2:$D$215,A68,'事件主表'!$BH$2:$BH$215,B68,'事件主表'!$F$2:$F$215,"core")</x:f>
        <x:v>0</x:v>
      </x:c>
      <x:c r="D68" s="9" t="n">
        <x:v>8505</x:v>
      </x:c>
      <x:c r="E68" s="22" t="n">
        <x:f>C68/(D68/100)</x:f>
        <x:v>0</x:v>
      </x:c>
      <x:c r="F68" s="22" t="n">
        <x:v>73.94</x:v>
      </x:c>
      <x:c r="G68" s="9" t="n">
        <x:v>47498</x:v>
      </x:c>
      <x:c r="H68" s="2"/>
      <x:c r="I68" s="9"/>
      <x:c r="J68" s="9"/>
      <x:c r="K68" s="22"/>
      <x:c r="L68" s="2" t="str">
        <x:v>R_NBS_POP</x:v>
      </x:c>
      <x:c r="M68" s="2" t="str">
        <x:v>R_NBS_URBAN</x:v>
      </x:c>
      <x:c r="N68" s="2" t="str">
        <x:v>R_NBS_INCOME</x:v>
      </x:c>
      <x:c r="O68" s="2"/>
      <x:c r="P68" s="2" t="str">
        <x:v>未获取同口径省级连续面板；不以登记失业率替代调查失业率</x:v>
      </x:c>
      <x:c r="Q68" s="2" t="str">
        <x:v>未检出，不代表实际零发生</x:v>
      </x:c>
    </x:row>
    <x:row r="69" ht="38" customHeight="1">
      <x:c r="A69" s="2" t="str">
        <x:v>江苏</x:v>
      </x:c>
      <x:c r="B69" s="9" t="n">
        <x:v>2022</x:v>
      </x:c>
      <x:c r="C69" s="9" t="n">
        <x:f>COUNTIFS('事件主表'!$D$2:$D$215,A69,'事件主表'!$BH$2:$BH$215,B69,'事件主表'!$F$2:$F$215,"core")</x:f>
        <x:v>0</x:v>
      </x:c>
      <x:c r="D69" s="9" t="n">
        <x:v>8515</x:v>
      </x:c>
      <x:c r="E69" s="22" t="n">
        <x:f>C69/(D69/100)</x:f>
        <x:v>0</x:v>
      </x:c>
      <x:c r="F69" s="22" t="n">
        <x:v>74.42</x:v>
      </x:c>
      <x:c r="G69" s="9" t="n">
        <x:v>49862</x:v>
      </x:c>
      <x:c r="H69" s="2"/>
      <x:c r="I69" s="9"/>
      <x:c r="J69" s="9"/>
      <x:c r="K69" s="22"/>
      <x:c r="L69" s="2" t="str">
        <x:v>R_NBS_POP</x:v>
      </x:c>
      <x:c r="M69" s="2" t="str">
        <x:v>R_NBS_URBAN</x:v>
      </x:c>
      <x:c r="N69" s="2" t="str">
        <x:v>R_NBS_INCOME</x:v>
      </x:c>
      <x:c r="O69" s="2"/>
      <x:c r="P69" s="2" t="str">
        <x:v>未获取同口径省级连续面板；不以登记失业率替代调查失业率</x:v>
      </x:c>
      <x:c r="Q69" s="2" t="str">
        <x:v>未检出，不代表实际零发生</x:v>
      </x:c>
    </x:row>
    <x:row r="70" ht="38" customHeight="1">
      <x:c r="A70" s="2" t="str">
        <x:v>江苏</x:v>
      </x:c>
      <x:c r="B70" s="9" t="n">
        <x:v>2023</x:v>
      </x:c>
      <x:c r="C70" s="9" t="n">
        <x:f>COUNTIFS('事件主表'!$D$2:$D$215,A70,'事件主表'!$BH$2:$BH$215,B70,'事件主表'!$F$2:$F$215,"core")</x:f>
        <x:v>0</x:v>
      </x:c>
      <x:c r="D70" s="9" t="n">
        <x:v>8526</x:v>
      </x:c>
      <x:c r="E70" s="22" t="n">
        <x:f>C70/(D70/100)</x:f>
        <x:v>0</x:v>
      </x:c>
      <x:c r="F70" s="22" t="n">
        <x:v>75.04</x:v>
      </x:c>
      <x:c r="G70" s="9" t="n">
        <x:v>52674</x:v>
      </x:c>
      <x:c r="H70" s="2"/>
      <x:c r="I70" s="9"/>
      <x:c r="J70" s="9"/>
      <x:c r="K70" s="22"/>
      <x:c r="L70" s="2" t="str">
        <x:v>R_NBS_POP</x:v>
      </x:c>
      <x:c r="M70" s="2" t="str">
        <x:v>R_NBS_URBAN</x:v>
      </x:c>
      <x:c r="N70" s="2" t="str">
        <x:v>R_NBS_INCOME</x:v>
      </x:c>
      <x:c r="O70" s="2"/>
      <x:c r="P70" s="2" t="str">
        <x:v>未获取同口径省级连续面板；不以登记失业率替代调查失业率</x:v>
      </x:c>
      <x:c r="Q70" s="2" t="str">
        <x:v>未检出，不代表实际零发生</x:v>
      </x:c>
    </x:row>
    <x:row r="71" ht="38" customHeight="1">
      <x:c r="A71" s="2" t="str">
        <x:v>江苏</x:v>
      </x:c>
      <x:c r="B71" s="9" t="n">
        <x:v>2024</x:v>
      </x:c>
      <x:c r="C71" s="9" t="n">
        <x:f>COUNTIFS('事件主表'!$D$2:$D$215,A71,'事件主表'!$BH$2:$BH$215,B71,'事件主表'!$F$2:$F$215,"core")</x:f>
        <x:v>2</x:v>
      </x:c>
      <x:c r="D71" s="9" t="n">
        <x:v>8526</x:v>
      </x:c>
      <x:c r="E71" s="22" t="n">
        <x:f>C71/(D71/100)</x:f>
        <x:v>0.02345765892563922</x:v>
      </x:c>
      <x:c r="F71" s="22" t="n">
        <x:v>75.53</x:v>
      </x:c>
      <x:c r="G71" s="9" t="n">
        <x:v>55415</x:v>
      </x:c>
      <x:c r="H71" s="2"/>
      <x:c r="I71" s="9" t="n">
        <x:v>4793</x:v>
      </x:c>
      <x:c r="J71" s="9" t="n">
        <x:v>2263</x:v>
      </x:c>
      <x:c r="K71" s="22" t="n">
        <x:v>47.21468808679324</x:v>
      </x:c>
      <x:c r="L71" s="2" t="str">
        <x:v>R_NBS_POP</x:v>
      </x:c>
      <x:c r="M71" s="2" t="str">
        <x:v>R_NBS_URBAN</x:v>
      </x:c>
      <x:c r="N71" s="2" t="str">
        <x:v>R_NBS_INCOME</x:v>
      </x:c>
      <x:c r="O71" s="2" t="str">
        <x:v>R_NBS_EMPLOYMENT</x:v>
      </x:c>
      <x:c r="P71" s="2" t="str">
        <x:v>未获取同口径省级连续面板；不以登记失业率替代调查失业率</x:v>
      </x:c>
      <x:c r="Q71" s="2" t="str">
        <x:v>公开核实记录</x:v>
      </x:c>
    </x:row>
    <x:row r="72" ht="38" customHeight="1">
      <x:c r="A72" s="2" t="str">
        <x:v>浙江</x:v>
      </x:c>
      <x:c r="B72" s="9" t="n">
        <x:v>2018</x:v>
      </x:c>
      <x:c r="C72" s="9" t="n">
        <x:f>COUNTIFS('事件主表'!$D$2:$D$215,A72,'事件主表'!$BH$2:$BH$215,B72,'事件主表'!$F$2:$F$215,"core")</x:f>
        <x:v>0</x:v>
      </x:c>
      <x:c r="D72" s="9" t="n">
        <x:v>6273</x:v>
      </x:c>
      <x:c r="E72" s="22" t="n">
        <x:f>C72/(D72/100)</x:f>
        <x:v>0</x:v>
      </x:c>
      <x:c r="F72" s="22" t="n">
        <x:v>70.02</x:v>
      </x:c>
      <x:c r="G72" s="9" t="n">
        <x:v>45840</x:v>
      </x:c>
      <x:c r="H72" s="2"/>
      <x:c r="I72" s="9"/>
      <x:c r="J72" s="9"/>
      <x:c r="K72" s="22"/>
      <x:c r="L72" s="2" t="str">
        <x:v>R_NBS_POP</x:v>
      </x:c>
      <x:c r="M72" s="2" t="str">
        <x:v>R_NBS_URBAN</x:v>
      </x:c>
      <x:c r="N72" s="2" t="str">
        <x:v>R_NBS_INCOME</x:v>
      </x:c>
      <x:c r="O72" s="2"/>
      <x:c r="P72" s="2" t="str">
        <x:v>未获取同口径省级连续面板；不以登记失业率替代调查失业率</x:v>
      </x:c>
      <x:c r="Q72" s="2" t="str">
        <x:v>未检出，不代表实际零发生</x:v>
      </x:c>
    </x:row>
    <x:row r="73" ht="38" customHeight="1">
      <x:c r="A73" s="2" t="str">
        <x:v>浙江</x:v>
      </x:c>
      <x:c r="B73" s="9" t="n">
        <x:v>2019</x:v>
      </x:c>
      <x:c r="C73" s="9" t="n">
        <x:f>COUNTIFS('事件主表'!$D$2:$D$215,A73,'事件主表'!$BH$2:$BH$215,B73,'事件主表'!$F$2:$F$215,"core")</x:f>
        <x:v>0</x:v>
      </x:c>
      <x:c r="D73" s="9" t="n">
        <x:v>6375</x:v>
      </x:c>
      <x:c r="E73" s="22" t="n">
        <x:f>C73/(D73/100)</x:f>
        <x:v>0</x:v>
      </x:c>
      <x:c r="F73" s="22" t="n">
        <x:v>71.58</x:v>
      </x:c>
      <x:c r="G73" s="9" t="n">
        <x:v>49899</x:v>
      </x:c>
      <x:c r="H73" s="2"/>
      <x:c r="I73" s="9"/>
      <x:c r="J73" s="9"/>
      <x:c r="K73" s="22"/>
      <x:c r="L73" s="2" t="str">
        <x:v>R_NBS_POP</x:v>
      </x:c>
      <x:c r="M73" s="2" t="str">
        <x:v>R_NBS_URBAN</x:v>
      </x:c>
      <x:c r="N73" s="2" t="str">
        <x:v>R_NBS_INCOME</x:v>
      </x:c>
      <x:c r="O73" s="2"/>
      <x:c r="P73" s="2" t="str">
        <x:v>未获取同口径省级连续面板；不以登记失业率替代调查失业率</x:v>
      </x:c>
      <x:c r="Q73" s="2" t="str">
        <x:v>未检出，不代表实际零发生</x:v>
      </x:c>
    </x:row>
    <x:row r="74" ht="38" customHeight="1">
      <x:c r="A74" s="2" t="str">
        <x:v>浙江</x:v>
      </x:c>
      <x:c r="B74" s="9" t="n">
        <x:v>2020</x:v>
      </x:c>
      <x:c r="C74" s="9" t="n">
        <x:f>COUNTIFS('事件主表'!$D$2:$D$215,A74,'事件主表'!$BH$2:$BH$215,B74,'事件主表'!$F$2:$F$215,"core")</x:f>
        <x:v>0</x:v>
      </x:c>
      <x:c r="D74" s="9" t="n">
        <x:v>6468</x:v>
      </x:c>
      <x:c r="E74" s="22" t="n">
        <x:f>C74/(D74/100)</x:f>
        <x:v>0</x:v>
      </x:c>
      <x:c r="F74" s="22" t="n">
        <x:v>72.17</x:v>
      </x:c>
      <x:c r="G74" s="9" t="n">
        <x:v>52397</x:v>
      </x:c>
      <x:c r="H74" s="2"/>
      <x:c r="I74" s="9"/>
      <x:c r="J74" s="9"/>
      <x:c r="K74" s="22"/>
      <x:c r="L74" s="2" t="str">
        <x:v>R_NBS_POP</x:v>
      </x:c>
      <x:c r="M74" s="2" t="str">
        <x:v>R_NBS_URBAN</x:v>
      </x:c>
      <x:c r="N74" s="2" t="str">
        <x:v>R_NBS_INCOME</x:v>
      </x:c>
      <x:c r="O74" s="2"/>
      <x:c r="P74" s="2" t="str">
        <x:v>未获取同口径省级连续面板；不以登记失业率替代调查失业率</x:v>
      </x:c>
      <x:c r="Q74" s="2" t="str">
        <x:v>未检出，不代表实际零发生</x:v>
      </x:c>
    </x:row>
    <x:row r="75" ht="38" customHeight="1">
      <x:c r="A75" s="2" t="str">
        <x:v>浙江</x:v>
      </x:c>
      <x:c r="B75" s="9" t="n">
        <x:v>2021</x:v>
      </x:c>
      <x:c r="C75" s="9" t="n">
        <x:f>COUNTIFS('事件主表'!$D$2:$D$215,A75,'事件主表'!$BH$2:$BH$215,B75,'事件主表'!$F$2:$F$215,"core")</x:f>
        <x:v>1</x:v>
      </x:c>
      <x:c r="D75" s="9" t="n">
        <x:v>6540</x:v>
      </x:c>
      <x:c r="E75" s="22" t="n">
        <x:f>C75/(D75/100)</x:f>
        <x:v>0.015290519877675839</x:v>
      </x:c>
      <x:c r="F75" s="22" t="n">
        <x:v>72.66</x:v>
      </x:c>
      <x:c r="G75" s="9" t="n">
        <x:v>57541</x:v>
      </x:c>
      <x:c r="H75" s="2"/>
      <x:c r="I75" s="9"/>
      <x:c r="J75" s="9"/>
      <x:c r="K75" s="22"/>
      <x:c r="L75" s="2" t="str">
        <x:v>R_NBS_POP</x:v>
      </x:c>
      <x:c r="M75" s="2" t="str">
        <x:v>R_NBS_URBAN</x:v>
      </x:c>
      <x:c r="N75" s="2" t="str">
        <x:v>R_NBS_INCOME</x:v>
      </x:c>
      <x:c r="O75" s="2"/>
      <x:c r="P75" s="2" t="str">
        <x:v>未获取同口径省级连续面板；不以登记失业率替代调查失业率</x:v>
      </x:c>
      <x:c r="Q75" s="2" t="str">
        <x:v>公开核实记录</x:v>
      </x:c>
    </x:row>
    <x:row r="76" ht="38" customHeight="1">
      <x:c r="A76" s="2" t="str">
        <x:v>浙江</x:v>
      </x:c>
      <x:c r="B76" s="9" t="n">
        <x:v>2022</x:v>
      </x:c>
      <x:c r="C76" s="9" t="n">
        <x:f>COUNTIFS('事件主表'!$D$2:$D$215,A76,'事件主表'!$BH$2:$BH$215,B76,'事件主表'!$F$2:$F$215,"core")</x:f>
        <x:v>0</x:v>
      </x:c>
      <x:c r="D76" s="9" t="n">
        <x:v>6577</x:v>
      </x:c>
      <x:c r="E76" s="22" t="n">
        <x:f>C76/(D76/100)</x:f>
        <x:v>0</x:v>
      </x:c>
      <x:c r="F76" s="22" t="n">
        <x:v>73.38</x:v>
      </x:c>
      <x:c r="G76" s="9" t="n">
        <x:v>60302</x:v>
      </x:c>
      <x:c r="H76" s="2"/>
      <x:c r="I76" s="9"/>
      <x:c r="J76" s="9"/>
      <x:c r="K76" s="22"/>
      <x:c r="L76" s="2" t="str">
        <x:v>R_NBS_POP</x:v>
      </x:c>
      <x:c r="M76" s="2" t="str">
        <x:v>R_NBS_URBAN</x:v>
      </x:c>
      <x:c r="N76" s="2" t="str">
        <x:v>R_NBS_INCOME</x:v>
      </x:c>
      <x:c r="O76" s="2"/>
      <x:c r="P76" s="2" t="str">
        <x:v>未获取同口径省级连续面板；不以登记失业率替代调查失业率</x:v>
      </x:c>
      <x:c r="Q76" s="2" t="str">
        <x:v>未检出，不代表实际零发生</x:v>
      </x:c>
    </x:row>
    <x:row r="77" ht="38" customHeight="1">
      <x:c r="A77" s="2" t="str">
        <x:v>浙江</x:v>
      </x:c>
      <x:c r="B77" s="9" t="n">
        <x:v>2023</x:v>
      </x:c>
      <x:c r="C77" s="9" t="n">
        <x:f>COUNTIFS('事件主表'!$D$2:$D$215,A77,'事件主表'!$BH$2:$BH$215,B77,'事件主表'!$F$2:$F$215,"core")</x:f>
        <x:v>0</x:v>
      </x:c>
      <x:c r="D77" s="9" t="n">
        <x:v>6627</x:v>
      </x:c>
      <x:c r="E77" s="22" t="n">
        <x:f>C77/(D77/100)</x:f>
        <x:v>0</x:v>
      </x:c>
      <x:c r="F77" s="22" t="n">
        <x:v>74.23</x:v>
      </x:c>
      <x:c r="G77" s="9" t="n">
        <x:v>63830</x:v>
      </x:c>
      <x:c r="H77" s="2"/>
      <x:c r="I77" s="9"/>
      <x:c r="J77" s="9"/>
      <x:c r="K77" s="22"/>
      <x:c r="L77" s="2" t="str">
        <x:v>R_NBS_POP</x:v>
      </x:c>
      <x:c r="M77" s="2" t="str">
        <x:v>R_NBS_URBAN</x:v>
      </x:c>
      <x:c r="N77" s="2" t="str">
        <x:v>R_NBS_INCOME</x:v>
      </x:c>
      <x:c r="O77" s="2"/>
      <x:c r="P77" s="2" t="str">
        <x:v>未获取同口径省级连续面板；不以登记失业率替代调查失业率</x:v>
      </x:c>
      <x:c r="Q77" s="2" t="str">
        <x:v>未检出，不代表实际零发生</x:v>
      </x:c>
    </x:row>
    <x:row r="78" ht="38" customHeight="1">
      <x:c r="A78" s="2" t="str">
        <x:v>浙江</x:v>
      </x:c>
      <x:c r="B78" s="9" t="n">
        <x:v>2024</x:v>
      </x:c>
      <x:c r="C78" s="9" t="n">
        <x:f>COUNTIFS('事件主表'!$D$2:$D$215,A78,'事件主表'!$BH$2:$BH$215,B78,'事件主表'!$F$2:$F$215,"core")</x:f>
        <x:v>0</x:v>
      </x:c>
      <x:c r="D78" s="9" t="n">
        <x:v>6670</x:v>
      </x:c>
      <x:c r="E78" s="22" t="n">
        <x:f>C78/(D78/100)</x:f>
        <x:v>0</x:v>
      </x:c>
      <x:c r="F78" s="22" t="n">
        <x:v>75.46</x:v>
      </x:c>
      <x:c r="G78" s="9" t="n">
        <x:v>67013</x:v>
      </x:c>
      <x:c r="H78" s="2"/>
      <x:c r="I78" s="9" t="n">
        <x:v>3924</x:v>
      </x:c>
      <x:c r="J78" s="9" t="n">
        <x:v>1988</x:v>
      </x:c>
      <x:c r="K78" s="22" t="n">
        <x:v>50.66258919469929</x:v>
      </x:c>
      <x:c r="L78" s="2" t="str">
        <x:v>R_NBS_POP</x:v>
      </x:c>
      <x:c r="M78" s="2" t="str">
        <x:v>R_NBS_URBAN</x:v>
      </x:c>
      <x:c r="N78" s="2" t="str">
        <x:v>R_NBS_INCOME</x:v>
      </x:c>
      <x:c r="O78" s="2" t="str">
        <x:v>R_NBS_EMPLOYMENT</x:v>
      </x:c>
      <x:c r="P78" s="2" t="str">
        <x:v>未获取同口径省级连续面板；不以登记失业率替代调查失业率</x:v>
      </x:c>
      <x:c r="Q78" s="2" t="str">
        <x:v>未检出，不代表实际零发生</x:v>
      </x:c>
    </x:row>
    <x:row r="79" ht="38" customHeight="1">
      <x:c r="A79" s="2" t="str">
        <x:v>安徽</x:v>
      </x:c>
      <x:c r="B79" s="9" t="n">
        <x:v>2018</x:v>
      </x:c>
      <x:c r="C79" s="9" t="n">
        <x:f>COUNTIFS('事件主表'!$D$2:$D$215,A79,'事件主表'!$BH$2:$BH$215,B79,'事件主表'!$F$2:$F$215,"core")</x:f>
        <x:v>0</x:v>
      </x:c>
      <x:c r="D79" s="9" t="n">
        <x:v>6076</x:v>
      </x:c>
      <x:c r="E79" s="22" t="n">
        <x:f>C79/(D79/100)</x:f>
        <x:v>0</x:v>
      </x:c>
      <x:c r="F79" s="22" t="n">
        <x:v>55.65</x:v>
      </x:c>
      <x:c r="G79" s="9" t="n">
        <x:v>23984</x:v>
      </x:c>
      <x:c r="H79" s="2"/>
      <x:c r="I79" s="9"/>
      <x:c r="J79" s="9"/>
      <x:c r="K79" s="22"/>
      <x:c r="L79" s="2" t="str">
        <x:v>R_NBS_POP</x:v>
      </x:c>
      <x:c r="M79" s="2" t="str">
        <x:v>R_NBS_URBAN</x:v>
      </x:c>
      <x:c r="N79" s="2" t="str">
        <x:v>R_NBS_INCOME</x:v>
      </x:c>
      <x:c r="O79" s="2"/>
      <x:c r="P79" s="2" t="str">
        <x:v>未获取同口径省级连续面板；不以登记失业率替代调查失业率</x:v>
      </x:c>
      <x:c r="Q79" s="2" t="str">
        <x:v>未检出，不代表实际零发生</x:v>
      </x:c>
    </x:row>
    <x:row r="80" ht="38" customHeight="1">
      <x:c r="A80" s="2" t="str">
        <x:v>安徽</x:v>
      </x:c>
      <x:c r="B80" s="9" t="n">
        <x:v>2019</x:v>
      </x:c>
      <x:c r="C80" s="9" t="n">
        <x:f>COUNTIFS('事件主表'!$D$2:$D$215,A80,'事件主表'!$BH$2:$BH$215,B80,'事件主表'!$F$2:$F$215,"core")</x:f>
        <x:v>0</x:v>
      </x:c>
      <x:c r="D80" s="9" t="n">
        <x:v>6092</x:v>
      </x:c>
      <x:c r="E80" s="22" t="n">
        <x:f>C80/(D80/100)</x:f>
        <x:v>0</x:v>
      </x:c>
      <x:c r="F80" s="22" t="n">
        <x:v>57.02</x:v>
      </x:c>
      <x:c r="G80" s="9" t="n">
        <x:v>26415</x:v>
      </x:c>
      <x:c r="H80" s="2"/>
      <x:c r="I80" s="9"/>
      <x:c r="J80" s="9"/>
      <x:c r="K80" s="22"/>
      <x:c r="L80" s="2" t="str">
        <x:v>R_NBS_POP</x:v>
      </x:c>
      <x:c r="M80" s="2" t="str">
        <x:v>R_NBS_URBAN</x:v>
      </x:c>
      <x:c r="N80" s="2" t="str">
        <x:v>R_NBS_INCOME</x:v>
      </x:c>
      <x:c r="O80" s="2"/>
      <x:c r="P80" s="2" t="str">
        <x:v>未获取同口径省级连续面板；不以登记失业率替代调查失业率</x:v>
      </x:c>
      <x:c r="Q80" s="2" t="str">
        <x:v>未检出，不代表实际零发生</x:v>
      </x:c>
    </x:row>
    <x:row r="81" ht="38" customHeight="1">
      <x:c r="A81" s="2" t="str">
        <x:v>安徽</x:v>
      </x:c>
      <x:c r="B81" s="9" t="n">
        <x:v>2020</x:v>
      </x:c>
      <x:c r="C81" s="9" t="n">
        <x:f>COUNTIFS('事件主表'!$D$2:$D$215,A81,'事件主表'!$BH$2:$BH$215,B81,'事件主表'!$F$2:$F$215,"core")</x:f>
        <x:v>0</x:v>
      </x:c>
      <x:c r="D81" s="9" t="n">
        <x:v>6105</x:v>
      </x:c>
      <x:c r="E81" s="22" t="n">
        <x:f>C81/(D81/100)</x:f>
        <x:v>0</x:v>
      </x:c>
      <x:c r="F81" s="22" t="n">
        <x:v>58.33</x:v>
      </x:c>
      <x:c r="G81" s="9" t="n">
        <x:v>28103</x:v>
      </x:c>
      <x:c r="H81" s="2"/>
      <x:c r="I81" s="9"/>
      <x:c r="J81" s="9"/>
      <x:c r="K81" s="22"/>
      <x:c r="L81" s="2" t="str">
        <x:v>R_NBS_POP</x:v>
      </x:c>
      <x:c r="M81" s="2" t="str">
        <x:v>R_NBS_URBAN</x:v>
      </x:c>
      <x:c r="N81" s="2" t="str">
        <x:v>R_NBS_INCOME</x:v>
      </x:c>
      <x:c r="O81" s="2"/>
      <x:c r="P81" s="2" t="str">
        <x:v>未获取同口径省级连续面板；不以登记失业率替代调查失业率</x:v>
      </x:c>
      <x:c r="Q81" s="2" t="str">
        <x:v>未检出，不代表实际零发生</x:v>
      </x:c>
    </x:row>
    <x:row r="82" ht="38" customHeight="1">
      <x:c r="A82" s="2" t="str">
        <x:v>安徽</x:v>
      </x:c>
      <x:c r="B82" s="9" t="n">
        <x:v>2021</x:v>
      </x:c>
      <x:c r="C82" s="9" t="n">
        <x:f>COUNTIFS('事件主表'!$D$2:$D$215,A82,'事件主表'!$BH$2:$BH$215,B82,'事件主表'!$F$2:$F$215,"core")</x:f>
        <x:v>1</x:v>
      </x:c>
      <x:c r="D82" s="9" t="n">
        <x:v>6113</x:v>
      </x:c>
      <x:c r="E82" s="22" t="n">
        <x:f>C82/(D82/100)</x:f>
        <x:v>0.016358580075249467</x:v>
      </x:c>
      <x:c r="F82" s="22" t="n">
        <x:v>59.39</x:v>
      </x:c>
      <x:c r="G82" s="9" t="n">
        <x:v>30904</x:v>
      </x:c>
      <x:c r="H82" s="2"/>
      <x:c r="I82" s="9"/>
      <x:c r="J82" s="9"/>
      <x:c r="K82" s="22"/>
      <x:c r="L82" s="2" t="str">
        <x:v>R_NBS_POP</x:v>
      </x:c>
      <x:c r="M82" s="2" t="str">
        <x:v>R_NBS_URBAN</x:v>
      </x:c>
      <x:c r="N82" s="2" t="str">
        <x:v>R_NBS_INCOME</x:v>
      </x:c>
      <x:c r="O82" s="2"/>
      <x:c r="P82" s="2" t="str">
        <x:v>未获取同口径省级连续面板；不以登记失业率替代调查失业率</x:v>
      </x:c>
      <x:c r="Q82" s="2" t="str">
        <x:v>公开核实记录</x:v>
      </x:c>
    </x:row>
    <x:row r="83" ht="38" customHeight="1">
      <x:c r="A83" s="2" t="str">
        <x:v>安徽</x:v>
      </x:c>
      <x:c r="B83" s="9" t="n">
        <x:v>2022</x:v>
      </x:c>
      <x:c r="C83" s="9" t="n">
        <x:f>COUNTIFS('事件主表'!$D$2:$D$215,A83,'事件主表'!$BH$2:$BH$215,B83,'事件主表'!$F$2:$F$215,"core")</x:f>
        <x:v>0</x:v>
      </x:c>
      <x:c r="D83" s="9" t="n">
        <x:v>6127</x:v>
      </x:c>
      <x:c r="E83" s="22" t="n">
        <x:f>C83/(D83/100)</x:f>
        <x:v>0</x:v>
      </x:c>
      <x:c r="F83" s="22" t="n">
        <x:v>60.15</x:v>
      </x:c>
      <x:c r="G83" s="9" t="n">
        <x:v>32745</x:v>
      </x:c>
      <x:c r="H83" s="2"/>
      <x:c r="I83" s="9"/>
      <x:c r="J83" s="9"/>
      <x:c r="K83" s="22"/>
      <x:c r="L83" s="2" t="str">
        <x:v>R_NBS_POP</x:v>
      </x:c>
      <x:c r="M83" s="2" t="str">
        <x:v>R_NBS_URBAN</x:v>
      </x:c>
      <x:c r="N83" s="2" t="str">
        <x:v>R_NBS_INCOME</x:v>
      </x:c>
      <x:c r="O83" s="2"/>
      <x:c r="P83" s="2" t="str">
        <x:v>未获取同口径省级连续面板；不以登记失业率替代调查失业率</x:v>
      </x:c>
      <x:c r="Q83" s="2" t="str">
        <x:v>未检出，不代表实际零发生</x:v>
      </x:c>
    </x:row>
    <x:row r="84" ht="38" customHeight="1">
      <x:c r="A84" s="2" t="str">
        <x:v>安徽</x:v>
      </x:c>
      <x:c r="B84" s="9" t="n">
        <x:v>2023</x:v>
      </x:c>
      <x:c r="C84" s="9" t="n">
        <x:f>COUNTIFS('事件主表'!$D$2:$D$215,A84,'事件主表'!$BH$2:$BH$215,B84,'事件主表'!$F$2:$F$215,"core")</x:f>
        <x:v>0</x:v>
      </x:c>
      <x:c r="D84" s="9" t="n">
        <x:v>6121</x:v>
      </x:c>
      <x:c r="E84" s="22" t="n">
        <x:f>C84/(D84/100)</x:f>
        <x:v>0</x:v>
      </x:c>
      <x:c r="F84" s="22" t="n">
        <x:v>61.51</x:v>
      </x:c>
      <x:c r="G84" s="9" t="n">
        <x:v>34893</x:v>
      </x:c>
      <x:c r="H84" s="2"/>
      <x:c r="I84" s="9"/>
      <x:c r="J84" s="9"/>
      <x:c r="K84" s="22"/>
      <x:c r="L84" s="2" t="str">
        <x:v>R_NBS_POP</x:v>
      </x:c>
      <x:c r="M84" s="2" t="str">
        <x:v>R_NBS_URBAN</x:v>
      </x:c>
      <x:c r="N84" s="2" t="str">
        <x:v>R_NBS_INCOME</x:v>
      </x:c>
      <x:c r="O84" s="2"/>
      <x:c r="P84" s="2" t="str">
        <x:v>未获取同口径省级连续面板；不以登记失业率替代调查失业率</x:v>
      </x:c>
      <x:c r="Q84" s="2" t="str">
        <x:v>未检出，不代表实际零发生</x:v>
      </x:c>
    </x:row>
    <x:row r="85" ht="38" customHeight="1">
      <x:c r="A85" s="2" t="str">
        <x:v>安徽</x:v>
      </x:c>
      <x:c r="B85" s="9" t="n">
        <x:v>2024</x:v>
      </x:c>
      <x:c r="C85" s="9" t="n">
        <x:f>COUNTIFS('事件主表'!$D$2:$D$215,A85,'事件主表'!$BH$2:$BH$215,B85,'事件主表'!$F$2:$F$215,"core")</x:f>
        <x:v>0</x:v>
      </x:c>
      <x:c r="D85" s="9" t="n">
        <x:v>6123</x:v>
      </x:c>
      <x:c r="E85" s="22" t="n">
        <x:f>C85/(D85/100)</x:f>
        <x:v>0</x:v>
      </x:c>
      <x:c r="F85" s="22" t="n">
        <x:v>62.57</x:v>
      </x:c>
      <x:c r="G85" s="9" t="n">
        <x:v>36782</x:v>
      </x:c>
      <x:c r="H85" s="2"/>
      <x:c r="I85" s="9" t="n">
        <x:v>3171</x:v>
      </x:c>
      <x:c r="J85" s="9" t="n">
        <x:v>1415</x:v>
      </x:c>
      <x:c r="K85" s="22" t="n">
        <x:v>44.62314727215389</x:v>
      </x:c>
      <x:c r="L85" s="2" t="str">
        <x:v>R_NBS_POP</x:v>
      </x:c>
      <x:c r="M85" s="2" t="str">
        <x:v>R_NBS_URBAN</x:v>
      </x:c>
      <x:c r="N85" s="2" t="str">
        <x:v>R_NBS_INCOME</x:v>
      </x:c>
      <x:c r="O85" s="2" t="str">
        <x:v>R_NBS_EMPLOYMENT</x:v>
      </x:c>
      <x:c r="P85" s="2" t="str">
        <x:v>未获取同口径省级连续面板；不以登记失业率替代调查失业率</x:v>
      </x:c>
      <x:c r="Q85" s="2" t="str">
        <x:v>未检出，不代表实际零发生</x:v>
      </x:c>
    </x:row>
    <x:row r="86" ht="38" customHeight="1">
      <x:c r="A86" s="2" t="str">
        <x:v>福建</x:v>
      </x:c>
      <x:c r="B86" s="9" t="n">
        <x:v>2018</x:v>
      </x:c>
      <x:c r="C86" s="9" t="n">
        <x:f>COUNTIFS('事件主表'!$D$2:$D$215,A86,'事件主表'!$BH$2:$BH$215,B86,'事件主表'!$F$2:$F$215,"core")</x:f>
        <x:v>0</x:v>
      </x:c>
      <x:c r="D86" s="9" t="n">
        <x:v>4104</x:v>
      </x:c>
      <x:c r="E86" s="22" t="n">
        <x:f>C86/(D86/100)</x:f>
        <x:v>0</x:v>
      </x:c>
      <x:c r="F86" s="22" t="n">
        <x:v>66.98</x:v>
      </x:c>
      <x:c r="G86" s="9" t="n">
        <x:v>32644</x:v>
      </x:c>
      <x:c r="H86" s="2"/>
      <x:c r="I86" s="9"/>
      <x:c r="J86" s="9"/>
      <x:c r="K86" s="22"/>
      <x:c r="L86" s="2" t="str">
        <x:v>R_NBS_POP</x:v>
      </x:c>
      <x:c r="M86" s="2" t="str">
        <x:v>R_NBS_URBAN</x:v>
      </x:c>
      <x:c r="N86" s="2" t="str">
        <x:v>R_NBS_INCOME</x:v>
      </x:c>
      <x:c r="O86" s="2"/>
      <x:c r="P86" s="2" t="str">
        <x:v>未获取同口径省级连续面板；不以登记失业率替代调查失业率</x:v>
      </x:c>
      <x:c r="Q86" s="2" t="str">
        <x:v>未检出，不代表实际零发生</x:v>
      </x:c>
    </x:row>
    <x:row r="87" ht="38" customHeight="1">
      <x:c r="A87" s="2" t="str">
        <x:v>福建</x:v>
      </x:c>
      <x:c r="B87" s="9" t="n">
        <x:v>2019</x:v>
      </x:c>
      <x:c r="C87" s="9" t="n">
        <x:f>COUNTIFS('事件主表'!$D$2:$D$215,A87,'事件主表'!$BH$2:$BH$215,B87,'事件主表'!$F$2:$F$215,"core")</x:f>
        <x:v>1</x:v>
      </x:c>
      <x:c r="D87" s="9" t="n">
        <x:v>4137</x:v>
      </x:c>
      <x:c r="E87" s="22" t="n">
        <x:f>C87/(D87/100)</x:f>
        <x:v>0.024172105390379502</x:v>
      </x:c>
      <x:c r="F87" s="22" t="n">
        <x:v>67.87</x:v>
      </x:c>
      <x:c r="G87" s="9" t="n">
        <x:v>35616</x:v>
      </x:c>
      <x:c r="H87" s="2"/>
      <x:c r="I87" s="9"/>
      <x:c r="J87" s="9"/>
      <x:c r="K87" s="22"/>
      <x:c r="L87" s="2" t="str">
        <x:v>R_NBS_POP</x:v>
      </x:c>
      <x:c r="M87" s="2" t="str">
        <x:v>R_NBS_URBAN</x:v>
      </x:c>
      <x:c r="N87" s="2" t="str">
        <x:v>R_NBS_INCOME</x:v>
      </x:c>
      <x:c r="O87" s="2"/>
      <x:c r="P87" s="2" t="str">
        <x:v>未获取同口径省级连续面板；不以登记失业率替代调查失业率</x:v>
      </x:c>
      <x:c r="Q87" s="2" t="str">
        <x:v>公开核实记录</x:v>
      </x:c>
    </x:row>
    <x:row r="88" ht="38" customHeight="1">
      <x:c r="A88" s="2" t="str">
        <x:v>福建</x:v>
      </x:c>
      <x:c r="B88" s="9" t="n">
        <x:v>2020</x:v>
      </x:c>
      <x:c r="C88" s="9" t="n">
        <x:f>COUNTIFS('事件主表'!$D$2:$D$215,A88,'事件主表'!$BH$2:$BH$215,B88,'事件主表'!$F$2:$F$215,"core")</x:f>
        <x:v>0</x:v>
      </x:c>
      <x:c r="D88" s="9" t="n">
        <x:v>4161</x:v>
      </x:c>
      <x:c r="E88" s="22" t="n">
        <x:f>C88/(D88/100)</x:f>
        <x:v>0</x:v>
      </x:c>
      <x:c r="F88" s="22" t="n">
        <x:v>68.75</x:v>
      </x:c>
      <x:c r="G88" s="9" t="n">
        <x:v>37202</x:v>
      </x:c>
      <x:c r="H88" s="2"/>
      <x:c r="I88" s="9"/>
      <x:c r="J88" s="9"/>
      <x:c r="K88" s="22"/>
      <x:c r="L88" s="2" t="str">
        <x:v>R_NBS_POP</x:v>
      </x:c>
      <x:c r="M88" s="2" t="str">
        <x:v>R_NBS_URBAN</x:v>
      </x:c>
      <x:c r="N88" s="2" t="str">
        <x:v>R_NBS_INCOME</x:v>
      </x:c>
      <x:c r="O88" s="2"/>
      <x:c r="P88" s="2" t="str">
        <x:v>未获取同口径省级连续面板；不以登记失业率替代调查失业率</x:v>
      </x:c>
      <x:c r="Q88" s="2" t="str">
        <x:v>未检出，不代表实际零发生</x:v>
      </x:c>
    </x:row>
    <x:row r="89" ht="38" customHeight="1">
      <x:c r="A89" s="2" t="str">
        <x:v>福建</x:v>
      </x:c>
      <x:c r="B89" s="9" t="n">
        <x:v>2021</x:v>
      </x:c>
      <x:c r="C89" s="9" t="n">
        <x:f>COUNTIFS('事件主表'!$D$2:$D$215,A89,'事件主表'!$BH$2:$BH$215,B89,'事件主表'!$F$2:$F$215,"core")</x:f>
        <x:v>0</x:v>
      </x:c>
      <x:c r="D89" s="9" t="n">
        <x:v>4187</x:v>
      </x:c>
      <x:c r="E89" s="22" t="n">
        <x:f>C89/(D89/100)</x:f>
        <x:v>0</x:v>
      </x:c>
      <x:c r="F89" s="22" t="n">
        <x:v>69.7</x:v>
      </x:c>
      <x:c r="G89" s="9" t="n">
        <x:v>40659</x:v>
      </x:c>
      <x:c r="H89" s="2"/>
      <x:c r="I89" s="9"/>
      <x:c r="J89" s="9"/>
      <x:c r="K89" s="22"/>
      <x:c r="L89" s="2" t="str">
        <x:v>R_NBS_POP</x:v>
      </x:c>
      <x:c r="M89" s="2" t="str">
        <x:v>R_NBS_URBAN</x:v>
      </x:c>
      <x:c r="N89" s="2" t="str">
        <x:v>R_NBS_INCOME</x:v>
      </x:c>
      <x:c r="O89" s="2"/>
      <x:c r="P89" s="2" t="str">
        <x:v>未获取同口径省级连续面板；不以登记失业率替代调查失业率</x:v>
      </x:c>
      <x:c r="Q89" s="2" t="str">
        <x:v>未检出，不代表实际零发生</x:v>
      </x:c>
    </x:row>
    <x:row r="90" ht="38" customHeight="1">
      <x:c r="A90" s="2" t="str">
        <x:v>福建</x:v>
      </x:c>
      <x:c r="B90" s="9" t="n">
        <x:v>2022</x:v>
      </x:c>
      <x:c r="C90" s="9" t="n">
        <x:f>COUNTIFS('事件主表'!$D$2:$D$215,A90,'事件主表'!$BH$2:$BH$215,B90,'事件主表'!$F$2:$F$215,"core")</x:f>
        <x:v>1</x:v>
      </x:c>
      <x:c r="D90" s="9" t="n">
        <x:v>4188</x:v>
      </x:c>
      <x:c r="E90" s="22" t="n">
        <x:f>C90/(D90/100)</x:f>
        <x:v>0.02387774594078319</x:v>
      </x:c>
      <x:c r="F90" s="22" t="n">
        <x:v>70.11</x:v>
      </x:c>
      <x:c r="G90" s="9" t="n">
        <x:v>43118</x:v>
      </x:c>
      <x:c r="H90" s="2"/>
      <x:c r="I90" s="9"/>
      <x:c r="J90" s="9"/>
      <x:c r="K90" s="22"/>
      <x:c r="L90" s="2" t="str">
        <x:v>R_NBS_POP</x:v>
      </x:c>
      <x:c r="M90" s="2" t="str">
        <x:v>R_NBS_URBAN</x:v>
      </x:c>
      <x:c r="N90" s="2" t="str">
        <x:v>R_NBS_INCOME</x:v>
      </x:c>
      <x:c r="O90" s="2"/>
      <x:c r="P90" s="2" t="str">
        <x:v>未获取同口径省级连续面板；不以登记失业率替代调查失业率</x:v>
      </x:c>
      <x:c r="Q90" s="2" t="str">
        <x:v>公开核实记录</x:v>
      </x:c>
    </x:row>
    <x:row r="91" ht="38" customHeight="1">
      <x:c r="A91" s="2" t="str">
        <x:v>福建</x:v>
      </x:c>
      <x:c r="B91" s="9" t="n">
        <x:v>2023</x:v>
      </x:c>
      <x:c r="C91" s="9" t="n">
        <x:f>COUNTIFS('事件主表'!$D$2:$D$215,A91,'事件主表'!$BH$2:$BH$215,B91,'事件主表'!$F$2:$F$215,"core")</x:f>
        <x:v>0</x:v>
      </x:c>
      <x:c r="D91" s="9" t="n">
        <x:v>4183</x:v>
      </x:c>
      <x:c r="E91" s="22" t="n">
        <x:f>C91/(D91/100)</x:f>
        <x:v>0</x:v>
      </x:c>
      <x:c r="F91" s="22" t="n">
        <x:v>71.04</x:v>
      </x:c>
      <x:c r="G91" s="9" t="n">
        <x:v>45426</x:v>
      </x:c>
      <x:c r="H91" s="2"/>
      <x:c r="I91" s="9"/>
      <x:c r="J91" s="9"/>
      <x:c r="K91" s="22"/>
      <x:c r="L91" s="2" t="str">
        <x:v>R_NBS_POP</x:v>
      </x:c>
      <x:c r="M91" s="2" t="str">
        <x:v>R_NBS_URBAN</x:v>
      </x:c>
      <x:c r="N91" s="2" t="str">
        <x:v>R_NBS_INCOME</x:v>
      </x:c>
      <x:c r="O91" s="2"/>
      <x:c r="P91" s="2" t="str">
        <x:v>未获取同口径省级连续面板；不以登记失业率替代调查失业率</x:v>
      </x:c>
      <x:c r="Q91" s="2" t="str">
        <x:v>未检出，不代表实际零发生</x:v>
      </x:c>
    </x:row>
    <x:row r="92" ht="38" customHeight="1">
      <x:c r="A92" s="2" t="str">
        <x:v>福建</x:v>
      </x:c>
      <x:c r="B92" s="9" t="n">
        <x:v>2024</x:v>
      </x:c>
      <x:c r="C92" s="9" t="n">
        <x:f>COUNTIFS('事件主表'!$D$2:$D$215,A92,'事件主表'!$BH$2:$BH$215,B92,'事件主表'!$F$2:$F$215,"core")</x:f>
        <x:v>0</x:v>
      </x:c>
      <x:c r="D92" s="9" t="n">
        <x:v>4193</x:v>
      </x:c>
      <x:c r="E92" s="22" t="n">
        <x:f>C92/(D92/100)</x:f>
        <x:v>0</x:v>
      </x:c>
      <x:c r="F92" s="22" t="n">
        <x:v>71.8</x:v>
      </x:c>
      <x:c r="G92" s="9" t="n">
        <x:v>47857</x:v>
      </x:c>
      <x:c r="H92" s="2"/>
      <x:c r="I92" s="9" t="n">
        <x:v>2175</x:v>
      </x:c>
      <x:c r="J92" s="9" t="n">
        <x:v>1174</x:v>
      </x:c>
      <x:c r="K92" s="22" t="n">
        <x:v>53.97701149425287</x:v>
      </x:c>
      <x:c r="L92" s="2" t="str">
        <x:v>R_NBS_POP</x:v>
      </x:c>
      <x:c r="M92" s="2" t="str">
        <x:v>R_NBS_URBAN</x:v>
      </x:c>
      <x:c r="N92" s="2" t="str">
        <x:v>R_NBS_INCOME</x:v>
      </x:c>
      <x:c r="O92" s="2" t="str">
        <x:v>R_NBS_EMPLOYMENT</x:v>
      </x:c>
      <x:c r="P92" s="2" t="str">
        <x:v>未获取同口径省级连续面板；不以登记失业率替代调查失业率</x:v>
      </x:c>
      <x:c r="Q92" s="2" t="str">
        <x:v>未检出，不代表实际零发生</x:v>
      </x:c>
    </x:row>
    <x:row r="93" ht="38" customHeight="1">
      <x:c r="A93" s="2" t="str">
        <x:v>江西</x:v>
      </x:c>
      <x:c r="B93" s="9" t="n">
        <x:v>2018</x:v>
      </x:c>
      <x:c r="C93" s="9" t="n">
        <x:f>COUNTIFS('事件主表'!$D$2:$D$215,A93,'事件主表'!$BH$2:$BH$215,B93,'事件主表'!$F$2:$F$215,"core")</x:f>
        <x:v>0</x:v>
      </x:c>
      <x:c r="D93" s="9" t="n">
        <x:v>4513</x:v>
      </x:c>
      <x:c r="E93" s="22" t="n">
        <x:f>C93/(D93/100)</x:f>
        <x:v>0</x:v>
      </x:c>
      <x:c r="F93" s="22" t="n">
        <x:v>57.34</x:v>
      </x:c>
      <x:c r="G93" s="9" t="n">
        <x:v>24080</x:v>
      </x:c>
      <x:c r="H93" s="2"/>
      <x:c r="I93" s="9"/>
      <x:c r="J93" s="9"/>
      <x:c r="K93" s="22"/>
      <x:c r="L93" s="2" t="str">
        <x:v>R_NBS_POP</x:v>
      </x:c>
      <x:c r="M93" s="2" t="str">
        <x:v>R_NBS_URBAN</x:v>
      </x:c>
      <x:c r="N93" s="2" t="str">
        <x:v>R_NBS_INCOME</x:v>
      </x:c>
      <x:c r="O93" s="2"/>
      <x:c r="P93" s="2" t="str">
        <x:v>未获取同口径省级连续面板；不以登记失业率替代调查失业率</x:v>
      </x:c>
      <x:c r="Q93" s="2" t="str">
        <x:v>未检出，不代表实际零发生</x:v>
      </x:c>
    </x:row>
    <x:row r="94" ht="38" customHeight="1">
      <x:c r="A94" s="2" t="str">
        <x:v>江西</x:v>
      </x:c>
      <x:c r="B94" s="9" t="n">
        <x:v>2019</x:v>
      </x:c>
      <x:c r="C94" s="9" t="n">
        <x:f>COUNTIFS('事件主表'!$D$2:$D$215,A94,'事件主表'!$BH$2:$BH$215,B94,'事件主表'!$F$2:$F$215,"core")</x:f>
        <x:v>1</x:v>
      </x:c>
      <x:c r="D94" s="9" t="n">
        <x:v>4516</x:v>
      </x:c>
      <x:c r="E94" s="22" t="n">
        <x:f>C94/(D94/100)</x:f>
        <x:v>0.022143489813994686</x:v>
      </x:c>
      <x:c r="F94" s="22" t="n">
        <x:v>59.07</x:v>
      </x:c>
      <x:c r="G94" s="9" t="n">
        <x:v>26262</x:v>
      </x:c>
      <x:c r="H94" s="2"/>
      <x:c r="I94" s="9"/>
      <x:c r="J94" s="9"/>
      <x:c r="K94" s="22"/>
      <x:c r="L94" s="2" t="str">
        <x:v>R_NBS_POP</x:v>
      </x:c>
      <x:c r="M94" s="2" t="str">
        <x:v>R_NBS_URBAN</x:v>
      </x:c>
      <x:c r="N94" s="2" t="str">
        <x:v>R_NBS_INCOME</x:v>
      </x:c>
      <x:c r="O94" s="2"/>
      <x:c r="P94" s="2" t="str">
        <x:v>未获取同口径省级连续面板；不以登记失业率替代调查失业率</x:v>
      </x:c>
      <x:c r="Q94" s="2" t="str">
        <x:v>公开核实记录</x:v>
      </x:c>
    </x:row>
    <x:row r="95" ht="38" customHeight="1">
      <x:c r="A95" s="2" t="str">
        <x:v>江西</x:v>
      </x:c>
      <x:c r="B95" s="9" t="n">
        <x:v>2020</x:v>
      </x:c>
      <x:c r="C95" s="9" t="n">
        <x:f>COUNTIFS('事件主表'!$D$2:$D$215,A95,'事件主表'!$BH$2:$BH$215,B95,'事件主表'!$F$2:$F$215,"core")</x:f>
        <x:v>0</x:v>
      </x:c>
      <x:c r="D95" s="9" t="n">
        <x:v>4519</x:v>
      </x:c>
      <x:c r="E95" s="22" t="n">
        <x:f>C95/(D95/100)</x:f>
        <x:v>0</x:v>
      </x:c>
      <x:c r="F95" s="22" t="n">
        <x:v>60.44</x:v>
      </x:c>
      <x:c r="G95" s="9" t="n">
        <x:v>28017</x:v>
      </x:c>
      <x:c r="H95" s="2"/>
      <x:c r="I95" s="9"/>
      <x:c r="J95" s="9"/>
      <x:c r="K95" s="22"/>
      <x:c r="L95" s="2" t="str">
        <x:v>R_NBS_POP</x:v>
      </x:c>
      <x:c r="M95" s="2" t="str">
        <x:v>R_NBS_URBAN</x:v>
      </x:c>
      <x:c r="N95" s="2" t="str">
        <x:v>R_NBS_INCOME</x:v>
      </x:c>
      <x:c r="O95" s="2"/>
      <x:c r="P95" s="2" t="str">
        <x:v>未获取同口径省级连续面板；不以登记失业率替代调查失业率</x:v>
      </x:c>
      <x:c r="Q95" s="2" t="str">
        <x:v>未检出，不代表实际零发生</x:v>
      </x:c>
    </x:row>
    <x:row r="96" ht="38" customHeight="1">
      <x:c r="A96" s="2" t="str">
        <x:v>江西</x:v>
      </x:c>
      <x:c r="B96" s="9" t="n">
        <x:v>2021</x:v>
      </x:c>
      <x:c r="C96" s="9" t="n">
        <x:f>COUNTIFS('事件主表'!$D$2:$D$215,A96,'事件主表'!$BH$2:$BH$215,B96,'事件主表'!$F$2:$F$215,"core")</x:f>
        <x:v>0</x:v>
      </x:c>
      <x:c r="D96" s="9" t="n">
        <x:v>4517</x:v>
      </x:c>
      <x:c r="E96" s="22" t="n">
        <x:f>C96/(D96/100)</x:f>
        <x:v>0</x:v>
      </x:c>
      <x:c r="F96" s="22" t="n">
        <x:v>61.46</x:v>
      </x:c>
      <x:c r="G96" s="9" t="n">
        <x:v>30610</x:v>
      </x:c>
      <x:c r="H96" s="2"/>
      <x:c r="I96" s="9"/>
      <x:c r="J96" s="9"/>
      <x:c r="K96" s="22"/>
      <x:c r="L96" s="2" t="str">
        <x:v>R_NBS_POP</x:v>
      </x:c>
      <x:c r="M96" s="2" t="str">
        <x:v>R_NBS_URBAN</x:v>
      </x:c>
      <x:c r="N96" s="2" t="str">
        <x:v>R_NBS_INCOME</x:v>
      </x:c>
      <x:c r="O96" s="2"/>
      <x:c r="P96" s="2" t="str">
        <x:v>未获取同口径省级连续面板；不以登记失业率替代调查失业率</x:v>
      </x:c>
      <x:c r="Q96" s="2" t="str">
        <x:v>未检出，不代表实际零发生</x:v>
      </x:c>
    </x:row>
    <x:row r="97" ht="38" customHeight="1">
      <x:c r="A97" s="2" t="str">
        <x:v>江西</x:v>
      </x:c>
      <x:c r="B97" s="9" t="n">
        <x:v>2022</x:v>
      </x:c>
      <x:c r="C97" s="9" t="n">
        <x:f>COUNTIFS('事件主表'!$D$2:$D$215,A97,'事件主表'!$BH$2:$BH$215,B97,'事件主表'!$F$2:$F$215,"core")</x:f>
        <x:v>0</x:v>
      </x:c>
      <x:c r="D97" s="9" t="n">
        <x:v>4528</x:v>
      </x:c>
      <x:c r="E97" s="22" t="n">
        <x:f>C97/(D97/100)</x:f>
        <x:v>0</x:v>
      </x:c>
      <x:c r="F97" s="22" t="n">
        <x:v>62.07</x:v>
      </x:c>
      <x:c r="G97" s="9" t="n">
        <x:v>32419</x:v>
      </x:c>
      <x:c r="H97" s="2"/>
      <x:c r="I97" s="9"/>
      <x:c r="J97" s="9"/>
      <x:c r="K97" s="22"/>
      <x:c r="L97" s="2" t="str">
        <x:v>R_NBS_POP</x:v>
      </x:c>
      <x:c r="M97" s="2" t="str">
        <x:v>R_NBS_URBAN</x:v>
      </x:c>
      <x:c r="N97" s="2" t="str">
        <x:v>R_NBS_INCOME</x:v>
      </x:c>
      <x:c r="O97" s="2"/>
      <x:c r="P97" s="2" t="str">
        <x:v>未获取同口径省级连续面板；不以登记失业率替代调查失业率</x:v>
      </x:c>
      <x:c r="Q97" s="2" t="str">
        <x:v>未检出，不代表实际零发生</x:v>
      </x:c>
    </x:row>
    <x:row r="98" ht="38" customHeight="1">
      <x:c r="A98" s="2" t="str">
        <x:v>江西</x:v>
      </x:c>
      <x:c r="B98" s="9" t="n">
        <x:v>2023</x:v>
      </x:c>
      <x:c r="C98" s="9" t="n">
        <x:f>COUNTIFS('事件主表'!$D$2:$D$215,A98,'事件主表'!$BH$2:$BH$215,B98,'事件主表'!$F$2:$F$215,"core")</x:f>
        <x:v>0</x:v>
      </x:c>
      <x:c r="D98" s="9" t="n">
        <x:v>4515</x:v>
      </x:c>
      <x:c r="E98" s="22" t="n">
        <x:f>C98/(D98/100)</x:f>
        <x:v>0</x:v>
      </x:c>
      <x:c r="F98" s="22" t="n">
        <x:v>63.13</x:v>
      </x:c>
      <x:c r="G98" s="9" t="n">
        <x:v>34242</x:v>
      </x:c>
      <x:c r="H98" s="2"/>
      <x:c r="I98" s="9"/>
      <x:c r="J98" s="9"/>
      <x:c r="K98" s="22"/>
      <x:c r="L98" s="2" t="str">
        <x:v>R_NBS_POP</x:v>
      </x:c>
      <x:c r="M98" s="2" t="str">
        <x:v>R_NBS_URBAN</x:v>
      </x:c>
      <x:c r="N98" s="2" t="str">
        <x:v>R_NBS_INCOME</x:v>
      </x:c>
      <x:c r="O98" s="2"/>
      <x:c r="P98" s="2" t="str">
        <x:v>未获取同口径省级连续面板；不以登记失业率替代调查失业率</x:v>
      </x:c>
      <x:c r="Q98" s="2" t="str">
        <x:v>未检出，不代表实际零发生</x:v>
      </x:c>
    </x:row>
    <x:row r="99" ht="38" customHeight="1">
      <x:c r="A99" s="2" t="str">
        <x:v>江西</x:v>
      </x:c>
      <x:c r="B99" s="9" t="n">
        <x:v>2024</x:v>
      </x:c>
      <x:c r="C99" s="9" t="n">
        <x:f>COUNTIFS('事件主表'!$D$2:$D$215,A99,'事件主表'!$BH$2:$BH$215,B99,'事件主表'!$F$2:$F$215,"core")</x:f>
        <x:v>1</x:v>
      </x:c>
      <x:c r="D99" s="9" t="n">
        <x:v>4502</x:v>
      </x:c>
      <x:c r="E99" s="22" t="n">
        <x:f>C99/(D99/100)</x:f>
        <x:v>0.02221235006663705</x:v>
      </x:c>
      <x:c r="F99" s="22" t="n">
        <x:v>63.77</x:v>
      </x:c>
      <x:c r="G99" s="9" t="n">
        <x:v>36007</x:v>
      </x:c>
      <x:c r="H99" s="2"/>
      <x:c r="I99" s="9" t="n">
        <x:v>2198</x:v>
      </x:c>
      <x:c r="J99" s="9" t="n">
        <x:v>1066</x:v>
      </x:c>
      <x:c r="K99" s="22" t="n">
        <x:v>48.49863512283894</x:v>
      </x:c>
      <x:c r="L99" s="2" t="str">
        <x:v>R_NBS_POP</x:v>
      </x:c>
      <x:c r="M99" s="2" t="str">
        <x:v>R_NBS_URBAN</x:v>
      </x:c>
      <x:c r="N99" s="2" t="str">
        <x:v>R_NBS_INCOME</x:v>
      </x:c>
      <x:c r="O99" s="2" t="str">
        <x:v>R_NBS_EMPLOYMENT</x:v>
      </x:c>
      <x:c r="P99" s="2" t="str">
        <x:v>未获取同口径省级连续面板；不以登记失业率替代调查失业率</x:v>
      </x:c>
      <x:c r="Q99" s="2" t="str">
        <x:v>公开核实记录</x:v>
      </x:c>
    </x:row>
    <x:row r="100" ht="38" customHeight="1">
      <x:c r="A100" s="2" t="str">
        <x:v>山东</x:v>
      </x:c>
      <x:c r="B100" s="9" t="n">
        <x:v>2018</x:v>
      </x:c>
      <x:c r="C100" s="9" t="n">
        <x:f>COUNTIFS('事件主表'!$D$2:$D$215,A100,'事件主表'!$BH$2:$BH$215,B100,'事件主表'!$F$2:$F$215,"core")</x:f>
        <x:v>1</x:v>
      </x:c>
      <x:c r="D100" s="9" t="n">
        <x:v>10077</x:v>
      </x:c>
      <x:c r="E100" s="22" t="n">
        <x:f>C100/(D100/100)</x:f>
        <x:v>0.009923588369554431</x:v>
      </x:c>
      <x:c r="F100" s="22" t="n">
        <x:v>61.46</x:v>
      </x:c>
      <x:c r="G100" s="9" t="n">
        <x:v>29205</x:v>
      </x:c>
      <x:c r="H100" s="2"/>
      <x:c r="I100" s="9"/>
      <x:c r="J100" s="9"/>
      <x:c r="K100" s="22"/>
      <x:c r="L100" s="2" t="str">
        <x:v>R_NBS_POP</x:v>
      </x:c>
      <x:c r="M100" s="2" t="str">
        <x:v>R_NBS_URBAN</x:v>
      </x:c>
      <x:c r="N100" s="2" t="str">
        <x:v>R_NBS_INCOME</x:v>
      </x:c>
      <x:c r="O100" s="2"/>
      <x:c r="P100" s="2" t="str">
        <x:v>未获取同口径省级连续面板；不以登记失业率替代调查失业率</x:v>
      </x:c>
      <x:c r="Q100" s="2" t="str">
        <x:v>公开核实记录</x:v>
      </x:c>
    </x:row>
    <x:row r="101" ht="38" customHeight="1">
      <x:c r="A101" s="2" t="str">
        <x:v>山东</x:v>
      </x:c>
      <x:c r="B101" s="9" t="n">
        <x:v>2019</x:v>
      </x:c>
      <x:c r="C101" s="9" t="n">
        <x:f>COUNTIFS('事件主表'!$D$2:$D$215,A101,'事件主表'!$BH$2:$BH$215,B101,'事件主表'!$F$2:$F$215,"core")</x:f>
        <x:v>0</x:v>
      </x:c>
      <x:c r="D101" s="9" t="n">
        <x:v>10106</x:v>
      </x:c>
      <x:c r="E101" s="22" t="n">
        <x:f>C101/(D101/100)</x:f>
        <x:v>0</x:v>
      </x:c>
      <x:c r="F101" s="22" t="n">
        <x:v>61.86</x:v>
      </x:c>
      <x:c r="G101" s="9" t="n">
        <x:v>31597</x:v>
      </x:c>
      <x:c r="H101" s="2"/>
      <x:c r="I101" s="9"/>
      <x:c r="J101" s="9"/>
      <x:c r="K101" s="22"/>
      <x:c r="L101" s="2" t="str">
        <x:v>R_NBS_POP</x:v>
      </x:c>
      <x:c r="M101" s="2" t="str">
        <x:v>R_NBS_URBAN</x:v>
      </x:c>
      <x:c r="N101" s="2" t="str">
        <x:v>R_NBS_INCOME</x:v>
      </x:c>
      <x:c r="O101" s="2"/>
      <x:c r="P101" s="2" t="str">
        <x:v>未获取同口径省级连续面板；不以登记失业率替代调查失业率</x:v>
      </x:c>
      <x:c r="Q101" s="2" t="str">
        <x:v>未检出，不代表实际零发生</x:v>
      </x:c>
    </x:row>
    <x:row r="102" ht="38" customHeight="1">
      <x:c r="A102" s="2" t="str">
        <x:v>山东</x:v>
      </x:c>
      <x:c r="B102" s="9" t="n">
        <x:v>2020</x:v>
      </x:c>
      <x:c r="C102" s="9" t="n">
        <x:f>COUNTIFS('事件主表'!$D$2:$D$215,A102,'事件主表'!$BH$2:$BH$215,B102,'事件主表'!$F$2:$F$215,"core")</x:f>
        <x:v>0</x:v>
      </x:c>
      <x:c r="D102" s="9" t="n">
        <x:v>10165</x:v>
      </x:c>
      <x:c r="E102" s="22" t="n">
        <x:f>C102/(D102/100)</x:f>
        <x:v>0</x:v>
      </x:c>
      <x:c r="F102" s="22" t="n">
        <x:v>63.05</x:v>
      </x:c>
      <x:c r="G102" s="9" t="n">
        <x:v>32886</x:v>
      </x:c>
      <x:c r="H102" s="2"/>
      <x:c r="I102" s="9"/>
      <x:c r="J102" s="9"/>
      <x:c r="K102" s="22"/>
      <x:c r="L102" s="2" t="str">
        <x:v>R_NBS_POP</x:v>
      </x:c>
      <x:c r="M102" s="2" t="str">
        <x:v>R_NBS_URBAN</x:v>
      </x:c>
      <x:c r="N102" s="2" t="str">
        <x:v>R_NBS_INCOME</x:v>
      </x:c>
      <x:c r="O102" s="2"/>
      <x:c r="P102" s="2" t="str">
        <x:v>未获取同口径省级连续面板；不以登记失业率替代调查失业率</x:v>
      </x:c>
      <x:c r="Q102" s="2" t="str">
        <x:v>未检出，不代表实际零发生</x:v>
      </x:c>
    </x:row>
    <x:row r="103" ht="38" customHeight="1">
      <x:c r="A103" s="2" t="str">
        <x:v>山东</x:v>
      </x:c>
      <x:c r="B103" s="9" t="n">
        <x:v>2021</x:v>
      </x:c>
      <x:c r="C103" s="9" t="n">
        <x:f>COUNTIFS('事件主表'!$D$2:$D$215,A103,'事件主表'!$BH$2:$BH$215,B103,'事件主表'!$F$2:$F$215,"core")</x:f>
        <x:v>0</x:v>
      </x:c>
      <x:c r="D103" s="9" t="n">
        <x:v>10170</x:v>
      </x:c>
      <x:c r="E103" s="22" t="n">
        <x:f>C103/(D103/100)</x:f>
        <x:v>0</x:v>
      </x:c>
      <x:c r="F103" s="22" t="n">
        <x:v>63.94</x:v>
      </x:c>
      <x:c r="G103" s="9" t="n">
        <x:v>35705</x:v>
      </x:c>
      <x:c r="H103" s="2"/>
      <x:c r="I103" s="9"/>
      <x:c r="J103" s="9"/>
      <x:c r="K103" s="22"/>
      <x:c r="L103" s="2" t="str">
        <x:v>R_NBS_POP</x:v>
      </x:c>
      <x:c r="M103" s="2" t="str">
        <x:v>R_NBS_URBAN</x:v>
      </x:c>
      <x:c r="N103" s="2" t="str">
        <x:v>R_NBS_INCOME</x:v>
      </x:c>
      <x:c r="O103" s="2"/>
      <x:c r="P103" s="2" t="str">
        <x:v>未获取同口径省级连续面板；不以登记失业率替代调查失业率</x:v>
      </x:c>
      <x:c r="Q103" s="2" t="str">
        <x:v>未检出，不代表实际零发生</x:v>
      </x:c>
    </x:row>
    <x:row r="104" ht="38" customHeight="1">
      <x:c r="A104" s="2" t="str">
        <x:v>山东</x:v>
      </x:c>
      <x:c r="B104" s="9" t="n">
        <x:v>2022</x:v>
      </x:c>
      <x:c r="C104" s="9" t="n">
        <x:f>COUNTIFS('事件主表'!$D$2:$D$215,A104,'事件主表'!$BH$2:$BH$215,B104,'事件主表'!$F$2:$F$215,"core")</x:f>
        <x:v>0</x:v>
      </x:c>
      <x:c r="D104" s="9" t="n">
        <x:v>10163</x:v>
      </x:c>
      <x:c r="E104" s="22" t="n">
        <x:f>C104/(D104/100)</x:f>
        <x:v>0</x:v>
      </x:c>
      <x:c r="F104" s="22" t="n">
        <x:v>64.54</x:v>
      </x:c>
      <x:c r="G104" s="9" t="n">
        <x:v>37560</x:v>
      </x:c>
      <x:c r="H104" s="2"/>
      <x:c r="I104" s="9"/>
      <x:c r="J104" s="9"/>
      <x:c r="K104" s="22"/>
      <x:c r="L104" s="2" t="str">
        <x:v>R_NBS_POP</x:v>
      </x:c>
      <x:c r="M104" s="2" t="str">
        <x:v>R_NBS_URBAN</x:v>
      </x:c>
      <x:c r="N104" s="2" t="str">
        <x:v>R_NBS_INCOME</x:v>
      </x:c>
      <x:c r="O104" s="2"/>
      <x:c r="P104" s="2" t="str">
        <x:v>未获取同口径省级连续面板；不以登记失业率替代调查失业率</x:v>
      </x:c>
      <x:c r="Q104" s="2" t="str">
        <x:v>未检出，不代表实际零发生</x:v>
      </x:c>
    </x:row>
    <x:row r="105" ht="38" customHeight="1">
      <x:c r="A105" s="2" t="str">
        <x:v>山东</x:v>
      </x:c>
      <x:c r="B105" s="9" t="n">
        <x:v>2023</x:v>
      </x:c>
      <x:c r="C105" s="9" t="n">
        <x:f>COUNTIFS('事件主表'!$D$2:$D$215,A105,'事件主表'!$BH$2:$BH$215,B105,'事件主表'!$F$2:$F$215,"core")</x:f>
        <x:v>1</x:v>
      </x:c>
      <x:c r="D105" s="9" t="n">
        <x:v>10123</x:v>
      </x:c>
      <x:c r="E105" s="22" t="n">
        <x:f>C105/(D105/100)</x:f>
        <x:v>0.009878494517435542</x:v>
      </x:c>
      <x:c r="F105" s="22" t="n">
        <x:v>65.53</x:v>
      </x:c>
      <x:c r="G105" s="9" t="n">
        <x:v>39890</x:v>
      </x:c>
      <x:c r="H105" s="2"/>
      <x:c r="I105" s="9"/>
      <x:c r="J105" s="9"/>
      <x:c r="K105" s="22"/>
      <x:c r="L105" s="2" t="str">
        <x:v>R_NBS_POP</x:v>
      </x:c>
      <x:c r="M105" s="2" t="str">
        <x:v>R_NBS_URBAN</x:v>
      </x:c>
      <x:c r="N105" s="2" t="str">
        <x:v>R_NBS_INCOME</x:v>
      </x:c>
      <x:c r="O105" s="2"/>
      <x:c r="P105" s="2" t="str">
        <x:v>未获取同口径省级连续面板；不以登记失业率替代调查失业率</x:v>
      </x:c>
      <x:c r="Q105" s="2" t="str">
        <x:v>公开核实记录</x:v>
      </x:c>
    </x:row>
    <x:row r="106" ht="38" customHeight="1">
      <x:c r="A106" s="2" t="str">
        <x:v>山东</x:v>
      </x:c>
      <x:c r="B106" s="9" t="n">
        <x:v>2024</x:v>
      </x:c>
      <x:c r="C106" s="9" t="n">
        <x:f>COUNTIFS('事件主表'!$D$2:$D$215,A106,'事件主表'!$BH$2:$BH$215,B106,'事件主表'!$F$2:$F$215,"core")</x:f>
        <x:v>0</x:v>
      </x:c>
      <x:c r="D106" s="9" t="n">
        <x:v>10080</x:v>
      </x:c>
      <x:c r="E106" s="22" t="n">
        <x:f>C106/(D106/100)</x:f>
        <x:v>0</x:v>
      </x:c>
      <x:c r="F106" s="22" t="n">
        <x:v>66.48</x:v>
      </x:c>
      <x:c r="G106" s="9" t="n">
        <x:v>42077</x:v>
      </x:c>
      <x:c r="H106" s="2"/>
      <x:c r="I106" s="9" t="n">
        <x:v>5315</x:v>
      </x:c>
      <x:c r="J106" s="9" t="n">
        <x:v>2301</x:v>
      </x:c>
      <x:c r="K106" s="22" t="n">
        <x:v>43.29256820319849</x:v>
      </x:c>
      <x:c r="L106" s="2" t="str">
        <x:v>R_NBS_POP</x:v>
      </x:c>
      <x:c r="M106" s="2" t="str">
        <x:v>R_NBS_URBAN</x:v>
      </x:c>
      <x:c r="N106" s="2" t="str">
        <x:v>R_NBS_INCOME</x:v>
      </x:c>
      <x:c r="O106" s="2" t="str">
        <x:v>R_NBS_EMPLOYMENT</x:v>
      </x:c>
      <x:c r="P106" s="2" t="str">
        <x:v>未获取同口径省级连续面板；不以登记失业率替代调查失业率</x:v>
      </x:c>
      <x:c r="Q106" s="2" t="str">
        <x:v>未检出，不代表实际零发生</x:v>
      </x:c>
    </x:row>
    <x:row r="107" ht="38" customHeight="1">
      <x:c r="A107" s="2" t="str">
        <x:v>河南</x:v>
      </x:c>
      <x:c r="B107" s="9" t="n">
        <x:v>2018</x:v>
      </x:c>
      <x:c r="C107" s="9" t="n">
        <x:f>COUNTIFS('事件主表'!$D$2:$D$215,A107,'事件主表'!$BH$2:$BH$215,B107,'事件主表'!$F$2:$F$215,"core")</x:f>
        <x:v>0</x:v>
      </x:c>
      <x:c r="D107" s="9" t="n">
        <x:v>9864</x:v>
      </x:c>
      <x:c r="E107" s="22" t="n">
        <x:f>C107/(D107/100)</x:f>
        <x:v>0</x:v>
      </x:c>
      <x:c r="F107" s="22" t="n">
        <x:v>52.24</x:v>
      </x:c>
      <x:c r="G107" s="9" t="n">
        <x:v>21964</x:v>
      </x:c>
      <x:c r="H107" s="2"/>
      <x:c r="I107" s="9"/>
      <x:c r="J107" s="9"/>
      <x:c r="K107" s="22"/>
      <x:c r="L107" s="2" t="str">
        <x:v>R_NBS_POP</x:v>
      </x:c>
      <x:c r="M107" s="2" t="str">
        <x:v>R_NBS_URBAN</x:v>
      </x:c>
      <x:c r="N107" s="2" t="str">
        <x:v>R_NBS_INCOME</x:v>
      </x:c>
      <x:c r="O107" s="2"/>
      <x:c r="P107" s="2" t="str">
        <x:v>未获取同口径省级连续面板；不以登记失业率替代调查失业率</x:v>
      </x:c>
      <x:c r="Q107" s="2" t="str">
        <x:v>未检出，不代表实际零发生</x:v>
      </x:c>
    </x:row>
    <x:row r="108" ht="38" customHeight="1">
      <x:c r="A108" s="2" t="str">
        <x:v>河南</x:v>
      </x:c>
      <x:c r="B108" s="9" t="n">
        <x:v>2019</x:v>
      </x:c>
      <x:c r="C108" s="9" t="n">
        <x:f>COUNTIFS('事件主表'!$D$2:$D$215,A108,'事件主表'!$BH$2:$BH$215,B108,'事件主表'!$F$2:$F$215,"core")</x:f>
        <x:v>0</x:v>
      </x:c>
      <x:c r="D108" s="9" t="n">
        <x:v>9901</x:v>
      </x:c>
      <x:c r="E108" s="22" t="n">
        <x:f>C108/(D108/100)</x:f>
        <x:v>0</x:v>
      </x:c>
      <x:c r="F108" s="22" t="n">
        <x:v>54.01</x:v>
      </x:c>
      <x:c r="G108" s="9" t="n">
        <x:v>23903</x:v>
      </x:c>
      <x:c r="H108" s="2"/>
      <x:c r="I108" s="9"/>
      <x:c r="J108" s="9"/>
      <x:c r="K108" s="22"/>
      <x:c r="L108" s="2" t="str">
        <x:v>R_NBS_POP</x:v>
      </x:c>
      <x:c r="M108" s="2" t="str">
        <x:v>R_NBS_URBAN</x:v>
      </x:c>
      <x:c r="N108" s="2" t="str">
        <x:v>R_NBS_INCOME</x:v>
      </x:c>
      <x:c r="O108" s="2"/>
      <x:c r="P108" s="2" t="str">
        <x:v>未获取同口径省级连续面板；不以登记失业率替代调查失业率</x:v>
      </x:c>
      <x:c r="Q108" s="2" t="str">
        <x:v>未检出，不代表实际零发生</x:v>
      </x:c>
    </x:row>
    <x:row r="109" ht="38" customHeight="1">
      <x:c r="A109" s="2" t="str">
        <x:v>河南</x:v>
      </x:c>
      <x:c r="B109" s="9" t="n">
        <x:v>2020</x:v>
      </x:c>
      <x:c r="C109" s="9" t="n">
        <x:f>COUNTIFS('事件主表'!$D$2:$D$215,A109,'事件主表'!$BH$2:$BH$215,B109,'事件主表'!$F$2:$F$215,"core")</x:f>
        <x:v>0</x:v>
      </x:c>
      <x:c r="D109" s="9" t="n">
        <x:v>9941</x:v>
      </x:c>
      <x:c r="E109" s="22" t="n">
        <x:f>C109/(D109/100)</x:f>
        <x:v>0</x:v>
      </x:c>
      <x:c r="F109" s="22" t="n">
        <x:v>55.43</x:v>
      </x:c>
      <x:c r="G109" s="9" t="n">
        <x:v>24810</x:v>
      </x:c>
      <x:c r="H109" s="2"/>
      <x:c r="I109" s="9"/>
      <x:c r="J109" s="9"/>
      <x:c r="K109" s="22"/>
      <x:c r="L109" s="2" t="str">
        <x:v>R_NBS_POP</x:v>
      </x:c>
      <x:c r="M109" s="2" t="str">
        <x:v>R_NBS_URBAN</x:v>
      </x:c>
      <x:c r="N109" s="2" t="str">
        <x:v>R_NBS_INCOME</x:v>
      </x:c>
      <x:c r="O109" s="2"/>
      <x:c r="P109" s="2" t="str">
        <x:v>未获取同口径省级连续面板；不以登记失业率替代调查失业率</x:v>
      </x:c>
      <x:c r="Q109" s="2" t="str">
        <x:v>未检出，不代表实际零发生</x:v>
      </x:c>
    </x:row>
    <x:row r="110" ht="38" customHeight="1">
      <x:c r="A110" s="2" t="str">
        <x:v>河南</x:v>
      </x:c>
      <x:c r="B110" s="9" t="n">
        <x:v>2021</x:v>
      </x:c>
      <x:c r="C110" s="9" t="n">
        <x:f>COUNTIFS('事件主表'!$D$2:$D$215,A110,'事件主表'!$BH$2:$BH$215,B110,'事件主表'!$F$2:$F$215,"core")</x:f>
        <x:v>1</x:v>
      </x:c>
      <x:c r="D110" s="9" t="n">
        <x:v>9883</x:v>
      </x:c>
      <x:c r="E110" s="22" t="n">
        <x:f>C110/(D110/100)</x:f>
        <x:v>0.010118385105737124</x:v>
      </x:c>
      <x:c r="F110" s="22" t="n">
        <x:v>56.45</x:v>
      </x:c>
      <x:c r="G110" s="9" t="n">
        <x:v>26811</x:v>
      </x:c>
      <x:c r="H110" s="2"/>
      <x:c r="I110" s="9"/>
      <x:c r="J110" s="9"/>
      <x:c r="K110" s="22"/>
      <x:c r="L110" s="2" t="str">
        <x:v>R_NBS_POP</x:v>
      </x:c>
      <x:c r="M110" s="2" t="str">
        <x:v>R_NBS_URBAN</x:v>
      </x:c>
      <x:c r="N110" s="2" t="str">
        <x:v>R_NBS_INCOME</x:v>
      </x:c>
      <x:c r="O110" s="2"/>
      <x:c r="P110" s="2" t="str">
        <x:v>未获取同口径省级连续面板；不以登记失业率替代调查失业率</x:v>
      </x:c>
      <x:c r="Q110" s="2" t="str">
        <x:v>公开核实记录</x:v>
      </x:c>
    </x:row>
    <x:row r="111" ht="38" customHeight="1">
      <x:c r="A111" s="2" t="str">
        <x:v>河南</x:v>
      </x:c>
      <x:c r="B111" s="9" t="n">
        <x:v>2022</x:v>
      </x:c>
      <x:c r="C111" s="9" t="n">
        <x:f>COUNTIFS('事件主表'!$D$2:$D$215,A111,'事件主表'!$BH$2:$BH$215,B111,'事件主表'!$F$2:$F$215,"core")</x:f>
        <x:v>0</x:v>
      </x:c>
      <x:c r="D111" s="9" t="n">
        <x:v>9872</x:v>
      </x:c>
      <x:c r="E111" s="22" t="n">
        <x:f>C111/(D111/100)</x:f>
        <x:v>0</x:v>
      </x:c>
      <x:c r="F111" s="22" t="n">
        <x:v>57.07</x:v>
      </x:c>
      <x:c r="G111" s="9" t="n">
        <x:v>28222</x:v>
      </x:c>
      <x:c r="H111" s="2"/>
      <x:c r="I111" s="9"/>
      <x:c r="J111" s="9"/>
      <x:c r="K111" s="22"/>
      <x:c r="L111" s="2" t="str">
        <x:v>R_NBS_POP</x:v>
      </x:c>
      <x:c r="M111" s="2" t="str">
        <x:v>R_NBS_URBAN</x:v>
      </x:c>
      <x:c r="N111" s="2" t="str">
        <x:v>R_NBS_INCOME</x:v>
      </x:c>
      <x:c r="O111" s="2"/>
      <x:c r="P111" s="2" t="str">
        <x:v>未获取同口径省级连续面板；不以登记失业率替代调查失业率</x:v>
      </x:c>
      <x:c r="Q111" s="2" t="str">
        <x:v>未检出，不代表实际零发生</x:v>
      </x:c>
    </x:row>
    <x:row r="112" ht="38" customHeight="1">
      <x:c r="A112" s="2" t="str">
        <x:v>河南</x:v>
      </x:c>
      <x:c r="B112" s="9" t="n">
        <x:v>2023</x:v>
      </x:c>
      <x:c r="C112" s="9" t="n">
        <x:f>COUNTIFS('事件主表'!$D$2:$D$215,A112,'事件主表'!$BH$2:$BH$215,B112,'事件主表'!$F$2:$F$215,"core")</x:f>
        <x:v>0</x:v>
      </x:c>
      <x:c r="D112" s="9" t="n">
        <x:v>9815</x:v>
      </x:c>
      <x:c r="E112" s="22" t="n">
        <x:f>C112/(D112/100)</x:f>
        <x:v>0</x:v>
      </x:c>
      <x:c r="F112" s="22" t="n">
        <x:v>58.08</x:v>
      </x:c>
      <x:c r="G112" s="9" t="n">
        <x:v>29933</x:v>
      </x:c>
      <x:c r="H112" s="2"/>
      <x:c r="I112" s="9"/>
      <x:c r="J112" s="9"/>
      <x:c r="K112" s="22"/>
      <x:c r="L112" s="2" t="str">
        <x:v>R_NBS_POP</x:v>
      </x:c>
      <x:c r="M112" s="2" t="str">
        <x:v>R_NBS_URBAN</x:v>
      </x:c>
      <x:c r="N112" s="2" t="str">
        <x:v>R_NBS_INCOME</x:v>
      </x:c>
      <x:c r="O112" s="2"/>
      <x:c r="P112" s="2" t="str">
        <x:v>未获取同口径省级连续面板；不以登记失业率替代调查失业率</x:v>
      </x:c>
      <x:c r="Q112" s="2" t="str">
        <x:v>未检出，不代表实际零发生</x:v>
      </x:c>
    </x:row>
    <x:row r="113" ht="38" customHeight="1">
      <x:c r="A113" s="2" t="str">
        <x:v>河南</x:v>
      </x:c>
      <x:c r="B113" s="9" t="n">
        <x:v>2024</x:v>
      </x:c>
      <x:c r="C113" s="9" t="n">
        <x:f>COUNTIFS('事件主表'!$D$2:$D$215,A113,'事件主表'!$BH$2:$BH$215,B113,'事件主表'!$F$2:$F$215,"core")</x:f>
        <x:v>0</x:v>
      </x:c>
      <x:c r="D113" s="9" t="n">
        <x:v>9785</x:v>
      </x:c>
      <x:c r="E113" s="22" t="n">
        <x:f>C113/(D113/100)</x:f>
        <x:v>0</x:v>
      </x:c>
      <x:c r="F113" s="22" t="n">
        <x:v>59.22</x:v>
      </x:c>
      <x:c r="G113" s="9" t="n">
        <x:v>31552</x:v>
      </x:c>
      <x:c r="H113" s="2"/>
      <x:c r="I113" s="9" t="n">
        <x:v>4800</x:v>
      </x:c>
      <x:c r="J113" s="9" t="n">
        <x:v>2197</x:v>
      </x:c>
      <x:c r="K113" s="22" t="n">
        <x:v>45.770833333333336</x:v>
      </x:c>
      <x:c r="L113" s="2" t="str">
        <x:v>R_NBS_POP</x:v>
      </x:c>
      <x:c r="M113" s="2" t="str">
        <x:v>R_NBS_URBAN</x:v>
      </x:c>
      <x:c r="N113" s="2" t="str">
        <x:v>R_NBS_INCOME</x:v>
      </x:c>
      <x:c r="O113" s="2" t="str">
        <x:v>R_NBS_EMPLOYMENT</x:v>
      </x:c>
      <x:c r="P113" s="2" t="str">
        <x:v>未获取同口径省级连续面板；不以登记失业率替代调查失业率</x:v>
      </x:c>
      <x:c r="Q113" s="2" t="str">
        <x:v>未检出，不代表实际零发生</x:v>
      </x:c>
    </x:row>
    <x:row r="114" ht="38" customHeight="1">
      <x:c r="A114" s="2" t="str">
        <x:v>湖北</x:v>
      </x:c>
      <x:c r="B114" s="9" t="n">
        <x:v>2018</x:v>
      </x:c>
      <x:c r="C114" s="9" t="n">
        <x:f>COUNTIFS('事件主表'!$D$2:$D$215,A114,'事件主表'!$BH$2:$BH$215,B114,'事件主表'!$F$2:$F$215,"core")</x:f>
        <x:v>0</x:v>
      </x:c>
      <x:c r="D114" s="9" t="n">
        <x:v>5917</x:v>
      </x:c>
      <x:c r="E114" s="22" t="n">
        <x:f>C114/(D114/100)</x:f>
        <x:v>0</x:v>
      </x:c>
      <x:c r="F114" s="22" t="n">
        <x:v>61</x:v>
      </x:c>
      <x:c r="G114" s="9" t="n">
        <x:v>25815</x:v>
      </x:c>
      <x:c r="H114" s="2"/>
      <x:c r="I114" s="9"/>
      <x:c r="J114" s="9"/>
      <x:c r="K114" s="22"/>
      <x:c r="L114" s="2" t="str">
        <x:v>R_NBS_POP</x:v>
      </x:c>
      <x:c r="M114" s="2" t="str">
        <x:v>R_NBS_URBAN</x:v>
      </x:c>
      <x:c r="N114" s="2" t="str">
        <x:v>R_NBS_INCOME</x:v>
      </x:c>
      <x:c r="O114" s="2"/>
      <x:c r="P114" s="2" t="str">
        <x:v>未获取同口径省级连续面板；不以登记失业率替代调查失业率</x:v>
      </x:c>
      <x:c r="Q114" s="2" t="str">
        <x:v>未检出，不代表实际零发生</x:v>
      </x:c>
    </x:row>
    <x:row r="115" ht="38" customHeight="1">
      <x:c r="A115" s="2" t="str">
        <x:v>湖北</x:v>
      </x:c>
      <x:c r="B115" s="9" t="n">
        <x:v>2019</x:v>
      </x:c>
      <x:c r="C115" s="9" t="n">
        <x:f>COUNTIFS('事件主表'!$D$2:$D$215,A115,'事件主表'!$BH$2:$BH$215,B115,'事件主表'!$F$2:$F$215,"core")</x:f>
        <x:v>1</x:v>
      </x:c>
      <x:c r="D115" s="9" t="n">
        <x:v>5927</x:v>
      </x:c>
      <x:c r="E115" s="22" t="n">
        <x:f>C115/(D115/100)</x:f>
        <x:v>0.016871941960519655</x:v>
      </x:c>
      <x:c r="F115" s="22" t="n">
        <x:v>61.83</x:v>
      </x:c>
      <x:c r="G115" s="9" t="n">
        <x:v>28319</x:v>
      </x:c>
      <x:c r="H115" s="2"/>
      <x:c r="I115" s="9"/>
      <x:c r="J115" s="9"/>
      <x:c r="K115" s="22"/>
      <x:c r="L115" s="2" t="str">
        <x:v>R_NBS_POP</x:v>
      </x:c>
      <x:c r="M115" s="2" t="str">
        <x:v>R_NBS_URBAN</x:v>
      </x:c>
      <x:c r="N115" s="2" t="str">
        <x:v>R_NBS_INCOME</x:v>
      </x:c>
      <x:c r="O115" s="2"/>
      <x:c r="P115" s="2" t="str">
        <x:v>未获取同口径省级连续面板；不以登记失业率替代调查失业率</x:v>
      </x:c>
      <x:c r="Q115" s="2" t="str">
        <x:v>公开核实记录</x:v>
      </x:c>
    </x:row>
    <x:row r="116" ht="38" customHeight="1">
      <x:c r="A116" s="2" t="str">
        <x:v>湖北</x:v>
      </x:c>
      <x:c r="B116" s="9" t="n">
        <x:v>2020</x:v>
      </x:c>
      <x:c r="C116" s="9" t="n">
        <x:f>COUNTIFS('事件主表'!$D$2:$D$215,A116,'事件主表'!$BH$2:$BH$215,B116,'事件主表'!$F$2:$F$215,"core")</x:f>
        <x:v>0</x:v>
      </x:c>
      <x:c r="D116" s="9" t="n">
        <x:v>5745</x:v>
      </x:c>
      <x:c r="E116" s="22" t="n">
        <x:f>C116/(D116/100)</x:f>
        <x:v>0</x:v>
      </x:c>
      <x:c r="F116" s="22" t="n">
        <x:v>62.89</x:v>
      </x:c>
      <x:c r="G116" s="9" t="n">
        <x:v>27881</x:v>
      </x:c>
      <x:c r="H116" s="2"/>
      <x:c r="I116" s="9"/>
      <x:c r="J116" s="9"/>
      <x:c r="K116" s="22"/>
      <x:c r="L116" s="2" t="str">
        <x:v>R_NBS_POP</x:v>
      </x:c>
      <x:c r="M116" s="2" t="str">
        <x:v>R_NBS_URBAN</x:v>
      </x:c>
      <x:c r="N116" s="2" t="str">
        <x:v>R_NBS_INCOME</x:v>
      </x:c>
      <x:c r="O116" s="2"/>
      <x:c r="P116" s="2" t="str">
        <x:v>未获取同口径省级连续面板；不以登记失业率替代调查失业率</x:v>
      </x:c>
      <x:c r="Q116" s="2" t="str">
        <x:v>未检出，不代表实际零发生</x:v>
      </x:c>
    </x:row>
    <x:row r="117" ht="38" customHeight="1">
      <x:c r="A117" s="2" t="str">
        <x:v>湖北</x:v>
      </x:c>
      <x:c r="B117" s="9" t="n">
        <x:v>2021</x:v>
      </x:c>
      <x:c r="C117" s="9" t="n">
        <x:f>COUNTIFS('事件主表'!$D$2:$D$215,A117,'事件主表'!$BH$2:$BH$215,B117,'事件主表'!$F$2:$F$215,"core")</x:f>
        <x:v>0</x:v>
      </x:c>
      <x:c r="D117" s="9" t="n">
        <x:v>5830</x:v>
      </x:c>
      <x:c r="E117" s="22" t="n">
        <x:f>C117/(D117/100)</x:f>
        <x:v>0</x:v>
      </x:c>
      <x:c r="F117" s="22" t="n">
        <x:v>64.09</x:v>
      </x:c>
      <x:c r="G117" s="9" t="n">
        <x:v>30829</x:v>
      </x:c>
      <x:c r="H117" s="2"/>
      <x:c r="I117" s="9"/>
      <x:c r="J117" s="9"/>
      <x:c r="K117" s="22"/>
      <x:c r="L117" s="2" t="str">
        <x:v>R_NBS_POP</x:v>
      </x:c>
      <x:c r="M117" s="2" t="str">
        <x:v>R_NBS_URBAN</x:v>
      </x:c>
      <x:c r="N117" s="2" t="str">
        <x:v>R_NBS_INCOME</x:v>
      </x:c>
      <x:c r="O117" s="2"/>
      <x:c r="P117" s="2" t="str">
        <x:v>未获取同口径省级连续面板；不以登记失业率替代调查失业率</x:v>
      </x:c>
      <x:c r="Q117" s="2" t="str">
        <x:v>未检出，不代表实际零发生</x:v>
      </x:c>
    </x:row>
    <x:row r="118" ht="38" customHeight="1">
      <x:c r="A118" s="2" t="str">
        <x:v>湖北</x:v>
      </x:c>
      <x:c r="B118" s="9" t="n">
        <x:v>2022</x:v>
      </x:c>
      <x:c r="C118" s="9" t="n">
        <x:f>COUNTIFS('事件主表'!$D$2:$D$215,A118,'事件主表'!$BH$2:$BH$215,B118,'事件主表'!$F$2:$F$215,"core")</x:f>
        <x:v>0</x:v>
      </x:c>
      <x:c r="D118" s="9" t="n">
        <x:v>5844</x:v>
      </x:c>
      <x:c r="E118" s="22" t="n">
        <x:f>C118/(D118/100)</x:f>
        <x:v>0</x:v>
      </x:c>
      <x:c r="F118" s="22" t="n">
        <x:v>64.67</x:v>
      </x:c>
      <x:c r="G118" s="9" t="n">
        <x:v>32914</x:v>
      </x:c>
      <x:c r="H118" s="2"/>
      <x:c r="I118" s="9"/>
      <x:c r="J118" s="9"/>
      <x:c r="K118" s="22"/>
      <x:c r="L118" s="2" t="str">
        <x:v>R_NBS_POP</x:v>
      </x:c>
      <x:c r="M118" s="2" t="str">
        <x:v>R_NBS_URBAN</x:v>
      </x:c>
      <x:c r="N118" s="2" t="str">
        <x:v>R_NBS_INCOME</x:v>
      </x:c>
      <x:c r="O118" s="2"/>
      <x:c r="P118" s="2" t="str">
        <x:v>未获取同口径省级连续面板；不以登记失业率替代调查失业率</x:v>
      </x:c>
      <x:c r="Q118" s="2" t="str">
        <x:v>未检出，不代表实际零发生</x:v>
      </x:c>
    </x:row>
    <x:row r="119" ht="38" customHeight="1">
      <x:c r="A119" s="2" t="str">
        <x:v>湖北</x:v>
      </x:c>
      <x:c r="B119" s="9" t="n">
        <x:v>2023</x:v>
      </x:c>
      <x:c r="C119" s="9" t="n">
        <x:f>COUNTIFS('事件主表'!$D$2:$D$215,A119,'事件主表'!$BH$2:$BH$215,B119,'事件主表'!$F$2:$F$215,"core")</x:f>
        <x:v>0</x:v>
      </x:c>
      <x:c r="D119" s="9" t="n">
        <x:v>5838</x:v>
      </x:c>
      <x:c r="E119" s="22" t="n">
        <x:f>C119/(D119/100)</x:f>
        <x:v>0</x:v>
      </x:c>
      <x:c r="F119" s="22" t="n">
        <x:v>65.47</x:v>
      </x:c>
      <x:c r="G119" s="9" t="n">
        <x:v>35146</x:v>
      </x:c>
      <x:c r="H119" s="2"/>
      <x:c r="I119" s="9"/>
      <x:c r="J119" s="9"/>
      <x:c r="K119" s="22"/>
      <x:c r="L119" s="2" t="str">
        <x:v>R_NBS_POP</x:v>
      </x:c>
      <x:c r="M119" s="2" t="str">
        <x:v>R_NBS_URBAN</x:v>
      </x:c>
      <x:c r="N119" s="2" t="str">
        <x:v>R_NBS_INCOME</x:v>
      </x:c>
      <x:c r="O119" s="2"/>
      <x:c r="P119" s="2" t="str">
        <x:v>未获取同口径省级连续面板；不以登记失业率替代调查失业率</x:v>
      </x:c>
      <x:c r="Q119" s="2" t="str">
        <x:v>未检出，不代表实际零发生</x:v>
      </x:c>
    </x:row>
    <x:row r="120" ht="38" customHeight="1">
      <x:c r="A120" s="2" t="str">
        <x:v>湖北</x:v>
      </x:c>
      <x:c r="B120" s="9" t="n">
        <x:v>2024</x:v>
      </x:c>
      <x:c r="C120" s="9" t="n">
        <x:f>COUNTIFS('事件主表'!$D$2:$D$215,A120,'事件主表'!$BH$2:$BH$215,B120,'事件主表'!$F$2:$F$215,"core")</x:f>
        <x:v>0</x:v>
      </x:c>
      <x:c r="D120" s="9" t="n">
        <x:v>5834</x:v>
      </x:c>
      <x:c r="E120" s="22" t="n">
        <x:f>C120/(D120/100)</x:f>
        <x:v>0</x:v>
      </x:c>
      <x:c r="F120" s="22" t="n">
        <x:v>66.35</x:v>
      </x:c>
      <x:c r="G120" s="9" t="n">
        <x:v>36947</x:v>
      </x:c>
      <x:c r="H120" s="2"/>
      <x:c r="I120" s="9" t="n">
        <x:v>3211</x:v>
      </x:c>
      <x:c r="J120" s="9" t="n">
        <x:v>1512</x:v>
      </x:c>
      <x:c r="K120" s="22" t="n">
        <x:v>47.08813453752725</x:v>
      </x:c>
      <x:c r="L120" s="2" t="str">
        <x:v>R_NBS_POP</x:v>
      </x:c>
      <x:c r="M120" s="2" t="str">
        <x:v>R_NBS_URBAN</x:v>
      </x:c>
      <x:c r="N120" s="2" t="str">
        <x:v>R_NBS_INCOME</x:v>
      </x:c>
      <x:c r="O120" s="2" t="str">
        <x:v>R_NBS_EMPLOYMENT</x:v>
      </x:c>
      <x:c r="P120" s="2" t="str">
        <x:v>未获取同口径省级连续面板；不以登记失业率替代调查失业率</x:v>
      </x:c>
      <x:c r="Q120" s="2" t="str">
        <x:v>未检出，不代表实际零发生</x:v>
      </x:c>
    </x:row>
    <x:row r="121" ht="38" customHeight="1">
      <x:c r="A121" s="2" t="str">
        <x:v>湖南</x:v>
      </x:c>
      <x:c r="B121" s="9" t="n">
        <x:v>2018</x:v>
      </x:c>
      <x:c r="C121" s="9" t="n">
        <x:f>COUNTIFS('事件主表'!$D$2:$D$215,A121,'事件主表'!$BH$2:$BH$215,B121,'事件主表'!$F$2:$F$215,"core")</x:f>
        <x:v>1</x:v>
      </x:c>
      <x:c r="D121" s="9" t="n">
        <x:v>6635</x:v>
      </x:c>
      <x:c r="E121" s="22" t="n">
        <x:f>C121/(D121/100)</x:f>
        <x:v>0.015071590052750567</x:v>
      </x:c>
      <x:c r="F121" s="22" t="n">
        <x:v>56.09</x:v>
      </x:c>
      <x:c r="G121" s="9" t="n">
        <x:v>25241</x:v>
      </x:c>
      <x:c r="H121" s="2"/>
      <x:c r="I121" s="9"/>
      <x:c r="J121" s="9"/>
      <x:c r="K121" s="22"/>
      <x:c r="L121" s="2" t="str">
        <x:v>R_NBS_POP</x:v>
      </x:c>
      <x:c r="M121" s="2" t="str">
        <x:v>R_NBS_URBAN</x:v>
      </x:c>
      <x:c r="N121" s="2" t="str">
        <x:v>R_NBS_INCOME</x:v>
      </x:c>
      <x:c r="O121" s="2"/>
      <x:c r="P121" s="2" t="str">
        <x:v>未获取同口径省级连续面板；不以登记失业率替代调查失业率</x:v>
      </x:c>
      <x:c r="Q121" s="2" t="str">
        <x:v>公开核实记录</x:v>
      </x:c>
    </x:row>
    <x:row r="122" ht="38" customHeight="1">
      <x:c r="A122" s="2" t="str">
        <x:v>湖南</x:v>
      </x:c>
      <x:c r="B122" s="9" t="n">
        <x:v>2019</x:v>
      </x:c>
      <x:c r="C122" s="9" t="n">
        <x:f>COUNTIFS('事件主表'!$D$2:$D$215,A122,'事件主表'!$BH$2:$BH$215,B122,'事件主表'!$F$2:$F$215,"core")</x:f>
        <x:v>1</x:v>
      </x:c>
      <x:c r="D122" s="9" t="n">
        <x:v>6640</x:v>
      </x:c>
      <x:c r="E122" s="22" t="n">
        <x:f>C122/(D122/100)</x:f>
        <x:v>0.01506024096385542</x:v>
      </x:c>
      <x:c r="F122" s="22" t="n">
        <x:v>57.45</x:v>
      </x:c>
      <x:c r="G122" s="9" t="n">
        <x:v>27680</x:v>
      </x:c>
      <x:c r="H122" s="2"/>
      <x:c r="I122" s="9"/>
      <x:c r="J122" s="9"/>
      <x:c r="K122" s="22"/>
      <x:c r="L122" s="2" t="str">
        <x:v>R_NBS_POP</x:v>
      </x:c>
      <x:c r="M122" s="2" t="str">
        <x:v>R_NBS_URBAN</x:v>
      </x:c>
      <x:c r="N122" s="2" t="str">
        <x:v>R_NBS_INCOME</x:v>
      </x:c>
      <x:c r="O122" s="2"/>
      <x:c r="P122" s="2" t="str">
        <x:v>未获取同口径省级连续面板；不以登记失业率替代调查失业率</x:v>
      </x:c>
      <x:c r="Q122" s="2" t="str">
        <x:v>公开核实记录</x:v>
      </x:c>
    </x:row>
    <x:row r="123" ht="38" customHeight="1">
      <x:c r="A123" s="2" t="str">
        <x:v>湖南</x:v>
      </x:c>
      <x:c r="B123" s="9" t="n">
        <x:v>2020</x:v>
      </x:c>
      <x:c r="C123" s="9" t="n">
        <x:f>COUNTIFS('事件主表'!$D$2:$D$215,A123,'事件主表'!$BH$2:$BH$215,B123,'事件主表'!$F$2:$F$215,"core")</x:f>
        <x:v>1</x:v>
      </x:c>
      <x:c r="D123" s="9" t="n">
        <x:v>6645</x:v>
      </x:c>
      <x:c r="E123" s="22" t="n">
        <x:f>C123/(D123/100)</x:f>
        <x:v>0.015048908954100828</x:v>
      </x:c>
      <x:c r="F123" s="22" t="n">
        <x:v>58.76</x:v>
      </x:c>
      <x:c r="G123" s="9" t="n">
        <x:v>29380</x:v>
      </x:c>
      <x:c r="H123" s="2"/>
      <x:c r="I123" s="9"/>
      <x:c r="J123" s="9"/>
      <x:c r="K123" s="22"/>
      <x:c r="L123" s="2" t="str">
        <x:v>R_NBS_POP</x:v>
      </x:c>
      <x:c r="M123" s="2" t="str">
        <x:v>R_NBS_URBAN</x:v>
      </x:c>
      <x:c r="N123" s="2" t="str">
        <x:v>R_NBS_INCOME</x:v>
      </x:c>
      <x:c r="O123" s="2"/>
      <x:c r="P123" s="2" t="str">
        <x:v>未获取同口径省级连续面板；不以登记失业率替代调查失业率</x:v>
      </x:c>
      <x:c r="Q123" s="2" t="str">
        <x:v>公开核实记录</x:v>
      </x:c>
    </x:row>
    <x:row r="124" ht="38" customHeight="1">
      <x:c r="A124" s="2" t="str">
        <x:v>湖南</x:v>
      </x:c>
      <x:c r="B124" s="9" t="n">
        <x:v>2021</x:v>
      </x:c>
      <x:c r="C124" s="9" t="n">
        <x:f>COUNTIFS('事件主表'!$D$2:$D$215,A124,'事件主表'!$BH$2:$BH$215,B124,'事件主表'!$F$2:$F$215,"core")</x:f>
        <x:v>0</x:v>
      </x:c>
      <x:c r="D124" s="9" t="n">
        <x:v>6622</x:v>
      </x:c>
      <x:c r="E124" s="22" t="n">
        <x:f>C124/(D124/100)</x:f>
        <x:v>0</x:v>
      </x:c>
      <x:c r="F124" s="22" t="n">
        <x:v>59.71</x:v>
      </x:c>
      <x:c r="G124" s="9" t="n">
        <x:v>31993</x:v>
      </x:c>
      <x:c r="H124" s="2"/>
      <x:c r="I124" s="9"/>
      <x:c r="J124" s="9"/>
      <x:c r="K124" s="22"/>
      <x:c r="L124" s="2" t="str">
        <x:v>R_NBS_POP</x:v>
      </x:c>
      <x:c r="M124" s="2" t="str">
        <x:v>R_NBS_URBAN</x:v>
      </x:c>
      <x:c r="N124" s="2" t="str">
        <x:v>R_NBS_INCOME</x:v>
      </x:c>
      <x:c r="O124" s="2"/>
      <x:c r="P124" s="2" t="str">
        <x:v>未获取同口径省级连续面板；不以登记失业率替代调查失业率</x:v>
      </x:c>
      <x:c r="Q124" s="2" t="str">
        <x:v>未检出，不代表实际零发生</x:v>
      </x:c>
    </x:row>
    <x:row r="125" ht="38" customHeight="1">
      <x:c r="A125" s="2" t="str">
        <x:v>湖南</x:v>
      </x:c>
      <x:c r="B125" s="9" t="n">
        <x:v>2022</x:v>
      </x:c>
      <x:c r="C125" s="9" t="n">
        <x:f>COUNTIFS('事件主表'!$D$2:$D$215,A125,'事件主表'!$BH$2:$BH$215,B125,'事件主表'!$F$2:$F$215,"core")</x:f>
        <x:v>0</x:v>
      </x:c>
      <x:c r="D125" s="9" t="n">
        <x:v>6604</x:v>
      </x:c>
      <x:c r="E125" s="22" t="n">
        <x:f>C125/(D125/100)</x:f>
        <x:v>0</x:v>
      </x:c>
      <x:c r="F125" s="22" t="n">
        <x:v>60.31</x:v>
      </x:c>
      <x:c r="G125" s="9" t="n">
        <x:v>34036</x:v>
      </x:c>
      <x:c r="H125" s="2"/>
      <x:c r="I125" s="9"/>
      <x:c r="J125" s="9"/>
      <x:c r="K125" s="22"/>
      <x:c r="L125" s="2" t="str">
        <x:v>R_NBS_POP</x:v>
      </x:c>
      <x:c r="M125" s="2" t="str">
        <x:v>R_NBS_URBAN</x:v>
      </x:c>
      <x:c r="N125" s="2" t="str">
        <x:v>R_NBS_INCOME</x:v>
      </x:c>
      <x:c r="O125" s="2"/>
      <x:c r="P125" s="2" t="str">
        <x:v>未获取同口径省级连续面板；不以登记失业率替代调查失业率</x:v>
      </x:c>
      <x:c r="Q125" s="2" t="str">
        <x:v>未检出，不代表实际零发生</x:v>
      </x:c>
    </x:row>
    <x:row r="126" ht="38" customHeight="1">
      <x:c r="A126" s="2" t="str">
        <x:v>湖南</x:v>
      </x:c>
      <x:c r="B126" s="9" t="n">
        <x:v>2023</x:v>
      </x:c>
      <x:c r="C126" s="9" t="n">
        <x:f>COUNTIFS('事件主表'!$D$2:$D$215,A126,'事件主表'!$BH$2:$BH$215,B126,'事件主表'!$F$2:$F$215,"core")</x:f>
        <x:v>0</x:v>
      </x:c>
      <x:c r="D126" s="9" t="n">
        <x:v>6568</x:v>
      </x:c>
      <x:c r="E126" s="22" t="n">
        <x:f>C126/(D126/100)</x:f>
        <x:v>0</x:v>
      </x:c>
      <x:c r="F126" s="22" t="n">
        <x:v>61.16</x:v>
      </x:c>
      <x:c r="G126" s="9" t="n">
        <x:v>35895</x:v>
      </x:c>
      <x:c r="H126" s="2"/>
      <x:c r="I126" s="9"/>
      <x:c r="J126" s="9"/>
      <x:c r="K126" s="22"/>
      <x:c r="L126" s="2" t="str">
        <x:v>R_NBS_POP</x:v>
      </x:c>
      <x:c r="M126" s="2" t="str">
        <x:v>R_NBS_URBAN</x:v>
      </x:c>
      <x:c r="N126" s="2" t="str">
        <x:v>R_NBS_INCOME</x:v>
      </x:c>
      <x:c r="O126" s="2"/>
      <x:c r="P126" s="2" t="str">
        <x:v>未获取同口径省级连续面板；不以登记失业率替代调查失业率</x:v>
      </x:c>
      <x:c r="Q126" s="2" t="str">
        <x:v>未检出，不代表实际零发生</x:v>
      </x:c>
    </x:row>
    <x:row r="127" ht="38" customHeight="1">
      <x:c r="A127" s="2" t="str">
        <x:v>湖南</x:v>
      </x:c>
      <x:c r="B127" s="9" t="n">
        <x:v>2024</x:v>
      </x:c>
      <x:c r="C127" s="9" t="n">
        <x:f>COUNTIFS('事件主表'!$D$2:$D$215,A127,'事件主表'!$BH$2:$BH$215,B127,'事件主表'!$F$2:$F$215,"core")</x:f>
        <x:v>1</x:v>
      </x:c>
      <x:c r="D127" s="9" t="n">
        <x:v>6539</x:v>
      </x:c>
      <x:c r="E127" s="22" t="n">
        <x:f>C127/(D127/100)</x:f>
        <x:v>0.01529285823520416</x:v>
      </x:c>
      <x:c r="F127" s="22" t="n">
        <x:v>62.07</x:v>
      </x:c>
      <x:c r="G127" s="9" t="n">
        <x:v>37679</x:v>
      </x:c>
      <x:c r="H127" s="2"/>
      <x:c r="I127" s="9" t="n">
        <x:v>3198</x:v>
      </x:c>
      <x:c r="J127" s="9" t="n">
        <x:v>1594</x:v>
      </x:c>
      <x:c r="K127" s="22" t="n">
        <x:v>49.84365228267667</x:v>
      </x:c>
      <x:c r="L127" s="2" t="str">
        <x:v>R_NBS_POP</x:v>
      </x:c>
      <x:c r="M127" s="2" t="str">
        <x:v>R_NBS_URBAN</x:v>
      </x:c>
      <x:c r="N127" s="2" t="str">
        <x:v>R_NBS_INCOME</x:v>
      </x:c>
      <x:c r="O127" s="2" t="str">
        <x:v>R_NBS_EMPLOYMENT</x:v>
      </x:c>
      <x:c r="P127" s="2" t="str">
        <x:v>未获取同口径省级连续面板；不以登记失业率替代调查失业率</x:v>
      </x:c>
      <x:c r="Q127" s="2" t="str">
        <x:v>公开核实记录</x:v>
      </x:c>
    </x:row>
    <x:row r="128" ht="38" customHeight="1">
      <x:c r="A128" s="2" t="str">
        <x:v>广东</x:v>
      </x:c>
      <x:c r="B128" s="9" t="n">
        <x:v>2018</x:v>
      </x:c>
      <x:c r="C128" s="9" t="n">
        <x:f>COUNTIFS('事件主表'!$D$2:$D$215,A128,'事件主表'!$BH$2:$BH$215,B128,'事件主表'!$F$2:$F$215,"core")</x:f>
        <x:v>0</x:v>
      </x:c>
      <x:c r="D128" s="9" t="n">
        <x:v>12348</x:v>
      </x:c>
      <x:c r="E128" s="22" t="n">
        <x:f>C128/(D128/100)</x:f>
        <x:v>0</x:v>
      </x:c>
      <x:c r="F128" s="22" t="n">
        <x:v>71.81</x:v>
      </x:c>
      <x:c r="G128" s="9" t="n">
        <x:v>35810</x:v>
      </x:c>
      <x:c r="H128" s="2"/>
      <x:c r="I128" s="9"/>
      <x:c r="J128" s="9"/>
      <x:c r="K128" s="22"/>
      <x:c r="L128" s="2" t="str">
        <x:v>R_NBS_POP</x:v>
      </x:c>
      <x:c r="M128" s="2" t="str">
        <x:v>R_NBS_URBAN</x:v>
      </x:c>
      <x:c r="N128" s="2" t="str">
        <x:v>R_NBS_INCOME</x:v>
      </x:c>
      <x:c r="O128" s="2"/>
      <x:c r="P128" s="2" t="str">
        <x:v>未获取同口径省级连续面板；不以登记失业率替代调查失业率</x:v>
      </x:c>
      <x:c r="Q128" s="2" t="str">
        <x:v>未检出，不代表实际零发生</x:v>
      </x:c>
    </x:row>
    <x:row r="129" ht="38" customHeight="1">
      <x:c r="A129" s="2" t="str">
        <x:v>广东</x:v>
      </x:c>
      <x:c r="B129" s="9" t="n">
        <x:v>2019</x:v>
      </x:c>
      <x:c r="C129" s="9" t="n">
        <x:f>COUNTIFS('事件主表'!$D$2:$D$215,A129,'事件主表'!$BH$2:$BH$215,B129,'事件主表'!$F$2:$F$215,"core")</x:f>
        <x:v>0</x:v>
      </x:c>
      <x:c r="D129" s="9" t="n">
        <x:v>12489</x:v>
      </x:c>
      <x:c r="E129" s="22" t="n">
        <x:f>C129/(D129/100)</x:f>
        <x:v>0</x:v>
      </x:c>
      <x:c r="F129" s="22" t="n">
        <x:v>72.65</x:v>
      </x:c>
      <x:c r="G129" s="9" t="n">
        <x:v>39014</x:v>
      </x:c>
      <x:c r="H129" s="2"/>
      <x:c r="I129" s="9"/>
      <x:c r="J129" s="9"/>
      <x:c r="K129" s="22"/>
      <x:c r="L129" s="2" t="str">
        <x:v>R_NBS_POP</x:v>
      </x:c>
      <x:c r="M129" s="2" t="str">
        <x:v>R_NBS_URBAN</x:v>
      </x:c>
      <x:c r="N129" s="2" t="str">
        <x:v>R_NBS_INCOME</x:v>
      </x:c>
      <x:c r="O129" s="2"/>
      <x:c r="P129" s="2" t="str">
        <x:v>未获取同口径省级连续面板；不以登记失业率替代调查失业率</x:v>
      </x:c>
      <x:c r="Q129" s="2" t="str">
        <x:v>未检出，不代表实际零发生</x:v>
      </x:c>
    </x:row>
    <x:row r="130" ht="38" customHeight="1">
      <x:c r="A130" s="2" t="str">
        <x:v>广东</x:v>
      </x:c>
      <x:c r="B130" s="9" t="n">
        <x:v>2020</x:v>
      </x:c>
      <x:c r="C130" s="9" t="n">
        <x:f>COUNTIFS('事件主表'!$D$2:$D$215,A130,'事件主表'!$BH$2:$BH$215,B130,'事件主表'!$F$2:$F$215,"core")</x:f>
        <x:v>0</x:v>
      </x:c>
      <x:c r="D130" s="9" t="n">
        <x:v>12624</x:v>
      </x:c>
      <x:c r="E130" s="22" t="n">
        <x:f>C130/(D130/100)</x:f>
        <x:v>0</x:v>
      </x:c>
      <x:c r="F130" s="22" t="n">
        <x:v>74.15</x:v>
      </x:c>
      <x:c r="G130" s="9" t="n">
        <x:v>41029</x:v>
      </x:c>
      <x:c r="H130" s="2"/>
      <x:c r="I130" s="9"/>
      <x:c r="J130" s="9"/>
      <x:c r="K130" s="22"/>
      <x:c r="L130" s="2" t="str">
        <x:v>R_NBS_POP</x:v>
      </x:c>
      <x:c r="M130" s="2" t="str">
        <x:v>R_NBS_URBAN</x:v>
      </x:c>
      <x:c r="N130" s="2" t="str">
        <x:v>R_NBS_INCOME</x:v>
      </x:c>
      <x:c r="O130" s="2"/>
      <x:c r="P130" s="2" t="str">
        <x:v>未获取同口径省级连续面板；不以登记失业率替代调查失业率</x:v>
      </x:c>
      <x:c r="Q130" s="2" t="str">
        <x:v>未检出，不代表实际零发生</x:v>
      </x:c>
    </x:row>
    <x:row r="131" ht="38" customHeight="1">
      <x:c r="A131" s="2" t="str">
        <x:v>广东</x:v>
      </x:c>
      <x:c r="B131" s="9" t="n">
        <x:v>2021</x:v>
      </x:c>
      <x:c r="C131" s="9" t="n">
        <x:f>COUNTIFS('事件主表'!$D$2:$D$215,A131,'事件主表'!$BH$2:$BH$215,B131,'事件主表'!$F$2:$F$215,"core")</x:f>
        <x:v>0</x:v>
      </x:c>
      <x:c r="D131" s="9" t="n">
        <x:v>12684</x:v>
      </x:c>
      <x:c r="E131" s="22" t="n">
        <x:f>C131/(D131/100)</x:f>
        <x:v>0</x:v>
      </x:c>
      <x:c r="F131" s="22" t="n">
        <x:v>74.63</x:v>
      </x:c>
      <x:c r="G131" s="9" t="n">
        <x:v>44993</x:v>
      </x:c>
      <x:c r="H131" s="2"/>
      <x:c r="I131" s="9"/>
      <x:c r="J131" s="9"/>
      <x:c r="K131" s="22"/>
      <x:c r="L131" s="2" t="str">
        <x:v>R_NBS_POP</x:v>
      </x:c>
      <x:c r="M131" s="2" t="str">
        <x:v>R_NBS_URBAN</x:v>
      </x:c>
      <x:c r="N131" s="2" t="str">
        <x:v>R_NBS_INCOME</x:v>
      </x:c>
      <x:c r="O131" s="2"/>
      <x:c r="P131" s="2" t="str">
        <x:v>未获取同口径省级连续面板；不以登记失业率替代调查失业率</x:v>
      </x:c>
      <x:c r="Q131" s="2" t="str">
        <x:v>未检出，不代表实际零发生</x:v>
      </x:c>
    </x:row>
    <x:row r="132" ht="38" customHeight="1">
      <x:c r="A132" s="2" t="str">
        <x:v>广东</x:v>
      </x:c>
      <x:c r="B132" s="9" t="n">
        <x:v>2022</x:v>
      </x:c>
      <x:c r="C132" s="9" t="n">
        <x:f>COUNTIFS('事件主表'!$D$2:$D$215,A132,'事件主表'!$BH$2:$BH$215,B132,'事件主表'!$F$2:$F$215,"core")</x:f>
        <x:v>0</x:v>
      </x:c>
      <x:c r="D132" s="9" t="n">
        <x:v>12657</x:v>
      </x:c>
      <x:c r="E132" s="22" t="n">
        <x:f>C132/(D132/100)</x:f>
        <x:v>0</x:v>
      </x:c>
      <x:c r="F132" s="22" t="n">
        <x:v>74.79</x:v>
      </x:c>
      <x:c r="G132" s="9" t="n">
        <x:v>47065</x:v>
      </x:c>
      <x:c r="H132" s="2"/>
      <x:c r="I132" s="9"/>
      <x:c r="J132" s="9"/>
      <x:c r="K132" s="22"/>
      <x:c r="L132" s="2" t="str">
        <x:v>R_NBS_POP</x:v>
      </x:c>
      <x:c r="M132" s="2" t="str">
        <x:v>R_NBS_URBAN</x:v>
      </x:c>
      <x:c r="N132" s="2" t="str">
        <x:v>R_NBS_INCOME</x:v>
      </x:c>
      <x:c r="O132" s="2"/>
      <x:c r="P132" s="2" t="str">
        <x:v>未获取同口径省级连续面板；不以登记失业率替代调查失业率</x:v>
      </x:c>
      <x:c r="Q132" s="2" t="str">
        <x:v>未检出，不代表实际零发生</x:v>
      </x:c>
    </x:row>
    <x:row r="133" ht="38" customHeight="1">
      <x:c r="A133" s="2" t="str">
        <x:v>广东</x:v>
      </x:c>
      <x:c r="B133" s="9" t="n">
        <x:v>2023</x:v>
      </x:c>
      <x:c r="C133" s="9" t="n">
        <x:f>COUNTIFS('事件主表'!$D$2:$D$215,A133,'事件主表'!$BH$2:$BH$215,B133,'事件主表'!$F$2:$F$215,"core")</x:f>
        <x:v>1</x:v>
      </x:c>
      <x:c r="D133" s="9" t="n">
        <x:v>12706</x:v>
      </x:c>
      <x:c r="E133" s="22" t="n">
        <x:f>C133/(D133/100)</x:f>
        <x:v>0.007870297497245396</x:v>
      </x:c>
      <x:c r="F133" s="22" t="n">
        <x:v>75.42</x:v>
      </x:c>
      <x:c r="G133" s="9" t="n">
        <x:v>49327</x:v>
      </x:c>
      <x:c r="H133" s="2"/>
      <x:c r="I133" s="9"/>
      <x:c r="J133" s="9"/>
      <x:c r="K133" s="22"/>
      <x:c r="L133" s="2" t="str">
        <x:v>R_NBS_POP</x:v>
      </x:c>
      <x:c r="M133" s="2" t="str">
        <x:v>R_NBS_URBAN</x:v>
      </x:c>
      <x:c r="N133" s="2" t="str">
        <x:v>R_NBS_INCOME</x:v>
      </x:c>
      <x:c r="O133" s="2"/>
      <x:c r="P133" s="2" t="str">
        <x:v>未获取同口径省级连续面板；不以登记失业率替代调查失业率</x:v>
      </x:c>
      <x:c r="Q133" s="2" t="str">
        <x:v>公开核实记录</x:v>
      </x:c>
    </x:row>
    <x:row r="134" ht="38" customHeight="1">
      <x:c r="A134" s="2" t="str">
        <x:v>广东</x:v>
      </x:c>
      <x:c r="B134" s="9" t="n">
        <x:v>2024</x:v>
      </x:c>
      <x:c r="C134" s="9" t="n">
        <x:f>COUNTIFS('事件主表'!$D$2:$D$215,A134,'事件主表'!$BH$2:$BH$215,B134,'事件主表'!$F$2:$F$215,"core")</x:f>
        <x:v>3</x:v>
      </x:c>
      <x:c r="D134" s="9" t="n">
        <x:v>12780</x:v>
      </x:c>
      <x:c r="E134" s="22" t="n">
        <x:f>C134/(D134/100)</x:f>
        <x:v>0.023474178403755867</x:v>
      </x:c>
      <x:c r="F134" s="22" t="n">
        <x:v>75.91</x:v>
      </x:c>
      <x:c r="G134" s="9" t="n">
        <x:v>51474</x:v>
      </x:c>
      <x:c r="H134" s="2"/>
      <x:c r="I134" s="9" t="n">
        <x:v>7061</x:v>
      </x:c>
      <x:c r="J134" s="9" t="n">
        <x:v>3816</x:v>
      </x:c>
      <x:c r="K134" s="22" t="n">
        <x:v>54.04333663786999</x:v>
      </x:c>
      <x:c r="L134" s="2" t="str">
        <x:v>R_NBS_POP</x:v>
      </x:c>
      <x:c r="M134" s="2" t="str">
        <x:v>R_NBS_URBAN</x:v>
      </x:c>
      <x:c r="N134" s="2" t="str">
        <x:v>R_NBS_INCOME</x:v>
      </x:c>
      <x:c r="O134" s="2" t="str">
        <x:v>R_NBS_EMPLOYMENT</x:v>
      </x:c>
      <x:c r="P134" s="2" t="str">
        <x:v>未获取同口径省级连续面板；不以登记失业率替代调查失业率</x:v>
      </x:c>
      <x:c r="Q134" s="2" t="str">
        <x:v>公开核实记录</x:v>
      </x:c>
    </x:row>
    <x:row r="135" ht="38" customHeight="1">
      <x:c r="A135" s="2" t="str">
        <x:v>广西</x:v>
      </x:c>
      <x:c r="B135" s="9" t="n">
        <x:v>2018</x:v>
      </x:c>
      <x:c r="C135" s="9" t="n">
        <x:f>COUNTIFS('事件主表'!$D$2:$D$215,A135,'事件主表'!$BH$2:$BH$215,B135,'事件主表'!$F$2:$F$215,"core")</x:f>
        <x:v>0</x:v>
      </x:c>
      <x:c r="D135" s="9" t="n">
        <x:v>4947</x:v>
      </x:c>
      <x:c r="E135" s="22" t="n">
        <x:f>C135/(D135/100)</x:f>
        <x:v>0</x:v>
      </x:c>
      <x:c r="F135" s="22" t="n">
        <x:v>51.82</x:v>
      </x:c>
      <x:c r="G135" s="9" t="n">
        <x:v>21485</x:v>
      </x:c>
      <x:c r="H135" s="2"/>
      <x:c r="I135" s="9"/>
      <x:c r="J135" s="9"/>
      <x:c r="K135" s="22"/>
      <x:c r="L135" s="2" t="str">
        <x:v>R_NBS_POP</x:v>
      </x:c>
      <x:c r="M135" s="2" t="str">
        <x:v>R_NBS_URBAN</x:v>
      </x:c>
      <x:c r="N135" s="2" t="str">
        <x:v>R_NBS_INCOME</x:v>
      </x:c>
      <x:c r="O135" s="2"/>
      <x:c r="P135" s="2" t="str">
        <x:v>未获取同口径省级连续面板；不以登记失业率替代调查失业率</x:v>
      </x:c>
      <x:c r="Q135" s="2" t="str">
        <x:v>未检出，不代表实际零发生</x:v>
      </x:c>
    </x:row>
    <x:row r="136" ht="38" customHeight="1">
      <x:c r="A136" s="2" t="str">
        <x:v>广西</x:v>
      </x:c>
      <x:c r="B136" s="9" t="n">
        <x:v>2019</x:v>
      </x:c>
      <x:c r="C136" s="9" t="n">
        <x:f>COUNTIFS('事件主表'!$D$2:$D$215,A136,'事件主表'!$BH$2:$BH$215,B136,'事件主表'!$F$2:$F$215,"core")</x:f>
        <x:v>0</x:v>
      </x:c>
      <x:c r="D136" s="9" t="n">
        <x:v>4982</x:v>
      </x:c>
      <x:c r="E136" s="22" t="n">
        <x:f>C136/(D136/100)</x:f>
        <x:v>0</x:v>
      </x:c>
      <x:c r="F136" s="22" t="n">
        <x:v>52.98</x:v>
      </x:c>
      <x:c r="G136" s="9" t="n">
        <x:v>23328</x:v>
      </x:c>
      <x:c r="H136" s="2"/>
      <x:c r="I136" s="9"/>
      <x:c r="J136" s="9"/>
      <x:c r="K136" s="22"/>
      <x:c r="L136" s="2" t="str">
        <x:v>R_NBS_POP</x:v>
      </x:c>
      <x:c r="M136" s="2" t="str">
        <x:v>R_NBS_URBAN</x:v>
      </x:c>
      <x:c r="N136" s="2" t="str">
        <x:v>R_NBS_INCOME</x:v>
      </x:c>
      <x:c r="O136" s="2"/>
      <x:c r="P136" s="2" t="str">
        <x:v>未获取同口径省级连续面板；不以登记失业率替代调查失业率</x:v>
      </x:c>
      <x:c r="Q136" s="2" t="str">
        <x:v>未检出，不代表实际零发生</x:v>
      </x:c>
    </x:row>
    <x:row r="137" ht="38" customHeight="1">
      <x:c r="A137" s="2" t="str">
        <x:v>广西</x:v>
      </x:c>
      <x:c r="B137" s="9" t="n">
        <x:v>2020</x:v>
      </x:c>
      <x:c r="C137" s="9" t="n">
        <x:f>COUNTIFS('事件主表'!$D$2:$D$215,A137,'事件主表'!$BH$2:$BH$215,B137,'事件主表'!$F$2:$F$215,"core")</x:f>
        <x:v>0</x:v>
      </x:c>
      <x:c r="D137" s="9" t="n">
        <x:v>5019</x:v>
      </x:c>
      <x:c r="E137" s="22" t="n">
        <x:f>C137/(D137/100)</x:f>
        <x:v>0</x:v>
      </x:c>
      <x:c r="F137" s="22" t="n">
        <x:v>54.2</x:v>
      </x:c>
      <x:c r="G137" s="9" t="n">
        <x:v>24562</x:v>
      </x:c>
      <x:c r="H137" s="2"/>
      <x:c r="I137" s="9"/>
      <x:c r="J137" s="9"/>
      <x:c r="K137" s="22"/>
      <x:c r="L137" s="2" t="str">
        <x:v>R_NBS_POP</x:v>
      </x:c>
      <x:c r="M137" s="2" t="str">
        <x:v>R_NBS_URBAN</x:v>
      </x:c>
      <x:c r="N137" s="2" t="str">
        <x:v>R_NBS_INCOME</x:v>
      </x:c>
      <x:c r="O137" s="2"/>
      <x:c r="P137" s="2" t="str">
        <x:v>未获取同口径省级连续面板；不以登记失业率替代调查失业率</x:v>
      </x:c>
      <x:c r="Q137" s="2" t="str">
        <x:v>未检出，不代表实际零发生</x:v>
      </x:c>
    </x:row>
    <x:row r="138" ht="38" customHeight="1">
      <x:c r="A138" s="2" t="str">
        <x:v>广西</x:v>
      </x:c>
      <x:c r="B138" s="9" t="n">
        <x:v>2021</x:v>
      </x:c>
      <x:c r="C138" s="9" t="n">
        <x:f>COUNTIFS('事件主表'!$D$2:$D$215,A138,'事件主表'!$BH$2:$BH$215,B138,'事件主表'!$F$2:$F$215,"core")</x:f>
        <x:v>0</x:v>
      </x:c>
      <x:c r="D138" s="9" t="n">
        <x:v>5037</x:v>
      </x:c>
      <x:c r="E138" s="22" t="n">
        <x:f>C138/(D138/100)</x:f>
        <x:v>0</x:v>
      </x:c>
      <x:c r="F138" s="22" t="n">
        <x:v>55.08</x:v>
      </x:c>
      <x:c r="G138" s="9" t="n">
        <x:v>26727</x:v>
      </x:c>
      <x:c r="H138" s="2"/>
      <x:c r="I138" s="9"/>
      <x:c r="J138" s="9"/>
      <x:c r="K138" s="22"/>
      <x:c r="L138" s="2" t="str">
        <x:v>R_NBS_POP</x:v>
      </x:c>
      <x:c r="M138" s="2" t="str">
        <x:v>R_NBS_URBAN</x:v>
      </x:c>
      <x:c r="N138" s="2" t="str">
        <x:v>R_NBS_INCOME</x:v>
      </x:c>
      <x:c r="O138" s="2"/>
      <x:c r="P138" s="2" t="str">
        <x:v>未获取同口径省级连续面板；不以登记失业率替代调查失业率</x:v>
      </x:c>
      <x:c r="Q138" s="2" t="str">
        <x:v>未检出，不代表实际零发生</x:v>
      </x:c>
    </x:row>
    <x:row r="139" ht="38" customHeight="1">
      <x:c r="A139" s="2" t="str">
        <x:v>广西</x:v>
      </x:c>
      <x:c r="B139" s="9" t="n">
        <x:v>2022</x:v>
      </x:c>
      <x:c r="C139" s="9" t="n">
        <x:f>COUNTIFS('事件主表'!$D$2:$D$215,A139,'事件主表'!$BH$2:$BH$215,B139,'事件主表'!$F$2:$F$215,"core")</x:f>
        <x:v>0</x:v>
      </x:c>
      <x:c r="D139" s="9" t="n">
        <x:v>5047</x:v>
      </x:c>
      <x:c r="E139" s="22" t="n">
        <x:f>C139/(D139/100)</x:f>
        <x:v>0</x:v>
      </x:c>
      <x:c r="F139" s="22" t="n">
        <x:v>55.65</x:v>
      </x:c>
      <x:c r="G139" s="9" t="n">
        <x:v>27981</x:v>
      </x:c>
      <x:c r="H139" s="2"/>
      <x:c r="I139" s="9"/>
      <x:c r="J139" s="9"/>
      <x:c r="K139" s="22"/>
      <x:c r="L139" s="2" t="str">
        <x:v>R_NBS_POP</x:v>
      </x:c>
      <x:c r="M139" s="2" t="str">
        <x:v>R_NBS_URBAN</x:v>
      </x:c>
      <x:c r="N139" s="2" t="str">
        <x:v>R_NBS_INCOME</x:v>
      </x:c>
      <x:c r="O139" s="2"/>
      <x:c r="P139" s="2" t="str">
        <x:v>未获取同口径省级连续面板；不以登记失业率替代调查失业率</x:v>
      </x:c>
      <x:c r="Q139" s="2" t="str">
        <x:v>未检出，不代表实际零发生</x:v>
      </x:c>
    </x:row>
    <x:row r="140" ht="38" customHeight="1">
      <x:c r="A140" s="2" t="str">
        <x:v>广西</x:v>
      </x:c>
      <x:c r="B140" s="9" t="n">
        <x:v>2023</x:v>
      </x:c>
      <x:c r="C140" s="9" t="n">
        <x:f>COUNTIFS('事件主表'!$D$2:$D$215,A140,'事件主表'!$BH$2:$BH$215,B140,'事件主表'!$F$2:$F$215,"core")</x:f>
        <x:v>0</x:v>
      </x:c>
      <x:c r="D140" s="9" t="n">
        <x:v>5027</x:v>
      </x:c>
      <x:c r="E140" s="22" t="n">
        <x:f>C140/(D140/100)</x:f>
        <x:v>0</x:v>
      </x:c>
      <x:c r="F140" s="22" t="n">
        <x:v>56.78</x:v>
      </x:c>
      <x:c r="G140" s="9" t="n">
        <x:v>29514</x:v>
      </x:c>
      <x:c r="H140" s="2"/>
      <x:c r="I140" s="9"/>
      <x:c r="J140" s="9"/>
      <x:c r="K140" s="22"/>
      <x:c r="L140" s="2" t="str">
        <x:v>R_NBS_POP</x:v>
      </x:c>
      <x:c r="M140" s="2" t="str">
        <x:v>R_NBS_URBAN</x:v>
      </x:c>
      <x:c r="N140" s="2" t="str">
        <x:v>R_NBS_INCOME</x:v>
      </x:c>
      <x:c r="O140" s="2"/>
      <x:c r="P140" s="2" t="str">
        <x:v>未获取同口径省级连续面板；不以登记失业率替代调查失业率</x:v>
      </x:c>
      <x:c r="Q140" s="2" t="str">
        <x:v>未检出，不代表实际零发生</x:v>
      </x:c>
    </x:row>
    <x:row r="141" ht="38" customHeight="1">
      <x:c r="A141" s="2" t="str">
        <x:v>广西</x:v>
      </x:c>
      <x:c r="B141" s="9" t="n">
        <x:v>2024</x:v>
      </x:c>
      <x:c r="C141" s="9" t="n">
        <x:f>COUNTIFS('事件主表'!$D$2:$D$215,A141,'事件主表'!$BH$2:$BH$215,B141,'事件主表'!$F$2:$F$215,"core")</x:f>
        <x:v>0</x:v>
      </x:c>
      <x:c r="D141" s="9" t="n">
        <x:v>5013</x:v>
      </x:c>
      <x:c r="E141" s="22" t="n">
        <x:f>C141/(D141/100)</x:f>
        <x:v>0</x:v>
      </x:c>
      <x:c r="F141" s="22" t="n">
        <x:v>57.39</x:v>
      </x:c>
      <x:c r="G141" s="9" t="n">
        <x:v>31125</x:v>
      </x:c>
      <x:c r="H141" s="2"/>
      <x:c r="I141" s="9" t="n">
        <x:v>2483</x:v>
      </x:c>
      <x:c r="J141" s="9" t="n">
        <x:v>1059</x:v>
      </x:c>
      <x:c r="K141" s="22" t="n">
        <x:v>42.65002013693113</x:v>
      </x:c>
      <x:c r="L141" s="2" t="str">
        <x:v>R_NBS_POP</x:v>
      </x:c>
      <x:c r="M141" s="2" t="str">
        <x:v>R_NBS_URBAN</x:v>
      </x:c>
      <x:c r="N141" s="2" t="str">
        <x:v>R_NBS_INCOME</x:v>
      </x:c>
      <x:c r="O141" s="2" t="str">
        <x:v>R_NBS_EMPLOYMENT</x:v>
      </x:c>
      <x:c r="P141" s="2" t="str">
        <x:v>未获取同口径省级连续面板；不以登记失业率替代调查失业率</x:v>
      </x:c>
      <x:c r="Q141" s="2" t="str">
        <x:v>未检出，不代表实际零发生</x:v>
      </x:c>
    </x:row>
    <x:row r="142" ht="38" customHeight="1">
      <x:c r="A142" s="2" t="str">
        <x:v>海南</x:v>
      </x:c>
      <x:c r="B142" s="9" t="n">
        <x:v>2018</x:v>
      </x:c>
      <x:c r="C142" s="9" t="n">
        <x:f>COUNTIFS('事件主表'!$D$2:$D$215,A142,'事件主表'!$BH$2:$BH$215,B142,'事件主表'!$F$2:$F$215,"core")</x:f>
        <x:v>0</x:v>
      </x:c>
      <x:c r="D142" s="9" t="n">
        <x:v>982</x:v>
      </x:c>
      <x:c r="E142" s="22" t="n">
        <x:f>C142/(D142/100)</x:f>
        <x:v>0</x:v>
      </x:c>
      <x:c r="F142" s="22" t="n">
        <x:v>59.13</x:v>
      </x:c>
      <x:c r="G142" s="9" t="n">
        <x:v>24579</x:v>
      </x:c>
      <x:c r="H142" s="2"/>
      <x:c r="I142" s="9"/>
      <x:c r="J142" s="9"/>
      <x:c r="K142" s="22"/>
      <x:c r="L142" s="2" t="str">
        <x:v>R_NBS_POP</x:v>
      </x:c>
      <x:c r="M142" s="2" t="str">
        <x:v>R_NBS_URBAN</x:v>
      </x:c>
      <x:c r="N142" s="2" t="str">
        <x:v>R_NBS_INCOME</x:v>
      </x:c>
      <x:c r="O142" s="2"/>
      <x:c r="P142" s="2" t="str">
        <x:v>未获取同口径省级连续面板；不以登记失业率替代调查失业率</x:v>
      </x:c>
      <x:c r="Q142" s="2" t="str">
        <x:v>未检出，不代表实际零发生</x:v>
      </x:c>
    </x:row>
    <x:row r="143" ht="38" customHeight="1">
      <x:c r="A143" s="2" t="str">
        <x:v>海南</x:v>
      </x:c>
      <x:c r="B143" s="9" t="n">
        <x:v>2019</x:v>
      </x:c>
      <x:c r="C143" s="9" t="n">
        <x:f>COUNTIFS('事件主表'!$D$2:$D$215,A143,'事件主表'!$BH$2:$BH$215,B143,'事件主表'!$F$2:$F$215,"core")</x:f>
        <x:v>0</x:v>
      </x:c>
      <x:c r="D143" s="9" t="n">
        <x:v>995</x:v>
      </x:c>
      <x:c r="E143" s="22" t="n">
        <x:f>C143/(D143/100)</x:f>
        <x:v>0</x:v>
      </x:c>
      <x:c r="F143" s="22" t="n">
        <x:v>59.37</x:v>
      </x:c>
      <x:c r="G143" s="9" t="n">
        <x:v>26679</x:v>
      </x:c>
      <x:c r="H143" s="2"/>
      <x:c r="I143" s="9"/>
      <x:c r="J143" s="9"/>
      <x:c r="K143" s="22"/>
      <x:c r="L143" s="2" t="str">
        <x:v>R_NBS_POP</x:v>
      </x:c>
      <x:c r="M143" s="2" t="str">
        <x:v>R_NBS_URBAN</x:v>
      </x:c>
      <x:c r="N143" s="2" t="str">
        <x:v>R_NBS_INCOME</x:v>
      </x:c>
      <x:c r="O143" s="2"/>
      <x:c r="P143" s="2" t="str">
        <x:v>未获取同口径省级连续面板；不以登记失业率替代调查失业率</x:v>
      </x:c>
      <x:c r="Q143" s="2" t="str">
        <x:v>未检出，不代表实际零发生</x:v>
      </x:c>
    </x:row>
    <x:row r="144" ht="38" customHeight="1">
      <x:c r="A144" s="2" t="str">
        <x:v>海南</x:v>
      </x:c>
      <x:c r="B144" s="9" t="n">
        <x:v>2020</x:v>
      </x:c>
      <x:c r="C144" s="9" t="n">
        <x:f>COUNTIFS('事件主表'!$D$2:$D$215,A144,'事件主表'!$BH$2:$BH$215,B144,'事件主表'!$F$2:$F$215,"core")</x:f>
        <x:v>0</x:v>
      </x:c>
      <x:c r="D144" s="9" t="n">
        <x:v>1012</x:v>
      </x:c>
      <x:c r="E144" s="22" t="n">
        <x:f>C144/(D144/100)</x:f>
        <x:v>0</x:v>
      </x:c>
      <x:c r="F144" s="22" t="n">
        <x:v>60.27</x:v>
      </x:c>
      <x:c r="G144" s="9" t="n">
        <x:v>27904</x:v>
      </x:c>
      <x:c r="H144" s="2"/>
      <x:c r="I144" s="9"/>
      <x:c r="J144" s="9"/>
      <x:c r="K144" s="22"/>
      <x:c r="L144" s="2" t="str">
        <x:v>R_NBS_POP</x:v>
      </x:c>
      <x:c r="M144" s="2" t="str">
        <x:v>R_NBS_URBAN</x:v>
      </x:c>
      <x:c r="N144" s="2" t="str">
        <x:v>R_NBS_INCOME</x:v>
      </x:c>
      <x:c r="O144" s="2"/>
      <x:c r="P144" s="2" t="str">
        <x:v>未获取同口径省级连续面板；不以登记失业率替代调查失业率</x:v>
      </x:c>
      <x:c r="Q144" s="2" t="str">
        <x:v>未检出，不代表实际零发生</x:v>
      </x:c>
    </x:row>
    <x:row r="145" ht="38" customHeight="1">
      <x:c r="A145" s="2" t="str">
        <x:v>海南</x:v>
      </x:c>
      <x:c r="B145" s="9" t="n">
        <x:v>2021</x:v>
      </x:c>
      <x:c r="C145" s="9" t="n">
        <x:f>COUNTIFS('事件主表'!$D$2:$D$215,A145,'事件主表'!$BH$2:$BH$215,B145,'事件主表'!$F$2:$F$215,"core")</x:f>
        <x:v>0</x:v>
      </x:c>
      <x:c r="D145" s="9" t="n">
        <x:v>1020</x:v>
      </x:c>
      <x:c r="E145" s="22" t="n">
        <x:f>C145/(D145/100)</x:f>
        <x:v>0</x:v>
      </x:c>
      <x:c r="F145" s="22" t="n">
        <x:v>60.97</x:v>
      </x:c>
      <x:c r="G145" s="9" t="n">
        <x:v>30457</x:v>
      </x:c>
      <x:c r="H145" s="2"/>
      <x:c r="I145" s="9"/>
      <x:c r="J145" s="9"/>
      <x:c r="K145" s="22"/>
      <x:c r="L145" s="2" t="str">
        <x:v>R_NBS_POP</x:v>
      </x:c>
      <x:c r="M145" s="2" t="str">
        <x:v>R_NBS_URBAN</x:v>
      </x:c>
      <x:c r="N145" s="2" t="str">
        <x:v>R_NBS_INCOME</x:v>
      </x:c>
      <x:c r="O145" s="2"/>
      <x:c r="P145" s="2" t="str">
        <x:v>未获取同口径省级连续面板；不以登记失业率替代调查失业率</x:v>
      </x:c>
      <x:c r="Q145" s="2" t="str">
        <x:v>未检出，不代表实际零发生</x:v>
      </x:c>
    </x:row>
    <x:row r="146" ht="38" customHeight="1">
      <x:c r="A146" s="2" t="str">
        <x:v>海南</x:v>
      </x:c>
      <x:c r="B146" s="9" t="n">
        <x:v>2022</x:v>
      </x:c>
      <x:c r="C146" s="9" t="n">
        <x:f>COUNTIFS('事件主表'!$D$2:$D$215,A146,'事件主表'!$BH$2:$BH$215,B146,'事件主表'!$F$2:$F$215,"core")</x:f>
        <x:v>0</x:v>
      </x:c>
      <x:c r="D146" s="9" t="n">
        <x:v>1027</x:v>
      </x:c>
      <x:c r="E146" s="22" t="n">
        <x:f>C146/(D146/100)</x:f>
        <x:v>0</x:v>
      </x:c>
      <x:c r="F146" s="22" t="n">
        <x:v>61.49</x:v>
      </x:c>
      <x:c r="G146" s="9" t="n">
        <x:v>30957</x:v>
      </x:c>
      <x:c r="H146" s="2"/>
      <x:c r="I146" s="9"/>
      <x:c r="J146" s="9"/>
      <x:c r="K146" s="22"/>
      <x:c r="L146" s="2" t="str">
        <x:v>R_NBS_POP</x:v>
      </x:c>
      <x:c r="M146" s="2" t="str">
        <x:v>R_NBS_URBAN</x:v>
      </x:c>
      <x:c r="N146" s="2" t="str">
        <x:v>R_NBS_INCOME</x:v>
      </x:c>
      <x:c r="O146" s="2"/>
      <x:c r="P146" s="2" t="str">
        <x:v>未获取同口径省级连续面板；不以登记失业率替代调查失业率</x:v>
      </x:c>
      <x:c r="Q146" s="2" t="str">
        <x:v>未检出，不代表实际零发生</x:v>
      </x:c>
    </x:row>
    <x:row r="147" ht="38" customHeight="1">
      <x:c r="A147" s="2" t="str">
        <x:v>海南</x:v>
      </x:c>
      <x:c r="B147" s="9" t="n">
        <x:v>2023</x:v>
      </x:c>
      <x:c r="C147" s="9" t="n">
        <x:f>COUNTIFS('事件主表'!$D$2:$D$215,A147,'事件主表'!$BH$2:$BH$215,B147,'事件主表'!$F$2:$F$215,"core")</x:f>
        <x:v>0</x:v>
      </x:c>
      <x:c r="D147" s="9" t="n">
        <x:v>1043</x:v>
      </x:c>
      <x:c r="E147" s="22" t="n">
        <x:f>C147/(D147/100)</x:f>
        <x:v>0</x:v>
      </x:c>
      <x:c r="F147" s="22" t="n">
        <x:v>62.46</x:v>
      </x:c>
      <x:c r="G147" s="9" t="n">
        <x:v>33192</x:v>
      </x:c>
      <x:c r="H147" s="2"/>
      <x:c r="I147" s="9"/>
      <x:c r="J147" s="9"/>
      <x:c r="K147" s="22"/>
      <x:c r="L147" s="2" t="str">
        <x:v>R_NBS_POP</x:v>
      </x:c>
      <x:c r="M147" s="2" t="str">
        <x:v>R_NBS_URBAN</x:v>
      </x:c>
      <x:c r="N147" s="2" t="str">
        <x:v>R_NBS_INCOME</x:v>
      </x:c>
      <x:c r="O147" s="2"/>
      <x:c r="P147" s="2" t="str">
        <x:v>未获取同口径省级连续面板；不以登记失业率替代调查失业率</x:v>
      </x:c>
      <x:c r="Q147" s="2" t="str">
        <x:v>未检出，不代表实际零发生</x:v>
      </x:c>
    </x:row>
    <x:row r="148" ht="38" customHeight="1">
      <x:c r="A148" s="2" t="str">
        <x:v>海南</x:v>
      </x:c>
      <x:c r="B148" s="9" t="n">
        <x:v>2024</x:v>
      </x:c>
      <x:c r="C148" s="9" t="n">
        <x:f>COUNTIFS('事件主表'!$D$2:$D$215,A148,'事件主表'!$BH$2:$BH$215,B148,'事件主表'!$F$2:$F$215,"core")</x:f>
        <x:v>0</x:v>
      </x:c>
      <x:c r="D148" s="9" t="n">
        <x:v>1048</x:v>
      </x:c>
      <x:c r="E148" s="22" t="n">
        <x:f>C148/(D148/100)</x:f>
        <x:v>0</x:v>
      </x:c>
      <x:c r="F148" s="22" t="n">
        <x:v>63.08</x:v>
      </x:c>
      <x:c r="G148" s="9" t="n">
        <x:v>34829</x:v>
      </x:c>
      <x:c r="H148" s="2"/>
      <x:c r="I148" s="9" t="n">
        <x:v>551</x:v>
      </x:c>
      <x:c r="J148" s="9" t="n">
        <x:v>324</x:v>
      </x:c>
      <x:c r="K148" s="22" t="n">
        <x:v>58.8021778584392</x:v>
      </x:c>
      <x:c r="L148" s="2" t="str">
        <x:v>R_NBS_POP</x:v>
      </x:c>
      <x:c r="M148" s="2" t="str">
        <x:v>R_NBS_URBAN</x:v>
      </x:c>
      <x:c r="N148" s="2" t="str">
        <x:v>R_NBS_INCOME</x:v>
      </x:c>
      <x:c r="O148" s="2" t="str">
        <x:v>R_NBS_EMPLOYMENT</x:v>
      </x:c>
      <x:c r="P148" s="2" t="str">
        <x:v>未获取同口径省级连续面板；不以登记失业率替代调查失业率</x:v>
      </x:c>
      <x:c r="Q148" s="2" t="str">
        <x:v>未检出，不代表实际零发生</x:v>
      </x:c>
    </x:row>
    <x:row r="149" ht="38" customHeight="1">
      <x:c r="A149" s="2" t="str">
        <x:v>重庆</x:v>
      </x:c>
      <x:c r="B149" s="9" t="n">
        <x:v>2018</x:v>
      </x:c>
      <x:c r="C149" s="9" t="n">
        <x:f>COUNTIFS('事件主表'!$D$2:$D$215,A149,'事件主表'!$BH$2:$BH$215,B149,'事件主表'!$F$2:$F$215,"core")</x:f>
        <x:v>2</x:v>
      </x:c>
      <x:c r="D149" s="9" t="n">
        <x:v>3163</x:v>
      </x:c>
      <x:c r="E149" s="22" t="n">
        <x:f>C149/(D149/100)</x:f>
        <x:v>0.06323110970597534</x:v>
      </x:c>
      <x:c r="F149" s="22" t="n">
        <x:v>66.61</x:v>
      </x:c>
      <x:c r="G149" s="9" t="n">
        <x:v>26386</x:v>
      </x:c>
      <x:c r="H149" s="2"/>
      <x:c r="I149" s="9"/>
      <x:c r="J149" s="9"/>
      <x:c r="K149" s="22"/>
      <x:c r="L149" s="2" t="str">
        <x:v>R_NBS_POP</x:v>
      </x:c>
      <x:c r="M149" s="2" t="str">
        <x:v>R_NBS_URBAN</x:v>
      </x:c>
      <x:c r="N149" s="2" t="str">
        <x:v>R_NBS_INCOME</x:v>
      </x:c>
      <x:c r="O149" s="2"/>
      <x:c r="P149" s="2" t="str">
        <x:v>未获取同口径省级连续面板；不以登记失业率替代调查失业率</x:v>
      </x:c>
      <x:c r="Q149" s="2" t="str">
        <x:v>公开核实记录</x:v>
      </x:c>
    </x:row>
    <x:row r="150" ht="38" customHeight="1">
      <x:c r="A150" s="2" t="str">
        <x:v>重庆</x:v>
      </x:c>
      <x:c r="B150" s="9" t="n">
        <x:v>2019</x:v>
      </x:c>
      <x:c r="C150" s="9" t="n">
        <x:f>COUNTIFS('事件主表'!$D$2:$D$215,A150,'事件主表'!$BH$2:$BH$215,B150,'事件主表'!$F$2:$F$215,"core")</x:f>
        <x:v>1</x:v>
      </x:c>
      <x:c r="D150" s="9" t="n">
        <x:v>3188</x:v>
      </x:c>
      <x:c r="E150" s="22" t="n">
        <x:f>C150/(D150/100)</x:f>
        <x:v>0.03136762860727729</x:v>
      </x:c>
      <x:c r="F150" s="22" t="n">
        <x:v>68.24</x:v>
      </x:c>
      <x:c r="G150" s="9" t="n">
        <x:v>28920</x:v>
      </x:c>
      <x:c r="H150" s="2"/>
      <x:c r="I150" s="9"/>
      <x:c r="J150" s="9"/>
      <x:c r="K150" s="22"/>
      <x:c r="L150" s="2" t="str">
        <x:v>R_NBS_POP</x:v>
      </x:c>
      <x:c r="M150" s="2" t="str">
        <x:v>R_NBS_URBAN</x:v>
      </x:c>
      <x:c r="N150" s="2" t="str">
        <x:v>R_NBS_INCOME</x:v>
      </x:c>
      <x:c r="O150" s="2"/>
      <x:c r="P150" s="2" t="str">
        <x:v>未获取同口径省级连续面板；不以登记失业率替代调查失业率</x:v>
      </x:c>
      <x:c r="Q150" s="2" t="str">
        <x:v>公开核实记录</x:v>
      </x:c>
    </x:row>
    <x:row r="151" ht="38" customHeight="1">
      <x:c r="A151" s="2" t="str">
        <x:v>重庆</x:v>
      </x:c>
      <x:c r="B151" s="9" t="n">
        <x:v>2020</x:v>
      </x:c>
      <x:c r="C151" s="9" t="n">
        <x:f>COUNTIFS('事件主表'!$D$2:$D$215,A151,'事件主表'!$BH$2:$BH$215,B151,'事件主表'!$F$2:$F$215,"core")</x:f>
        <x:v>0</x:v>
      </x:c>
      <x:c r="D151" s="9" t="n">
        <x:v>3209</x:v>
      </x:c>
      <x:c r="E151" s="22" t="n">
        <x:f>C151/(D151/100)</x:f>
        <x:v>0</x:v>
      </x:c>
      <x:c r="F151" s="22" t="n">
        <x:v>69.46</x:v>
      </x:c>
      <x:c r="G151" s="9" t="n">
        <x:v>30824</x:v>
      </x:c>
      <x:c r="H151" s="2"/>
      <x:c r="I151" s="9"/>
      <x:c r="J151" s="9"/>
      <x:c r="K151" s="22"/>
      <x:c r="L151" s="2" t="str">
        <x:v>R_NBS_POP</x:v>
      </x:c>
      <x:c r="M151" s="2" t="str">
        <x:v>R_NBS_URBAN</x:v>
      </x:c>
      <x:c r="N151" s="2" t="str">
        <x:v>R_NBS_INCOME</x:v>
      </x:c>
      <x:c r="O151" s="2"/>
      <x:c r="P151" s="2" t="str">
        <x:v>未获取同口径省级连续面板；不以登记失业率替代调查失业率</x:v>
      </x:c>
      <x:c r="Q151" s="2" t="str">
        <x:v>未检出，不代表实际零发生</x:v>
      </x:c>
    </x:row>
    <x:row r="152" ht="38" customHeight="1">
      <x:c r="A152" s="2" t="str">
        <x:v>重庆</x:v>
      </x:c>
      <x:c r="B152" s="9" t="n">
        <x:v>2021</x:v>
      </x:c>
      <x:c r="C152" s="9" t="n">
        <x:f>COUNTIFS('事件主表'!$D$2:$D$215,A152,'事件主表'!$BH$2:$BH$215,B152,'事件主表'!$F$2:$F$215,"core")</x:f>
        <x:v>0</x:v>
      </x:c>
      <x:c r="D152" s="9" t="n">
        <x:v>3212</x:v>
      </x:c>
      <x:c r="E152" s="22" t="n">
        <x:f>C152/(D152/100)</x:f>
        <x:v>0</x:v>
      </x:c>
      <x:c r="F152" s="22" t="n">
        <x:v>70.32</x:v>
      </x:c>
      <x:c r="G152" s="9" t="n">
        <x:v>33803</x:v>
      </x:c>
      <x:c r="H152" s="2"/>
      <x:c r="I152" s="9"/>
      <x:c r="J152" s="9"/>
      <x:c r="K152" s="22"/>
      <x:c r="L152" s="2" t="str">
        <x:v>R_NBS_POP</x:v>
      </x:c>
      <x:c r="M152" s="2" t="str">
        <x:v>R_NBS_URBAN</x:v>
      </x:c>
      <x:c r="N152" s="2" t="str">
        <x:v>R_NBS_INCOME</x:v>
      </x:c>
      <x:c r="O152" s="2"/>
      <x:c r="P152" s="2" t="str">
        <x:v>未获取同口径省级连续面板；不以登记失业率替代调查失业率</x:v>
      </x:c>
      <x:c r="Q152" s="2" t="str">
        <x:v>未检出，不代表实际零发生</x:v>
      </x:c>
    </x:row>
    <x:row r="153" ht="38" customHeight="1">
      <x:c r="A153" s="2" t="str">
        <x:v>重庆</x:v>
      </x:c>
      <x:c r="B153" s="9" t="n">
        <x:v>2022</x:v>
      </x:c>
      <x:c r="C153" s="9" t="n">
        <x:f>COUNTIFS('事件主表'!$D$2:$D$215,A153,'事件主表'!$BH$2:$BH$215,B153,'事件主表'!$F$2:$F$215,"core")</x:f>
        <x:v>0</x:v>
      </x:c>
      <x:c r="D153" s="9" t="n">
        <x:v>3213</x:v>
      </x:c>
      <x:c r="E153" s="22" t="n">
        <x:f>C153/(D153/100)</x:f>
        <x:v>0</x:v>
      </x:c>
      <x:c r="F153" s="22" t="n">
        <x:v>70.96</x:v>
      </x:c>
      <x:c r="G153" s="9" t="n">
        <x:v>35666</x:v>
      </x:c>
      <x:c r="H153" s="2"/>
      <x:c r="I153" s="9"/>
      <x:c r="J153" s="9"/>
      <x:c r="K153" s="22"/>
      <x:c r="L153" s="2" t="str">
        <x:v>R_NBS_POP</x:v>
      </x:c>
      <x:c r="M153" s="2" t="str">
        <x:v>R_NBS_URBAN</x:v>
      </x:c>
      <x:c r="N153" s="2" t="str">
        <x:v>R_NBS_INCOME</x:v>
      </x:c>
      <x:c r="O153" s="2"/>
      <x:c r="P153" s="2" t="str">
        <x:v>未获取同口径省级连续面板；不以登记失业率替代调查失业率</x:v>
      </x:c>
      <x:c r="Q153" s="2" t="str">
        <x:v>未检出，不代表实际零发生</x:v>
      </x:c>
    </x:row>
    <x:row r="154" ht="38" customHeight="1">
      <x:c r="A154" s="2" t="str">
        <x:v>重庆</x:v>
      </x:c>
      <x:c r="B154" s="9" t="n">
        <x:v>2023</x:v>
      </x:c>
      <x:c r="C154" s="9" t="n">
        <x:f>COUNTIFS('事件主表'!$D$2:$D$215,A154,'事件主表'!$BH$2:$BH$215,B154,'事件主表'!$F$2:$F$215,"core")</x:f>
        <x:v>1</x:v>
      </x:c>
      <x:c r="D154" s="9" t="n">
        <x:v>3191</x:v>
      </x:c>
      <x:c r="E154" s="22" t="n">
        <x:f>C154/(D154/100)</x:f>
        <x:v>0.031338138514572234</x:v>
      </x:c>
      <x:c r="F154" s="22" t="n">
        <x:v>71.67</x:v>
      </x:c>
      <x:c r="G154" s="9" t="n">
        <x:v>37595</x:v>
      </x:c>
      <x:c r="H154" s="2"/>
      <x:c r="I154" s="9"/>
      <x:c r="J154" s="9"/>
      <x:c r="K154" s="22"/>
      <x:c r="L154" s="2" t="str">
        <x:v>R_NBS_POP</x:v>
      </x:c>
      <x:c r="M154" s="2" t="str">
        <x:v>R_NBS_URBAN</x:v>
      </x:c>
      <x:c r="N154" s="2" t="str">
        <x:v>R_NBS_INCOME</x:v>
      </x:c>
      <x:c r="O154" s="2"/>
      <x:c r="P154" s="2" t="str">
        <x:v>未获取同口径省级连续面板；不以登记失业率替代调查失业率</x:v>
      </x:c>
      <x:c r="Q154" s="2" t="str">
        <x:v>公开核实记录</x:v>
      </x:c>
    </x:row>
    <x:row r="155" ht="38" customHeight="1">
      <x:c r="A155" s="2" t="str">
        <x:v>重庆</x:v>
      </x:c>
      <x:c r="B155" s="9" t="n">
        <x:v>2024</x:v>
      </x:c>
      <x:c r="C155" s="9" t="n">
        <x:f>COUNTIFS('事件主表'!$D$2:$D$215,A155,'事件主表'!$BH$2:$BH$215,B155,'事件主表'!$F$2:$F$215,"core")</x:f>
        <x:v>0</x:v>
      </x:c>
      <x:c r="D155" s="9" t="n">
        <x:v>3190</x:v>
      </x:c>
      <x:c r="E155" s="22" t="n">
        <x:f>C155/(D155/100)</x:f>
        <x:v>0</x:v>
      </x:c>
      <x:c r="F155" s="22" t="n">
        <x:v>72.14</x:v>
      </x:c>
      <x:c r="G155" s="9" t="n">
        <x:v>39713</x:v>
      </x:c>
      <x:c r="H155" s="2"/>
      <x:c r="I155" s="9" t="n">
        <x:v>1651</x:v>
      </x:c>
      <x:c r="J155" s="9" t="n">
        <x:v>882</x:v>
      </x:c>
      <x:c r="K155" s="22" t="n">
        <x:v>53.422168382798304</x:v>
      </x:c>
      <x:c r="L155" s="2" t="str">
        <x:v>R_NBS_POP</x:v>
      </x:c>
      <x:c r="M155" s="2" t="str">
        <x:v>R_NBS_URBAN</x:v>
      </x:c>
      <x:c r="N155" s="2" t="str">
        <x:v>R_NBS_INCOME</x:v>
      </x:c>
      <x:c r="O155" s="2" t="str">
        <x:v>R_NBS_EMPLOYMENT</x:v>
      </x:c>
      <x:c r="P155" s="2" t="str">
        <x:v>未获取同口径省级连续面板；不以登记失业率替代调查失业率</x:v>
      </x:c>
      <x:c r="Q155" s="2" t="str">
        <x:v>未检出，不代表实际零发生</x:v>
      </x:c>
    </x:row>
    <x:row r="156" ht="38" customHeight="1">
      <x:c r="A156" s="2" t="str">
        <x:v>四川</x:v>
      </x:c>
      <x:c r="B156" s="9" t="n">
        <x:v>2018</x:v>
      </x:c>
      <x:c r="C156" s="9" t="n">
        <x:f>COUNTIFS('事件主表'!$D$2:$D$215,A156,'事件主表'!$BH$2:$BH$215,B156,'事件主表'!$F$2:$F$215,"core")</x:f>
        <x:v>1</x:v>
      </x:c>
      <x:c r="D156" s="9" t="n">
        <x:v>8321</x:v>
      </x:c>
      <x:c r="E156" s="22" t="n">
        <x:f>C156/(D156/100)</x:f>
        <x:v>0.012017786323759164</x:v>
      </x:c>
      <x:c r="F156" s="22" t="n">
        <x:v>53.5</x:v>
      </x:c>
      <x:c r="G156" s="9" t="n">
        <x:v>22461</x:v>
      </x:c>
      <x:c r="H156" s="2"/>
      <x:c r="I156" s="9"/>
      <x:c r="J156" s="9"/>
      <x:c r="K156" s="22"/>
      <x:c r="L156" s="2" t="str">
        <x:v>R_NBS_POP</x:v>
      </x:c>
      <x:c r="M156" s="2" t="str">
        <x:v>R_NBS_URBAN</x:v>
      </x:c>
      <x:c r="N156" s="2" t="str">
        <x:v>R_NBS_INCOME</x:v>
      </x:c>
      <x:c r="O156" s="2"/>
      <x:c r="P156" s="2" t="str">
        <x:v>未获取同口径省级连续面板；不以登记失业率替代调查失业率</x:v>
      </x:c>
      <x:c r="Q156" s="2" t="str">
        <x:v>公开核实记录</x:v>
      </x:c>
    </x:row>
    <x:row r="157" ht="38" customHeight="1">
      <x:c r="A157" s="2" t="str">
        <x:v>四川</x:v>
      </x:c>
      <x:c r="B157" s="9" t="n">
        <x:v>2019</x:v>
      </x:c>
      <x:c r="C157" s="9" t="n">
        <x:f>COUNTIFS('事件主表'!$D$2:$D$215,A157,'事件主表'!$BH$2:$BH$215,B157,'事件主表'!$F$2:$F$215,"core")</x:f>
        <x:v>0</x:v>
      </x:c>
      <x:c r="D157" s="9" t="n">
        <x:v>8351</x:v>
      </x:c>
      <x:c r="E157" s="22" t="n">
        <x:f>C157/(D157/100)</x:f>
        <x:v>0</x:v>
      </x:c>
      <x:c r="F157" s="22" t="n">
        <x:v>55.36</x:v>
      </x:c>
      <x:c r="G157" s="9" t="n">
        <x:v>24703</x:v>
      </x:c>
      <x:c r="H157" s="2"/>
      <x:c r="I157" s="9"/>
      <x:c r="J157" s="9"/>
      <x:c r="K157" s="22"/>
      <x:c r="L157" s="2" t="str">
        <x:v>R_NBS_POP</x:v>
      </x:c>
      <x:c r="M157" s="2" t="str">
        <x:v>R_NBS_URBAN</x:v>
      </x:c>
      <x:c r="N157" s="2" t="str">
        <x:v>R_NBS_INCOME</x:v>
      </x:c>
      <x:c r="O157" s="2"/>
      <x:c r="P157" s="2" t="str">
        <x:v>未获取同口径省级连续面板；不以登记失业率替代调查失业率</x:v>
      </x:c>
      <x:c r="Q157" s="2" t="str">
        <x:v>未检出，不代表实际零发生</x:v>
      </x:c>
    </x:row>
    <x:row r="158" ht="38" customHeight="1">
      <x:c r="A158" s="2" t="str">
        <x:v>四川</x:v>
      </x:c>
      <x:c r="B158" s="9" t="n">
        <x:v>2020</x:v>
      </x:c>
      <x:c r="C158" s="9" t="n">
        <x:f>COUNTIFS('事件主表'!$D$2:$D$215,A158,'事件主表'!$BH$2:$BH$215,B158,'事件主表'!$F$2:$F$215,"core")</x:f>
        <x:v>0</x:v>
      </x:c>
      <x:c r="D158" s="9" t="n">
        <x:v>8371</x:v>
      </x:c>
      <x:c r="E158" s="22" t="n">
        <x:f>C158/(D158/100)</x:f>
        <x:v>0</x:v>
      </x:c>
      <x:c r="F158" s="22" t="n">
        <x:v>56.73</x:v>
      </x:c>
      <x:c r="G158" s="9" t="n">
        <x:v>26522</x:v>
      </x:c>
      <x:c r="H158" s="2"/>
      <x:c r="I158" s="9"/>
      <x:c r="J158" s="9"/>
      <x:c r="K158" s="22"/>
      <x:c r="L158" s="2" t="str">
        <x:v>R_NBS_POP</x:v>
      </x:c>
      <x:c r="M158" s="2" t="str">
        <x:v>R_NBS_URBAN</x:v>
      </x:c>
      <x:c r="N158" s="2" t="str">
        <x:v>R_NBS_INCOME</x:v>
      </x:c>
      <x:c r="O158" s="2"/>
      <x:c r="P158" s="2" t="str">
        <x:v>未获取同口径省级连续面板；不以登记失业率替代调查失业率</x:v>
      </x:c>
      <x:c r="Q158" s="2" t="str">
        <x:v>未检出，不代表实际零发生</x:v>
      </x:c>
    </x:row>
    <x:row r="159" ht="38" customHeight="1">
      <x:c r="A159" s="2" t="str">
        <x:v>四川</x:v>
      </x:c>
      <x:c r="B159" s="9" t="n">
        <x:v>2021</x:v>
      </x:c>
      <x:c r="C159" s="9" t="n">
        <x:f>COUNTIFS('事件主表'!$D$2:$D$215,A159,'事件主表'!$BH$2:$BH$215,B159,'事件主表'!$F$2:$F$215,"core")</x:f>
        <x:v>0</x:v>
      </x:c>
      <x:c r="D159" s="9" t="n">
        <x:v>8372</x:v>
      </x:c>
      <x:c r="E159" s="22" t="n">
        <x:f>C159/(D159/100)</x:f>
        <x:v>0</x:v>
      </x:c>
      <x:c r="F159" s="22" t="n">
        <x:v>57.82</x:v>
      </x:c>
      <x:c r="G159" s="9" t="n">
        <x:v>29080</x:v>
      </x:c>
      <x:c r="H159" s="2"/>
      <x:c r="I159" s="9"/>
      <x:c r="J159" s="9"/>
      <x:c r="K159" s="22"/>
      <x:c r="L159" s="2" t="str">
        <x:v>R_NBS_POP</x:v>
      </x:c>
      <x:c r="M159" s="2" t="str">
        <x:v>R_NBS_URBAN</x:v>
      </x:c>
      <x:c r="N159" s="2" t="str">
        <x:v>R_NBS_INCOME</x:v>
      </x:c>
      <x:c r="O159" s="2"/>
      <x:c r="P159" s="2" t="str">
        <x:v>未获取同口径省级连续面板；不以登记失业率替代调查失业率</x:v>
      </x:c>
      <x:c r="Q159" s="2" t="str">
        <x:v>未检出，不代表实际零发生</x:v>
      </x:c>
    </x:row>
    <x:row r="160" ht="38" customHeight="1">
      <x:c r="A160" s="2" t="str">
        <x:v>四川</x:v>
      </x:c>
      <x:c r="B160" s="9" t="n">
        <x:v>2022</x:v>
      </x:c>
      <x:c r="C160" s="9" t="n">
        <x:f>COUNTIFS('事件主表'!$D$2:$D$215,A160,'事件主表'!$BH$2:$BH$215,B160,'事件主表'!$F$2:$F$215,"core")</x:f>
        <x:v>0</x:v>
      </x:c>
      <x:c r="D160" s="9" t="n">
        <x:v>8374</x:v>
      </x:c>
      <x:c r="E160" s="22" t="n">
        <x:f>C160/(D160/100)</x:f>
        <x:v>0</x:v>
      </x:c>
      <x:c r="F160" s="22" t="n">
        <x:v>58.35</x:v>
      </x:c>
      <x:c r="G160" s="9" t="n">
        <x:v>30679</x:v>
      </x:c>
      <x:c r="H160" s="2"/>
      <x:c r="I160" s="9"/>
      <x:c r="J160" s="9"/>
      <x:c r="K160" s="22"/>
      <x:c r="L160" s="2" t="str">
        <x:v>R_NBS_POP</x:v>
      </x:c>
      <x:c r="M160" s="2" t="str">
        <x:v>R_NBS_URBAN</x:v>
      </x:c>
      <x:c r="N160" s="2" t="str">
        <x:v>R_NBS_INCOME</x:v>
      </x:c>
      <x:c r="O160" s="2"/>
      <x:c r="P160" s="2" t="str">
        <x:v>未获取同口径省级连续面板；不以登记失业率替代调查失业率</x:v>
      </x:c>
      <x:c r="Q160" s="2" t="str">
        <x:v>未检出，不代表实际零发生</x:v>
      </x:c>
    </x:row>
    <x:row r="161" ht="38" customHeight="1">
      <x:c r="A161" s="2" t="str">
        <x:v>四川</x:v>
      </x:c>
      <x:c r="B161" s="9" t="n">
        <x:v>2023</x:v>
      </x:c>
      <x:c r="C161" s="9" t="n">
        <x:f>COUNTIFS('事件主表'!$D$2:$D$215,A161,'事件主表'!$BH$2:$BH$215,B161,'事件主表'!$F$2:$F$215,"core")</x:f>
        <x:v>0</x:v>
      </x:c>
      <x:c r="D161" s="9" t="n">
        <x:v>8368</x:v>
      </x:c>
      <x:c r="E161" s="22" t="n">
        <x:f>C161/(D161/100)</x:f>
        <x:v>0</x:v>
      </x:c>
      <x:c r="F161" s="22" t="n">
        <x:v>59.49</x:v>
      </x:c>
      <x:c r="G161" s="9" t="n">
        <x:v>32514</x:v>
      </x:c>
      <x:c r="H161" s="2"/>
      <x:c r="I161" s="9"/>
      <x:c r="J161" s="9"/>
      <x:c r="K161" s="22"/>
      <x:c r="L161" s="2" t="str">
        <x:v>R_NBS_POP</x:v>
      </x:c>
      <x:c r="M161" s="2" t="str">
        <x:v>R_NBS_URBAN</x:v>
      </x:c>
      <x:c r="N161" s="2" t="str">
        <x:v>R_NBS_INCOME</x:v>
      </x:c>
      <x:c r="O161" s="2"/>
      <x:c r="P161" s="2" t="str">
        <x:v>未获取同口径省级连续面板；不以登记失业率替代调查失业率</x:v>
      </x:c>
      <x:c r="Q161" s="2" t="str">
        <x:v>未检出，不代表实际零发生</x:v>
      </x:c>
    </x:row>
    <x:row r="162" ht="38" customHeight="1">
      <x:c r="A162" s="2" t="str">
        <x:v>四川</x:v>
      </x:c>
      <x:c r="B162" s="9" t="n">
        <x:v>2024</x:v>
      </x:c>
      <x:c r="C162" s="9" t="n">
        <x:f>COUNTIFS('事件主表'!$D$2:$D$215,A162,'事件主表'!$BH$2:$BH$215,B162,'事件主表'!$F$2:$F$215,"core")</x:f>
        <x:v>1</x:v>
      </x:c>
      <x:c r="D162" s="9" t="n">
        <x:v>8364</x:v>
      </x:c>
      <x:c r="E162" s="22" t="n">
        <x:f>C162/(D162/100)</x:f>
        <x:v>0.011956001912960305</x:v>
      </x:c>
      <x:c r="F162" s="22" t="n">
        <x:v>60.1</x:v>
      </x:c>
      <x:c r="G162" s="9" t="n">
        <x:v>34325</x:v>
      </x:c>
      <x:c r="H162" s="2"/>
      <x:c r="I162" s="9" t="n">
        <x:v>4663</x:v>
      </x:c>
      <x:c r="J162" s="9" t="n">
        <x:v>2095</x:v>
      </x:c>
      <x:c r="K162" s="22" t="n">
        <x:v>44.92815783830152</x:v>
      </x:c>
      <x:c r="L162" s="2" t="str">
        <x:v>R_NBS_POP</x:v>
      </x:c>
      <x:c r="M162" s="2" t="str">
        <x:v>R_NBS_URBAN</x:v>
      </x:c>
      <x:c r="N162" s="2" t="str">
        <x:v>R_NBS_INCOME</x:v>
      </x:c>
      <x:c r="O162" s="2" t="str">
        <x:v>R_NBS_EMPLOYMENT</x:v>
      </x:c>
      <x:c r="P162" s="2" t="str">
        <x:v>未获取同口径省级连续面板；不以登记失业率替代调查失业率</x:v>
      </x:c>
      <x:c r="Q162" s="2" t="str">
        <x:v>公开核实记录</x:v>
      </x:c>
    </x:row>
    <x:row r="163" ht="38" customHeight="1">
      <x:c r="A163" s="2" t="str">
        <x:v>贵州</x:v>
      </x:c>
      <x:c r="B163" s="9" t="n">
        <x:v>2018</x:v>
      </x:c>
      <x:c r="C163" s="9" t="n">
        <x:f>COUNTIFS('事件主表'!$D$2:$D$215,A163,'事件主表'!$BH$2:$BH$215,B163,'事件主表'!$F$2:$F$215,"core")</x:f>
        <x:v>0</x:v>
      </x:c>
      <x:c r="D163" s="9" t="n">
        <x:v>3822</x:v>
      </x:c>
      <x:c r="E163" s="22" t="n">
        <x:f>C163/(D163/100)</x:f>
        <x:v>0</x:v>
      </x:c>
      <x:c r="F163" s="22" t="n">
        <x:v>49.54</x:v>
      </x:c>
      <x:c r="G163" s="9" t="n">
        <x:v>18430</x:v>
      </x:c>
      <x:c r="H163" s="2"/>
      <x:c r="I163" s="9"/>
      <x:c r="J163" s="9"/>
      <x:c r="K163" s="22"/>
      <x:c r="L163" s="2" t="str">
        <x:v>R_NBS_POP</x:v>
      </x:c>
      <x:c r="M163" s="2" t="str">
        <x:v>R_NBS_URBAN</x:v>
      </x:c>
      <x:c r="N163" s="2" t="str">
        <x:v>R_NBS_INCOME</x:v>
      </x:c>
      <x:c r="O163" s="2"/>
      <x:c r="P163" s="2" t="str">
        <x:v>未获取同口径省级连续面板；不以登记失业率替代调查失业率</x:v>
      </x:c>
      <x:c r="Q163" s="2" t="str">
        <x:v>未检出，不代表实际零发生</x:v>
      </x:c>
    </x:row>
    <x:row r="164" ht="38" customHeight="1">
      <x:c r="A164" s="2" t="str">
        <x:v>贵州</x:v>
      </x:c>
      <x:c r="B164" s="9" t="n">
        <x:v>2019</x:v>
      </x:c>
      <x:c r="C164" s="9" t="n">
        <x:f>COUNTIFS('事件主表'!$D$2:$D$215,A164,'事件主表'!$BH$2:$BH$215,B164,'事件主表'!$F$2:$F$215,"core")</x:f>
        <x:v>0</x:v>
      </x:c>
      <x:c r="D164" s="9" t="n">
        <x:v>3848</x:v>
      </x:c>
      <x:c r="E164" s="22" t="n">
        <x:f>C164/(D164/100)</x:f>
        <x:v>0</x:v>
      </x:c>
      <x:c r="F164" s="22" t="n">
        <x:v>51.48</x:v>
      </x:c>
      <x:c r="G164" s="9" t="n">
        <x:v>20397</x:v>
      </x:c>
      <x:c r="H164" s="2"/>
      <x:c r="I164" s="9"/>
      <x:c r="J164" s="9"/>
      <x:c r="K164" s="22"/>
      <x:c r="L164" s="2" t="str">
        <x:v>R_NBS_POP</x:v>
      </x:c>
      <x:c r="M164" s="2" t="str">
        <x:v>R_NBS_URBAN</x:v>
      </x:c>
      <x:c r="N164" s="2" t="str">
        <x:v>R_NBS_INCOME</x:v>
      </x:c>
      <x:c r="O164" s="2"/>
      <x:c r="P164" s="2" t="str">
        <x:v>未获取同口径省级连续面板；不以登记失业率替代调查失业率</x:v>
      </x:c>
      <x:c r="Q164" s="2" t="str">
        <x:v>未检出，不代表实际零发生</x:v>
      </x:c>
    </x:row>
    <x:row r="165" ht="38" customHeight="1">
      <x:c r="A165" s="2" t="str">
        <x:v>贵州</x:v>
      </x:c>
      <x:c r="B165" s="9" t="n">
        <x:v>2020</x:v>
      </x:c>
      <x:c r="C165" s="9" t="n">
        <x:f>COUNTIFS('事件主表'!$D$2:$D$215,A165,'事件主表'!$BH$2:$BH$215,B165,'事件主表'!$F$2:$F$215,"core")</x:f>
        <x:v>1</x:v>
      </x:c>
      <x:c r="D165" s="9" t="n">
        <x:v>3858</x:v>
      </x:c>
      <x:c r="E165" s="22" t="n">
        <x:f>C165/(D165/100)</x:f>
        <x:v>0.02592016588906169</x:v>
      </x:c>
      <x:c r="F165" s="22" t="n">
        <x:v>53.15</x:v>
      </x:c>
      <x:c r="G165" s="9" t="n">
        <x:v>21795</x:v>
      </x:c>
      <x:c r="H165" s="2"/>
      <x:c r="I165" s="9"/>
      <x:c r="J165" s="9"/>
      <x:c r="K165" s="22"/>
      <x:c r="L165" s="2" t="str">
        <x:v>R_NBS_POP</x:v>
      </x:c>
      <x:c r="M165" s="2" t="str">
        <x:v>R_NBS_URBAN</x:v>
      </x:c>
      <x:c r="N165" s="2" t="str">
        <x:v>R_NBS_INCOME</x:v>
      </x:c>
      <x:c r="O165" s="2"/>
      <x:c r="P165" s="2" t="str">
        <x:v>未获取同口径省级连续面板；不以登记失业率替代调查失业率</x:v>
      </x:c>
      <x:c r="Q165" s="2" t="str">
        <x:v>公开核实记录</x:v>
      </x:c>
    </x:row>
    <x:row r="166" ht="38" customHeight="1">
      <x:c r="A166" s="2" t="str">
        <x:v>贵州</x:v>
      </x:c>
      <x:c r="B166" s="9" t="n">
        <x:v>2021</x:v>
      </x:c>
      <x:c r="C166" s="9" t="n">
        <x:f>COUNTIFS('事件主表'!$D$2:$D$215,A166,'事件主表'!$BH$2:$BH$215,B166,'事件主表'!$F$2:$F$215,"core")</x:f>
        <x:v>0</x:v>
      </x:c>
      <x:c r="D166" s="9" t="n">
        <x:v>3852</x:v>
      </x:c>
      <x:c r="E166" s="22" t="n">
        <x:f>C166/(D166/100)</x:f>
        <x:v>0</x:v>
      </x:c>
      <x:c r="F166" s="22" t="n">
        <x:v>54.33</x:v>
      </x:c>
      <x:c r="G166" s="9" t="n">
        <x:v>23996</x:v>
      </x:c>
      <x:c r="H166" s="2"/>
      <x:c r="I166" s="9"/>
      <x:c r="J166" s="9"/>
      <x:c r="K166" s="22"/>
      <x:c r="L166" s="2" t="str">
        <x:v>R_NBS_POP</x:v>
      </x:c>
      <x:c r="M166" s="2" t="str">
        <x:v>R_NBS_URBAN</x:v>
      </x:c>
      <x:c r="N166" s="2" t="str">
        <x:v>R_NBS_INCOME</x:v>
      </x:c>
      <x:c r="O166" s="2"/>
      <x:c r="P166" s="2" t="str">
        <x:v>未获取同口径省级连续面板；不以登记失业率替代调查失业率</x:v>
      </x:c>
      <x:c r="Q166" s="2" t="str">
        <x:v>未检出，不代表实际零发生</x:v>
      </x:c>
    </x:row>
    <x:row r="167" ht="38" customHeight="1">
      <x:c r="A167" s="2" t="str">
        <x:v>贵州</x:v>
      </x:c>
      <x:c r="B167" s="9" t="n">
        <x:v>2022</x:v>
      </x:c>
      <x:c r="C167" s="9" t="n">
        <x:f>COUNTIFS('事件主表'!$D$2:$D$215,A167,'事件主表'!$BH$2:$BH$215,B167,'事件主表'!$F$2:$F$215,"core")</x:f>
        <x:v>0</x:v>
      </x:c>
      <x:c r="D167" s="9" t="n">
        <x:v>3856</x:v>
      </x:c>
      <x:c r="E167" s="22" t="n">
        <x:f>C167/(D167/100)</x:f>
        <x:v>0</x:v>
      </x:c>
      <x:c r="F167" s="22" t="n">
        <x:v>54.81</x:v>
      </x:c>
      <x:c r="G167" s="9" t="n">
        <x:v>25508</x:v>
      </x:c>
      <x:c r="H167" s="2"/>
      <x:c r="I167" s="9"/>
      <x:c r="J167" s="9"/>
      <x:c r="K167" s="22"/>
      <x:c r="L167" s="2" t="str">
        <x:v>R_NBS_POP</x:v>
      </x:c>
      <x:c r="M167" s="2" t="str">
        <x:v>R_NBS_URBAN</x:v>
      </x:c>
      <x:c r="N167" s="2" t="str">
        <x:v>R_NBS_INCOME</x:v>
      </x:c>
      <x:c r="O167" s="2"/>
      <x:c r="P167" s="2" t="str">
        <x:v>未获取同口径省级连续面板；不以登记失业率替代调查失业率</x:v>
      </x:c>
      <x:c r="Q167" s="2" t="str">
        <x:v>未检出，不代表实际零发生</x:v>
      </x:c>
    </x:row>
    <x:row r="168" ht="38" customHeight="1">
      <x:c r="A168" s="2" t="str">
        <x:v>贵州</x:v>
      </x:c>
      <x:c r="B168" s="9" t="n">
        <x:v>2023</x:v>
      </x:c>
      <x:c r="C168" s="9" t="n">
        <x:f>COUNTIFS('事件主表'!$D$2:$D$215,A168,'事件主表'!$BH$2:$BH$215,B168,'事件主表'!$F$2:$F$215,"core")</x:f>
        <x:v>0</x:v>
      </x:c>
      <x:c r="D168" s="9" t="n">
        <x:v>3865</x:v>
      </x:c>
      <x:c r="E168" s="22" t="n">
        <x:f>C168/(D168/100)</x:f>
        <x:v>0</x:v>
      </x:c>
      <x:c r="F168" s="22" t="n">
        <x:v>55.94</x:v>
      </x:c>
      <x:c r="G168" s="9" t="n">
        <x:v>27098</x:v>
      </x:c>
      <x:c r="H168" s="2"/>
      <x:c r="I168" s="9"/>
      <x:c r="J168" s="9"/>
      <x:c r="K168" s="22"/>
      <x:c r="L168" s="2" t="str">
        <x:v>R_NBS_POP</x:v>
      </x:c>
      <x:c r="M168" s="2" t="str">
        <x:v>R_NBS_URBAN</x:v>
      </x:c>
      <x:c r="N168" s="2" t="str">
        <x:v>R_NBS_INCOME</x:v>
      </x:c>
      <x:c r="O168" s="2"/>
      <x:c r="P168" s="2" t="str">
        <x:v>未获取同口径省级连续面板；不以登记失业率替代调查失业率</x:v>
      </x:c>
      <x:c r="Q168" s="2" t="str">
        <x:v>未检出，不代表实际零发生</x:v>
      </x:c>
    </x:row>
    <x:row r="169" ht="38" customHeight="1">
      <x:c r="A169" s="2" t="str">
        <x:v>贵州</x:v>
      </x:c>
      <x:c r="B169" s="9" t="n">
        <x:v>2024</x:v>
      </x:c>
      <x:c r="C169" s="9" t="n">
        <x:f>COUNTIFS('事件主表'!$D$2:$D$215,A169,'事件主表'!$BH$2:$BH$215,B169,'事件主表'!$F$2:$F$215,"core")</x:f>
        <x:v>0</x:v>
      </x:c>
      <x:c r="D169" s="9" t="n">
        <x:v>3860</x:v>
      </x:c>
      <x:c r="E169" s="22" t="n">
        <x:f>C169/(D169/100)</x:f>
        <x:v>0</x:v>
      </x:c>
      <x:c r="F169" s="22" t="n">
        <x:v>56.65</x:v>
      </x:c>
      <x:c r="G169" s="9" t="n">
        <x:v>28561</x:v>
      </x:c>
      <x:c r="H169" s="2"/>
      <x:c r="I169" s="9" t="n">
        <x:v>1869</x:v>
      </x:c>
      <x:c r="J169" s="9" t="n">
        <x:v>788</x:v>
      </x:c>
      <x:c r="K169" s="22" t="n">
        <x:v>42.161583734617444</x:v>
      </x:c>
      <x:c r="L169" s="2" t="str">
        <x:v>R_NBS_POP</x:v>
      </x:c>
      <x:c r="M169" s="2" t="str">
        <x:v>R_NBS_URBAN</x:v>
      </x:c>
      <x:c r="N169" s="2" t="str">
        <x:v>R_NBS_INCOME</x:v>
      </x:c>
      <x:c r="O169" s="2" t="str">
        <x:v>R_NBS_EMPLOYMENT</x:v>
      </x:c>
      <x:c r="P169" s="2" t="str">
        <x:v>未获取同口径省级连续面板；不以登记失业率替代调查失业率</x:v>
      </x:c>
      <x:c r="Q169" s="2" t="str">
        <x:v>未检出，不代表实际零发生</x:v>
      </x:c>
    </x:row>
    <x:row r="170" ht="38" customHeight="1">
      <x:c r="A170" s="2" t="str">
        <x:v>云南</x:v>
      </x:c>
      <x:c r="B170" s="9" t="n">
        <x:v>2018</x:v>
      </x:c>
      <x:c r="C170" s="9" t="n">
        <x:f>COUNTIFS('事件主表'!$D$2:$D$215,A170,'事件主表'!$BH$2:$BH$215,B170,'事件主表'!$F$2:$F$215,"core")</x:f>
        <x:v>0</x:v>
      </x:c>
      <x:c r="D170" s="9" t="n">
        <x:v>4703</x:v>
      </x:c>
      <x:c r="E170" s="22" t="n">
        <x:f>C170/(D170/100)</x:f>
        <x:v>0</x:v>
      </x:c>
      <x:c r="F170" s="22" t="n">
        <x:v>47.44</x:v>
      </x:c>
      <x:c r="G170" s="9" t="n">
        <x:v>20084</x:v>
      </x:c>
      <x:c r="H170" s="2"/>
      <x:c r="I170" s="9"/>
      <x:c r="J170" s="9"/>
      <x:c r="K170" s="22"/>
      <x:c r="L170" s="2" t="str">
        <x:v>R_NBS_POP</x:v>
      </x:c>
      <x:c r="M170" s="2" t="str">
        <x:v>R_NBS_URBAN</x:v>
      </x:c>
      <x:c r="N170" s="2" t="str">
        <x:v>R_NBS_INCOME</x:v>
      </x:c>
      <x:c r="O170" s="2"/>
      <x:c r="P170" s="2" t="str">
        <x:v>未获取同口径省级连续面板；不以登记失业率替代调查失业率</x:v>
      </x:c>
      <x:c r="Q170" s="2" t="str">
        <x:v>未检出，不代表实际零发生</x:v>
      </x:c>
    </x:row>
    <x:row r="171" ht="38" customHeight="1">
      <x:c r="A171" s="2" t="str">
        <x:v>云南</x:v>
      </x:c>
      <x:c r="B171" s="9" t="n">
        <x:v>2019</x:v>
      </x:c>
      <x:c r="C171" s="9" t="n">
        <x:f>COUNTIFS('事件主表'!$D$2:$D$215,A171,'事件主表'!$BH$2:$BH$215,B171,'事件主表'!$F$2:$F$215,"core")</x:f>
        <x:v>1</x:v>
      </x:c>
      <x:c r="D171" s="9" t="n">
        <x:v>4714</x:v>
      </x:c>
      <x:c r="E171" s="22" t="n">
        <x:f>C171/(D171/100)</x:f>
        <x:v>0.021213406873143825</x:v>
      </x:c>
      <x:c r="F171" s="22" t="n">
        <x:v>48.67</x:v>
      </x:c>
      <x:c r="G171" s="9" t="n">
        <x:v>22082</x:v>
      </x:c>
      <x:c r="H171" s="2"/>
      <x:c r="I171" s="9"/>
      <x:c r="J171" s="9"/>
      <x:c r="K171" s="22"/>
      <x:c r="L171" s="2" t="str">
        <x:v>R_NBS_POP</x:v>
      </x:c>
      <x:c r="M171" s="2" t="str">
        <x:v>R_NBS_URBAN</x:v>
      </x:c>
      <x:c r="N171" s="2" t="str">
        <x:v>R_NBS_INCOME</x:v>
      </x:c>
      <x:c r="O171" s="2"/>
      <x:c r="P171" s="2" t="str">
        <x:v>未获取同口径省级连续面板；不以登记失业率替代调查失业率</x:v>
      </x:c>
      <x:c r="Q171" s="2" t="str">
        <x:v>公开核实记录</x:v>
      </x:c>
    </x:row>
    <x:row r="172" ht="38" customHeight="1">
      <x:c r="A172" s="2" t="str">
        <x:v>云南</x:v>
      </x:c>
      <x:c r="B172" s="9" t="n">
        <x:v>2020</x:v>
      </x:c>
      <x:c r="C172" s="9" t="n">
        <x:f>COUNTIFS('事件主表'!$D$2:$D$215,A172,'事件主表'!$BH$2:$BH$215,B172,'事件主表'!$F$2:$F$215,"core")</x:f>
        <x:v>0</x:v>
      </x:c>
      <x:c r="D172" s="9" t="n">
        <x:v>4722</x:v>
      </x:c>
      <x:c r="E172" s="22" t="n">
        <x:f>C172/(D172/100)</x:f>
        <x:v>0</x:v>
      </x:c>
      <x:c r="F172" s="22" t="n">
        <x:v>50.05</x:v>
      </x:c>
      <x:c r="G172" s="9" t="n">
        <x:v>23295</x:v>
      </x:c>
      <x:c r="H172" s="2"/>
      <x:c r="I172" s="9"/>
      <x:c r="J172" s="9"/>
      <x:c r="K172" s="22"/>
      <x:c r="L172" s="2" t="str">
        <x:v>R_NBS_POP</x:v>
      </x:c>
      <x:c r="M172" s="2" t="str">
        <x:v>R_NBS_URBAN</x:v>
      </x:c>
      <x:c r="N172" s="2" t="str">
        <x:v>R_NBS_INCOME</x:v>
      </x:c>
      <x:c r="O172" s="2"/>
      <x:c r="P172" s="2" t="str">
        <x:v>未获取同口径省级连续面板；不以登记失业率替代调查失业率</x:v>
      </x:c>
      <x:c r="Q172" s="2" t="str">
        <x:v>未检出，不代表实际零发生</x:v>
      </x:c>
    </x:row>
    <x:row r="173" ht="38" customHeight="1">
      <x:c r="A173" s="2" t="str">
        <x:v>云南</x:v>
      </x:c>
      <x:c r="B173" s="9" t="n">
        <x:v>2021</x:v>
      </x:c>
      <x:c r="C173" s="9" t="n">
        <x:f>COUNTIFS('事件主表'!$D$2:$D$215,A173,'事件主表'!$BH$2:$BH$215,B173,'事件主表'!$F$2:$F$215,"core")</x:f>
        <x:v>0</x:v>
      </x:c>
      <x:c r="D173" s="9" t="n">
        <x:v>4690</x:v>
      </x:c>
      <x:c r="E173" s="22" t="n">
        <x:f>C173/(D173/100)</x:f>
        <x:v>0</x:v>
      </x:c>
      <x:c r="F173" s="22" t="n">
        <x:v>51.05</x:v>
      </x:c>
      <x:c r="G173" s="9" t="n">
        <x:v>25666</x:v>
      </x:c>
      <x:c r="H173" s="2"/>
      <x:c r="I173" s="9"/>
      <x:c r="J173" s="9"/>
      <x:c r="K173" s="22"/>
      <x:c r="L173" s="2" t="str">
        <x:v>R_NBS_POP</x:v>
      </x:c>
      <x:c r="M173" s="2" t="str">
        <x:v>R_NBS_URBAN</x:v>
      </x:c>
      <x:c r="N173" s="2" t="str">
        <x:v>R_NBS_INCOME</x:v>
      </x:c>
      <x:c r="O173" s="2"/>
      <x:c r="P173" s="2" t="str">
        <x:v>未获取同口径省级连续面板；不以登记失业率替代调查失业率</x:v>
      </x:c>
      <x:c r="Q173" s="2" t="str">
        <x:v>未检出，不代表实际零发生</x:v>
      </x:c>
    </x:row>
    <x:row r="174" ht="38" customHeight="1">
      <x:c r="A174" s="2" t="str">
        <x:v>云南</x:v>
      </x:c>
      <x:c r="B174" s="9" t="n">
        <x:v>2022</x:v>
      </x:c>
      <x:c r="C174" s="9" t="n">
        <x:f>COUNTIFS('事件主表'!$D$2:$D$215,A174,'事件主表'!$BH$2:$BH$215,B174,'事件主表'!$F$2:$F$215,"core")</x:f>
        <x:v>0</x:v>
      </x:c>
      <x:c r="D174" s="9" t="n">
        <x:v>4693</x:v>
      </x:c>
      <x:c r="E174" s="22" t="n">
        <x:f>C174/(D174/100)</x:f>
        <x:v>0</x:v>
      </x:c>
      <x:c r="F174" s="22" t="n">
        <x:v>51.72</x:v>
      </x:c>
      <x:c r="G174" s="9" t="n">
        <x:v>26937</x:v>
      </x:c>
      <x:c r="H174" s="2"/>
      <x:c r="I174" s="9"/>
      <x:c r="J174" s="9"/>
      <x:c r="K174" s="22"/>
      <x:c r="L174" s="2" t="str">
        <x:v>R_NBS_POP</x:v>
      </x:c>
      <x:c r="M174" s="2" t="str">
        <x:v>R_NBS_URBAN</x:v>
      </x:c>
      <x:c r="N174" s="2" t="str">
        <x:v>R_NBS_INCOME</x:v>
      </x:c>
      <x:c r="O174" s="2"/>
      <x:c r="P174" s="2" t="str">
        <x:v>未获取同口径省级连续面板；不以登记失业率替代调查失业率</x:v>
      </x:c>
      <x:c r="Q174" s="2" t="str">
        <x:v>未检出，不代表实际零发生</x:v>
      </x:c>
    </x:row>
    <x:row r="175" ht="38" customHeight="1">
      <x:c r="A175" s="2" t="str">
        <x:v>云南</x:v>
      </x:c>
      <x:c r="B175" s="9" t="n">
        <x:v>2023</x:v>
      </x:c>
      <x:c r="C175" s="9" t="n">
        <x:f>COUNTIFS('事件主表'!$D$2:$D$215,A175,'事件主表'!$BH$2:$BH$215,B175,'事件主表'!$F$2:$F$215,"core")</x:f>
        <x:v>0</x:v>
      </x:c>
      <x:c r="D175" s="9" t="n">
        <x:v>4673</x:v>
      </x:c>
      <x:c r="E175" s="22" t="n">
        <x:f>C175/(D175/100)</x:f>
        <x:v>0</x:v>
      </x:c>
      <x:c r="F175" s="22" t="n">
        <x:v>52.92</x:v>
      </x:c>
      <x:c r="G175" s="9" t="n">
        <x:v>28421</x:v>
      </x:c>
      <x:c r="H175" s="2"/>
      <x:c r="I175" s="9"/>
      <x:c r="J175" s="9"/>
      <x:c r="K175" s="22"/>
      <x:c r="L175" s="2" t="str">
        <x:v>R_NBS_POP</x:v>
      </x:c>
      <x:c r="M175" s="2" t="str">
        <x:v>R_NBS_URBAN</x:v>
      </x:c>
      <x:c r="N175" s="2" t="str">
        <x:v>R_NBS_INCOME</x:v>
      </x:c>
      <x:c r="O175" s="2"/>
      <x:c r="P175" s="2" t="str">
        <x:v>未获取同口径省级连续面板；不以登记失业率替代调查失业率</x:v>
      </x:c>
      <x:c r="Q175" s="2" t="str">
        <x:v>未检出，不代表实际零发生</x:v>
      </x:c>
    </x:row>
    <x:row r="176" ht="38" customHeight="1">
      <x:c r="A176" s="2" t="str">
        <x:v>云南</x:v>
      </x:c>
      <x:c r="B176" s="9" t="n">
        <x:v>2024</x:v>
      </x:c>
      <x:c r="C176" s="9" t="n">
        <x:f>COUNTIFS('事件主表'!$D$2:$D$215,A176,'事件主表'!$BH$2:$BH$215,B176,'事件主表'!$F$2:$F$215,"core")</x:f>
        <x:v>0</x:v>
      </x:c>
      <x:c r="D176" s="9" t="n">
        <x:v>4655</x:v>
      </x:c>
      <x:c r="E176" s="22" t="n">
        <x:f>C176/(D176/100)</x:f>
        <x:v>0</x:v>
      </x:c>
      <x:c r="F176" s="22" t="n">
        <x:v>54.11</x:v>
      </x:c>
      <x:c r="G176" s="9" t="n">
        <x:v>29932</x:v>
      </x:c>
      <x:c r="H176" s="2"/>
      <x:c r="I176" s="9" t="n">
        <x:v>2707</x:v>
      </x:c>
      <x:c r="J176" s="9" t="n">
        <x:v>1074</x:v>
      </x:c>
      <x:c r="K176" s="22" t="n">
        <x:v>39.67491688215737</x:v>
      </x:c>
      <x:c r="L176" s="2" t="str">
        <x:v>R_NBS_POP</x:v>
      </x:c>
      <x:c r="M176" s="2" t="str">
        <x:v>R_NBS_URBAN</x:v>
      </x:c>
      <x:c r="N176" s="2" t="str">
        <x:v>R_NBS_INCOME</x:v>
      </x:c>
      <x:c r="O176" s="2" t="str">
        <x:v>R_NBS_EMPLOYMENT</x:v>
      </x:c>
      <x:c r="P176" s="2" t="str">
        <x:v>未获取同口径省级连续面板；不以登记失业率替代调查失业率</x:v>
      </x:c>
      <x:c r="Q176" s="2" t="str">
        <x:v>未检出，不代表实际零发生</x:v>
      </x:c>
    </x:row>
    <x:row r="177" ht="38" customHeight="1">
      <x:c r="A177" s="2" t="str">
        <x:v>西藏</x:v>
      </x:c>
      <x:c r="B177" s="9" t="n">
        <x:v>2018</x:v>
      </x:c>
      <x:c r="C177" s="9" t="n">
        <x:f>COUNTIFS('事件主表'!$D$2:$D$215,A177,'事件主表'!$BH$2:$BH$215,B177,'事件主表'!$F$2:$F$215,"core")</x:f>
        <x:v>0</x:v>
      </x:c>
      <x:c r="D177" s="9" t="n">
        <x:v>354</x:v>
      </x:c>
      <x:c r="E177" s="22" t="n">
        <x:f>C177/(D177/100)</x:f>
        <x:v>0</x:v>
      </x:c>
      <x:c r="F177" s="22" t="n">
        <x:v>33.8</x:v>
      </x:c>
      <x:c r="G177" s="9" t="n">
        <x:v>17286</x:v>
      </x:c>
      <x:c r="H177" s="2"/>
      <x:c r="I177" s="9"/>
      <x:c r="J177" s="9"/>
      <x:c r="K177" s="22"/>
      <x:c r="L177" s="2" t="str">
        <x:v>R_NBS_POP</x:v>
      </x:c>
      <x:c r="M177" s="2" t="str">
        <x:v>R_NBS_URBAN</x:v>
      </x:c>
      <x:c r="N177" s="2" t="str">
        <x:v>R_NBS_INCOME</x:v>
      </x:c>
      <x:c r="O177" s="2"/>
      <x:c r="P177" s="2" t="str">
        <x:v>未获取同口径省级连续面板；不以登记失业率替代调查失业率</x:v>
      </x:c>
      <x:c r="Q177" s="2" t="str">
        <x:v>未检出，不代表实际零发生</x:v>
      </x:c>
    </x:row>
    <x:row r="178" ht="38" customHeight="1">
      <x:c r="A178" s="2" t="str">
        <x:v>西藏</x:v>
      </x:c>
      <x:c r="B178" s="9" t="n">
        <x:v>2019</x:v>
      </x:c>
      <x:c r="C178" s="9" t="n">
        <x:f>COUNTIFS('事件主表'!$D$2:$D$215,A178,'事件主表'!$BH$2:$BH$215,B178,'事件主表'!$F$2:$F$215,"core")</x:f>
        <x:v>0</x:v>
      </x:c>
      <x:c r="D178" s="9" t="n">
        <x:v>361</x:v>
      </x:c>
      <x:c r="E178" s="22" t="n">
        <x:f>C178/(D178/100)</x:f>
        <x:v>0</x:v>
      </x:c>
      <x:c r="F178" s="22" t="n">
        <x:v>34.51</x:v>
      </x:c>
      <x:c r="G178" s="9" t="n">
        <x:v>19501</x:v>
      </x:c>
      <x:c r="H178" s="2"/>
      <x:c r="I178" s="9"/>
      <x:c r="J178" s="9"/>
      <x:c r="K178" s="22"/>
      <x:c r="L178" s="2" t="str">
        <x:v>R_NBS_POP</x:v>
      </x:c>
      <x:c r="M178" s="2" t="str">
        <x:v>R_NBS_URBAN</x:v>
      </x:c>
      <x:c r="N178" s="2" t="str">
        <x:v>R_NBS_INCOME</x:v>
      </x:c>
      <x:c r="O178" s="2"/>
      <x:c r="P178" s="2" t="str">
        <x:v>未获取同口径省级连续面板；不以登记失业率替代调查失业率</x:v>
      </x:c>
      <x:c r="Q178" s="2" t="str">
        <x:v>未检出，不代表实际零发生</x:v>
      </x:c>
    </x:row>
    <x:row r="179" ht="38" customHeight="1">
      <x:c r="A179" s="2" t="str">
        <x:v>西藏</x:v>
      </x:c>
      <x:c r="B179" s="9" t="n">
        <x:v>2020</x:v>
      </x:c>
      <x:c r="C179" s="9" t="n">
        <x:f>COUNTIFS('事件主表'!$D$2:$D$215,A179,'事件主表'!$BH$2:$BH$215,B179,'事件主表'!$F$2:$F$215,"core")</x:f>
        <x:v>0</x:v>
      </x:c>
      <x:c r="D179" s="9" t="n">
        <x:v>366</x:v>
      </x:c>
      <x:c r="E179" s="22" t="n">
        <x:f>C179/(D179/100)</x:f>
        <x:v>0</x:v>
      </x:c>
      <x:c r="F179" s="22" t="n">
        <x:v>35.73</x:v>
      </x:c>
      <x:c r="G179" s="9" t="n">
        <x:v>21744</x:v>
      </x:c>
      <x:c r="H179" s="2"/>
      <x:c r="I179" s="9"/>
      <x:c r="J179" s="9"/>
      <x:c r="K179" s="22"/>
      <x:c r="L179" s="2" t="str">
        <x:v>R_NBS_POP</x:v>
      </x:c>
      <x:c r="M179" s="2" t="str">
        <x:v>R_NBS_URBAN</x:v>
      </x:c>
      <x:c r="N179" s="2" t="str">
        <x:v>R_NBS_INCOME</x:v>
      </x:c>
      <x:c r="O179" s="2"/>
      <x:c r="P179" s="2" t="str">
        <x:v>未获取同口径省级连续面板；不以登记失业率替代调查失业率</x:v>
      </x:c>
      <x:c r="Q179" s="2" t="str">
        <x:v>未检出，不代表实际零发生</x:v>
      </x:c>
    </x:row>
    <x:row r="180" ht="38" customHeight="1">
      <x:c r="A180" s="2" t="str">
        <x:v>西藏</x:v>
      </x:c>
      <x:c r="B180" s="9" t="n">
        <x:v>2021</x:v>
      </x:c>
      <x:c r="C180" s="9" t="n">
        <x:f>COUNTIFS('事件主表'!$D$2:$D$215,A180,'事件主表'!$BH$2:$BH$215,B180,'事件主表'!$F$2:$F$215,"core")</x:f>
        <x:v>0</x:v>
      </x:c>
      <x:c r="D180" s="9" t="n">
        <x:v>366</x:v>
      </x:c>
      <x:c r="E180" s="22" t="n">
        <x:f>C180/(D180/100)</x:f>
        <x:v>0</x:v>
      </x:c>
      <x:c r="F180" s="22" t="n">
        <x:v>36.61</x:v>
      </x:c>
      <x:c r="G180" s="9" t="n">
        <x:v>24950</x:v>
      </x:c>
      <x:c r="H180" s="2"/>
      <x:c r="I180" s="9"/>
      <x:c r="J180" s="9"/>
      <x:c r="K180" s="22"/>
      <x:c r="L180" s="2" t="str">
        <x:v>R_NBS_POP</x:v>
      </x:c>
      <x:c r="M180" s="2" t="str">
        <x:v>R_NBS_URBAN</x:v>
      </x:c>
      <x:c r="N180" s="2" t="str">
        <x:v>R_NBS_INCOME</x:v>
      </x:c>
      <x:c r="O180" s="2"/>
      <x:c r="P180" s="2" t="str">
        <x:v>未获取同口径省级连续面板；不以登记失业率替代调查失业率</x:v>
      </x:c>
      <x:c r="Q180" s="2" t="str">
        <x:v>未检出，不代表实际零发生</x:v>
      </x:c>
    </x:row>
    <x:row r="181" ht="38" customHeight="1">
      <x:c r="A181" s="2" t="str">
        <x:v>西藏</x:v>
      </x:c>
      <x:c r="B181" s="9" t="n">
        <x:v>2022</x:v>
      </x:c>
      <x:c r="C181" s="9" t="n">
        <x:f>COUNTIFS('事件主表'!$D$2:$D$215,A181,'事件主表'!$BH$2:$BH$215,B181,'事件主表'!$F$2:$F$215,"core")</x:f>
        <x:v>0</x:v>
      </x:c>
      <x:c r="D181" s="9" t="n">
        <x:v>364</x:v>
      </x:c>
      <x:c r="E181" s="22" t="n">
        <x:f>C181/(D181/100)</x:f>
        <x:v>0</x:v>
      </x:c>
      <x:c r="F181" s="22" t="n">
        <x:v>37.39</x:v>
      </x:c>
      <x:c r="G181" s="9" t="n">
        <x:v>26675</x:v>
      </x:c>
      <x:c r="H181" s="2"/>
      <x:c r="I181" s="9"/>
      <x:c r="J181" s="9"/>
      <x:c r="K181" s="22"/>
      <x:c r="L181" s="2" t="str">
        <x:v>R_NBS_POP</x:v>
      </x:c>
      <x:c r="M181" s="2" t="str">
        <x:v>R_NBS_URBAN</x:v>
      </x:c>
      <x:c r="N181" s="2" t="str">
        <x:v>R_NBS_INCOME</x:v>
      </x:c>
      <x:c r="O181" s="2"/>
      <x:c r="P181" s="2" t="str">
        <x:v>未获取同口径省级连续面板；不以登记失业率替代调查失业率</x:v>
      </x:c>
      <x:c r="Q181" s="2" t="str">
        <x:v>未检出，不代表实际零发生</x:v>
      </x:c>
    </x:row>
    <x:row r="182" ht="38" customHeight="1">
      <x:c r="A182" s="2" t="str">
        <x:v>西藏</x:v>
      </x:c>
      <x:c r="B182" s="9" t="n">
        <x:v>2023</x:v>
      </x:c>
      <x:c r="C182" s="9" t="n">
        <x:f>COUNTIFS('事件主表'!$D$2:$D$215,A182,'事件主表'!$BH$2:$BH$215,B182,'事件主表'!$F$2:$F$215,"core")</x:f>
        <x:v>0</x:v>
      </x:c>
      <x:c r="D182" s="9" t="n">
        <x:v>365</x:v>
      </x:c>
      <x:c r="E182" s="22" t="n">
        <x:f>C182/(D182/100)</x:f>
        <x:v>0</x:v>
      </x:c>
      <x:c r="F182" s="22" t="n">
        <x:v>38.88</x:v>
      </x:c>
      <x:c r="G182" s="9" t="n">
        <x:v>28983</x:v>
      </x:c>
      <x:c r="H182" s="2"/>
      <x:c r="I182" s="9"/>
      <x:c r="J182" s="9"/>
      <x:c r="K182" s="22"/>
      <x:c r="L182" s="2" t="str">
        <x:v>R_NBS_POP</x:v>
      </x:c>
      <x:c r="M182" s="2" t="str">
        <x:v>R_NBS_URBAN</x:v>
      </x:c>
      <x:c r="N182" s="2" t="str">
        <x:v>R_NBS_INCOME</x:v>
      </x:c>
      <x:c r="O182" s="2"/>
      <x:c r="P182" s="2" t="str">
        <x:v>未获取同口径省级连续面板；不以登记失业率替代调查失业率</x:v>
      </x:c>
      <x:c r="Q182" s="2" t="str">
        <x:v>未检出，不代表实际零发生</x:v>
      </x:c>
    </x:row>
    <x:row r="183" ht="38" customHeight="1">
      <x:c r="A183" s="2" t="str">
        <x:v>西藏</x:v>
      </x:c>
      <x:c r="B183" s="9" t="n">
        <x:v>2024</x:v>
      </x:c>
      <x:c r="C183" s="9" t="n">
        <x:f>COUNTIFS('事件主表'!$D$2:$D$215,A183,'事件主表'!$BH$2:$BH$215,B183,'事件主表'!$F$2:$F$215,"core")</x:f>
        <x:v>0</x:v>
      </x:c>
      <x:c r="D183" s="9" t="n">
        <x:v>370</x:v>
      </x:c>
      <x:c r="E183" s="22" t="n">
        <x:f>C183/(D183/100)</x:f>
        <x:v>0</x:v>
      </x:c>
      <x:c r="F183" s="22" t="n">
        <x:v>39.68</x:v>
      </x:c>
      <x:c r="G183" s="9" t="n">
        <x:v>31358</x:v>
      </x:c>
      <x:c r="H183" s="2"/>
      <x:c r="I183" s="9" t="n">
        <x:v>195</x:v>
      </x:c>
      <x:c r="J183" s="9" t="n">
        <x:v>99</x:v>
      </x:c>
      <x:c r="K183" s="22" t="n">
        <x:v>50.76923076923077</x:v>
      </x:c>
      <x:c r="L183" s="2" t="str">
        <x:v>R_NBS_POP</x:v>
      </x:c>
      <x:c r="M183" s="2" t="str">
        <x:v>R_NBS_URBAN</x:v>
      </x:c>
      <x:c r="N183" s="2" t="str">
        <x:v>R_NBS_INCOME</x:v>
      </x:c>
      <x:c r="O183" s="2" t="str">
        <x:v>R_NBS_EMPLOYMENT</x:v>
      </x:c>
      <x:c r="P183" s="2" t="str">
        <x:v>未获取同口径省级连续面板；不以登记失业率替代调查失业率</x:v>
      </x:c>
      <x:c r="Q183" s="2" t="str">
        <x:v>未检出，不代表实际零发生</x:v>
      </x:c>
    </x:row>
    <x:row r="184" ht="38" customHeight="1">
      <x:c r="A184" s="2" t="str">
        <x:v>陕西</x:v>
      </x:c>
      <x:c r="B184" s="9" t="n">
        <x:v>2018</x:v>
      </x:c>
      <x:c r="C184" s="9" t="n">
        <x:f>COUNTIFS('事件主表'!$D$2:$D$215,A184,'事件主表'!$BH$2:$BH$215,B184,'事件主表'!$F$2:$F$215,"core")</x:f>
        <x:v>2</x:v>
      </x:c>
      <x:c r="D184" s="9" t="n">
        <x:v>3931</x:v>
      </x:c>
      <x:c r="E184" s="22" t="n">
        <x:f>C184/(D184/100)</x:f>
        <x:v>0.050877639277537516</x:v>
      </x:c>
      <x:c r="F184" s="22" t="n">
        <x:v>59.65</x:v>
      </x:c>
      <x:c r="G184" s="9" t="n">
        <x:v>22528</x:v>
      </x:c>
      <x:c r="H184" s="2"/>
      <x:c r="I184" s="9"/>
      <x:c r="J184" s="9"/>
      <x:c r="K184" s="22"/>
      <x:c r="L184" s="2" t="str">
        <x:v>R_NBS_POP</x:v>
      </x:c>
      <x:c r="M184" s="2" t="str">
        <x:v>R_NBS_URBAN</x:v>
      </x:c>
      <x:c r="N184" s="2" t="str">
        <x:v>R_NBS_INCOME</x:v>
      </x:c>
      <x:c r="O184" s="2"/>
      <x:c r="P184" s="2" t="str">
        <x:v>未获取同口径省级连续面板；不以登记失业率替代调查失业率</x:v>
      </x:c>
      <x:c r="Q184" s="2" t="str">
        <x:v>公开核实记录</x:v>
      </x:c>
    </x:row>
    <x:row r="185" ht="38" customHeight="1">
      <x:c r="A185" s="2" t="str">
        <x:v>陕西</x:v>
      </x:c>
      <x:c r="B185" s="9" t="n">
        <x:v>2019</x:v>
      </x:c>
      <x:c r="C185" s="9" t="n">
        <x:f>COUNTIFS('事件主表'!$D$2:$D$215,A185,'事件主表'!$BH$2:$BH$215,B185,'事件主表'!$F$2:$F$215,"core")</x:f>
        <x:v>0</x:v>
      </x:c>
      <x:c r="D185" s="9" t="n">
        <x:v>3944</x:v>
      </x:c>
      <x:c r="E185" s="22" t="n">
        <x:f>C185/(D185/100)</x:f>
        <x:v>0</x:v>
      </x:c>
      <x:c r="F185" s="22" t="n">
        <x:v>61.28</x:v>
      </x:c>
      <x:c r="G185" s="9" t="n">
        <x:v>24666</x:v>
      </x:c>
      <x:c r="H185" s="2"/>
      <x:c r="I185" s="9"/>
      <x:c r="J185" s="9"/>
      <x:c r="K185" s="22"/>
      <x:c r="L185" s="2" t="str">
        <x:v>R_NBS_POP</x:v>
      </x:c>
      <x:c r="M185" s="2" t="str">
        <x:v>R_NBS_URBAN</x:v>
      </x:c>
      <x:c r="N185" s="2" t="str">
        <x:v>R_NBS_INCOME</x:v>
      </x:c>
      <x:c r="O185" s="2"/>
      <x:c r="P185" s="2" t="str">
        <x:v>未获取同口径省级连续面板；不以登记失业率替代调查失业率</x:v>
      </x:c>
      <x:c r="Q185" s="2" t="str">
        <x:v>未检出，不代表实际零发生</x:v>
      </x:c>
    </x:row>
    <x:row r="186" ht="38" customHeight="1">
      <x:c r="A186" s="2" t="str">
        <x:v>陕西</x:v>
      </x:c>
      <x:c r="B186" s="9" t="n">
        <x:v>2020</x:v>
      </x:c>
      <x:c r="C186" s="9" t="n">
        <x:f>COUNTIFS('事件主表'!$D$2:$D$215,A186,'事件主表'!$BH$2:$BH$215,B186,'事件主表'!$F$2:$F$215,"core")</x:f>
        <x:v>1</x:v>
      </x:c>
      <x:c r="D186" s="9" t="n">
        <x:v>3955</x:v>
      </x:c>
      <x:c r="E186" s="22" t="n">
        <x:f>C186/(D186/100)</x:f>
        <x:v>0.025284450063211127</x:v>
      </x:c>
      <x:c r="F186" s="22" t="n">
        <x:v>62.66</x:v>
      </x:c>
      <x:c r="G186" s="9" t="n">
        <x:v>26226</x:v>
      </x:c>
      <x:c r="H186" s="2"/>
      <x:c r="I186" s="9"/>
      <x:c r="J186" s="9"/>
      <x:c r="K186" s="22"/>
      <x:c r="L186" s="2" t="str">
        <x:v>R_NBS_POP</x:v>
      </x:c>
      <x:c r="M186" s="2" t="str">
        <x:v>R_NBS_URBAN</x:v>
      </x:c>
      <x:c r="N186" s="2" t="str">
        <x:v>R_NBS_INCOME</x:v>
      </x:c>
      <x:c r="O186" s="2"/>
      <x:c r="P186" s="2" t="str">
        <x:v>未获取同口径省级连续面板；不以登记失业率替代调查失业率</x:v>
      </x:c>
      <x:c r="Q186" s="2" t="str">
        <x:v>公开核实记录</x:v>
      </x:c>
    </x:row>
    <x:row r="187" ht="38" customHeight="1">
      <x:c r="A187" s="2" t="str">
        <x:v>陕西</x:v>
      </x:c>
      <x:c r="B187" s="9" t="n">
        <x:v>2021</x:v>
      </x:c>
      <x:c r="C187" s="9" t="n">
        <x:f>COUNTIFS('事件主表'!$D$2:$D$215,A187,'事件主表'!$BH$2:$BH$215,B187,'事件主表'!$F$2:$F$215,"core")</x:f>
        <x:v>0</x:v>
      </x:c>
      <x:c r="D187" s="9" t="n">
        <x:v>3954</x:v>
      </x:c>
      <x:c r="E187" s="22" t="n">
        <x:f>C187/(D187/100)</x:f>
        <x:v>0</x:v>
      </x:c>
      <x:c r="F187" s="22" t="n">
        <x:v>63.63</x:v>
      </x:c>
      <x:c r="G187" s="9" t="n">
        <x:v>28568</x:v>
      </x:c>
      <x:c r="H187" s="2"/>
      <x:c r="I187" s="9"/>
      <x:c r="J187" s="9"/>
      <x:c r="K187" s="22"/>
      <x:c r="L187" s="2" t="str">
        <x:v>R_NBS_POP</x:v>
      </x:c>
      <x:c r="M187" s="2" t="str">
        <x:v>R_NBS_URBAN</x:v>
      </x:c>
      <x:c r="N187" s="2" t="str">
        <x:v>R_NBS_INCOME</x:v>
      </x:c>
      <x:c r="O187" s="2"/>
      <x:c r="P187" s="2" t="str">
        <x:v>未获取同口径省级连续面板；不以登记失业率替代调查失业率</x:v>
      </x:c>
      <x:c r="Q187" s="2" t="str">
        <x:v>未检出，不代表实际零发生</x:v>
      </x:c>
    </x:row>
    <x:row r="188" ht="38" customHeight="1">
      <x:c r="A188" s="2" t="str">
        <x:v>陕西</x:v>
      </x:c>
      <x:c r="B188" s="9" t="n">
        <x:v>2022</x:v>
      </x:c>
      <x:c r="C188" s="9" t="n">
        <x:f>COUNTIFS('事件主表'!$D$2:$D$215,A188,'事件主表'!$BH$2:$BH$215,B188,'事件主表'!$F$2:$F$215,"core")</x:f>
        <x:v>0</x:v>
      </x:c>
      <x:c r="D188" s="9" t="n">
        <x:v>3956</x:v>
      </x:c>
      <x:c r="E188" s="22" t="n">
        <x:f>C188/(D188/100)</x:f>
        <x:v>0</x:v>
      </x:c>
      <x:c r="F188" s="22" t="n">
        <x:v>64.02</x:v>
      </x:c>
      <x:c r="G188" s="9" t="n">
        <x:v>30116</x:v>
      </x:c>
      <x:c r="H188" s="2"/>
      <x:c r="I188" s="9"/>
      <x:c r="J188" s="9"/>
      <x:c r="K188" s="22"/>
      <x:c r="L188" s="2" t="str">
        <x:v>R_NBS_POP</x:v>
      </x:c>
      <x:c r="M188" s="2" t="str">
        <x:v>R_NBS_URBAN</x:v>
      </x:c>
      <x:c r="N188" s="2" t="str">
        <x:v>R_NBS_INCOME</x:v>
      </x:c>
      <x:c r="O188" s="2"/>
      <x:c r="P188" s="2" t="str">
        <x:v>未获取同口径省级连续面板；不以登记失业率替代调查失业率</x:v>
      </x:c>
      <x:c r="Q188" s="2" t="str">
        <x:v>未检出，不代表实际零发生</x:v>
      </x:c>
    </x:row>
    <x:row r="189" ht="38" customHeight="1">
      <x:c r="A189" s="2" t="str">
        <x:v>陕西</x:v>
      </x:c>
      <x:c r="B189" s="9" t="n">
        <x:v>2023</x:v>
      </x:c>
      <x:c r="C189" s="9" t="n">
        <x:f>COUNTIFS('事件主表'!$D$2:$D$215,A189,'事件主表'!$BH$2:$BH$215,B189,'事件主表'!$F$2:$F$215,"core")</x:f>
        <x:v>0</x:v>
      </x:c>
      <x:c r="D189" s="9" t="n">
        <x:v>3952</x:v>
      </x:c>
      <x:c r="E189" s="22" t="n">
        <x:f>C189/(D189/100)</x:f>
        <x:v>0</x:v>
      </x:c>
      <x:c r="F189" s="22" t="n">
        <x:v>65.16</x:v>
      </x:c>
      <x:c r="G189" s="9" t="n">
        <x:v>32128</x:v>
      </x:c>
      <x:c r="H189" s="2"/>
      <x:c r="I189" s="9"/>
      <x:c r="J189" s="9"/>
      <x:c r="K189" s="22"/>
      <x:c r="L189" s="2" t="str">
        <x:v>R_NBS_POP</x:v>
      </x:c>
      <x:c r="M189" s="2" t="str">
        <x:v>R_NBS_URBAN</x:v>
      </x:c>
      <x:c r="N189" s="2" t="str">
        <x:v>R_NBS_INCOME</x:v>
      </x:c>
      <x:c r="O189" s="2"/>
      <x:c r="P189" s="2" t="str">
        <x:v>未获取同口径省级连续面板；不以登记失业率替代调查失业率</x:v>
      </x:c>
      <x:c r="Q189" s="2" t="str">
        <x:v>未检出，不代表实际零发生</x:v>
      </x:c>
    </x:row>
    <x:row r="190" ht="38" customHeight="1">
      <x:c r="A190" s="2" t="str">
        <x:v>陕西</x:v>
      </x:c>
      <x:c r="B190" s="9" t="n">
        <x:v>2024</x:v>
      </x:c>
      <x:c r="C190" s="9" t="n">
        <x:f>COUNTIFS('事件主表'!$D$2:$D$215,A190,'事件主表'!$BH$2:$BH$215,B190,'事件主表'!$F$2:$F$215,"core")</x:f>
        <x:v>0</x:v>
      </x:c>
      <x:c r="D190" s="9" t="n">
        <x:v>3953</x:v>
      </x:c>
      <x:c r="E190" s="22" t="n">
        <x:f>C190/(D190/100)</x:f>
        <x:v>0</x:v>
      </x:c>
      <x:c r="F190" s="22" t="n">
        <x:v>66.14</x:v>
      </x:c>
      <x:c r="G190" s="9" t="n">
        <x:v>33905</x:v>
      </x:c>
      <x:c r="H190" s="2"/>
      <x:c r="I190" s="9" t="n">
        <x:v>2067</x:v>
      </x:c>
      <x:c r="J190" s="9" t="n">
        <x:v>1039</x:v>
      </x:c>
      <x:c r="K190" s="22" t="n">
        <x:v>50.26608611514272</x:v>
      </x:c>
      <x:c r="L190" s="2" t="str">
        <x:v>R_NBS_POP</x:v>
      </x:c>
      <x:c r="M190" s="2" t="str">
        <x:v>R_NBS_URBAN</x:v>
      </x:c>
      <x:c r="N190" s="2" t="str">
        <x:v>R_NBS_INCOME</x:v>
      </x:c>
      <x:c r="O190" s="2" t="str">
        <x:v>R_NBS_EMPLOYMENT</x:v>
      </x:c>
      <x:c r="P190" s="2" t="str">
        <x:v>未获取同口径省级连续面板；不以登记失业率替代调查失业率</x:v>
      </x:c>
      <x:c r="Q190" s="2" t="str">
        <x:v>未检出，不代表实际零发生</x:v>
      </x:c>
    </x:row>
    <x:row r="191" ht="38" customHeight="1">
      <x:c r="A191" s="2" t="str">
        <x:v>甘肃</x:v>
      </x:c>
      <x:c r="B191" s="9" t="n">
        <x:v>2018</x:v>
      </x:c>
      <x:c r="C191" s="9" t="n">
        <x:f>COUNTIFS('事件主表'!$D$2:$D$215,A191,'事件主表'!$BH$2:$BH$215,B191,'事件主表'!$F$2:$F$215,"core")</x:f>
        <x:v>0</x:v>
      </x:c>
      <x:c r="D191" s="9" t="n">
        <x:v>2515</x:v>
      </x:c>
      <x:c r="E191" s="22" t="n">
        <x:f>C191/(D191/100)</x:f>
        <x:v>0</x:v>
      </x:c>
      <x:c r="F191" s="22" t="n">
        <x:v>49.69</x:v>
      </x:c>
      <x:c r="G191" s="9" t="n">
        <x:v>17488</x:v>
      </x:c>
      <x:c r="H191" s="2"/>
      <x:c r="I191" s="9"/>
      <x:c r="J191" s="9"/>
      <x:c r="K191" s="22"/>
      <x:c r="L191" s="2" t="str">
        <x:v>R_NBS_POP</x:v>
      </x:c>
      <x:c r="M191" s="2" t="str">
        <x:v>R_NBS_URBAN</x:v>
      </x:c>
      <x:c r="N191" s="2" t="str">
        <x:v>R_NBS_INCOME</x:v>
      </x:c>
      <x:c r="O191" s="2"/>
      <x:c r="P191" s="2" t="str">
        <x:v>未获取同口径省级连续面板；不以登记失业率替代调查失业率</x:v>
      </x:c>
      <x:c r="Q191" s="2" t="str">
        <x:v>未检出，不代表实际零发生</x:v>
      </x:c>
    </x:row>
    <x:row r="192" ht="38" customHeight="1">
      <x:c r="A192" s="2" t="str">
        <x:v>甘肃</x:v>
      </x:c>
      <x:c r="B192" s="9" t="n">
        <x:v>2019</x:v>
      </x:c>
      <x:c r="C192" s="9" t="n">
        <x:f>COUNTIFS('事件主表'!$D$2:$D$215,A192,'事件主表'!$BH$2:$BH$215,B192,'事件主表'!$F$2:$F$215,"core")</x:f>
        <x:v>0</x:v>
      </x:c>
      <x:c r="D192" s="9" t="n">
        <x:v>2509</x:v>
      </x:c>
      <x:c r="E192" s="22" t="n">
        <x:f>C192/(D192/100)</x:f>
        <x:v>0</x:v>
      </x:c>
      <x:c r="F192" s="22" t="n">
        <x:v>50.7</x:v>
      </x:c>
      <x:c r="G192" s="9" t="n">
        <x:v>19139</x:v>
      </x:c>
      <x:c r="H192" s="2"/>
      <x:c r="I192" s="9"/>
      <x:c r="J192" s="9"/>
      <x:c r="K192" s="22"/>
      <x:c r="L192" s="2" t="str">
        <x:v>R_NBS_POP</x:v>
      </x:c>
      <x:c r="M192" s="2" t="str">
        <x:v>R_NBS_URBAN</x:v>
      </x:c>
      <x:c r="N192" s="2" t="str">
        <x:v>R_NBS_INCOME</x:v>
      </x:c>
      <x:c r="O192" s="2"/>
      <x:c r="P192" s="2" t="str">
        <x:v>未获取同口径省级连续面板；不以登记失业率替代调查失业率</x:v>
      </x:c>
      <x:c r="Q192" s="2" t="str">
        <x:v>未检出，不代表实际零发生</x:v>
      </x:c>
    </x:row>
    <x:row r="193" ht="38" customHeight="1">
      <x:c r="A193" s="2" t="str">
        <x:v>甘肃</x:v>
      </x:c>
      <x:c r="B193" s="9" t="n">
        <x:v>2020</x:v>
      </x:c>
      <x:c r="C193" s="9" t="n">
        <x:f>COUNTIFS('事件主表'!$D$2:$D$215,A193,'事件主表'!$BH$2:$BH$215,B193,'事件主表'!$F$2:$F$215,"core")</x:f>
        <x:v>0</x:v>
      </x:c>
      <x:c r="D193" s="9" t="n">
        <x:v>2501</x:v>
      </x:c>
      <x:c r="E193" s="22" t="n">
        <x:f>C193/(D193/100)</x:f>
        <x:v>0</x:v>
      </x:c>
      <x:c r="F193" s="22" t="n">
        <x:v>52.23</x:v>
      </x:c>
      <x:c r="G193" s="9" t="n">
        <x:v>20335</x:v>
      </x:c>
      <x:c r="H193" s="2"/>
      <x:c r="I193" s="9"/>
      <x:c r="J193" s="9"/>
      <x:c r="K193" s="22"/>
      <x:c r="L193" s="2" t="str">
        <x:v>R_NBS_POP</x:v>
      </x:c>
      <x:c r="M193" s="2" t="str">
        <x:v>R_NBS_URBAN</x:v>
      </x:c>
      <x:c r="N193" s="2" t="str">
        <x:v>R_NBS_INCOME</x:v>
      </x:c>
      <x:c r="O193" s="2"/>
      <x:c r="P193" s="2" t="str">
        <x:v>未获取同口径省级连续面板；不以登记失业率替代调查失业率</x:v>
      </x:c>
      <x:c r="Q193" s="2" t="str">
        <x:v>未检出，不代表实际零发生</x:v>
      </x:c>
    </x:row>
    <x:row r="194" ht="38" customHeight="1">
      <x:c r="A194" s="2" t="str">
        <x:v>甘肃</x:v>
      </x:c>
      <x:c r="B194" s="9" t="n">
        <x:v>2021</x:v>
      </x:c>
      <x:c r="C194" s="9" t="n">
        <x:f>COUNTIFS('事件主表'!$D$2:$D$215,A194,'事件主表'!$BH$2:$BH$215,B194,'事件主表'!$F$2:$F$215,"core")</x:f>
        <x:v>0</x:v>
      </x:c>
      <x:c r="D194" s="9" t="n">
        <x:v>2490</x:v>
      </x:c>
      <x:c r="E194" s="22" t="n">
        <x:f>C194/(D194/100)</x:f>
        <x:v>0</x:v>
      </x:c>
      <x:c r="F194" s="22" t="n">
        <x:v>53.33</x:v>
      </x:c>
      <x:c r="G194" s="9" t="n">
        <x:v>22066</x:v>
      </x:c>
      <x:c r="H194" s="2"/>
      <x:c r="I194" s="9"/>
      <x:c r="J194" s="9"/>
      <x:c r="K194" s="22"/>
      <x:c r="L194" s="2" t="str">
        <x:v>R_NBS_POP</x:v>
      </x:c>
      <x:c r="M194" s="2" t="str">
        <x:v>R_NBS_URBAN</x:v>
      </x:c>
      <x:c r="N194" s="2" t="str">
        <x:v>R_NBS_INCOME</x:v>
      </x:c>
      <x:c r="O194" s="2"/>
      <x:c r="P194" s="2" t="str">
        <x:v>未获取同口径省级连续面板；不以登记失业率替代调查失业率</x:v>
      </x:c>
      <x:c r="Q194" s="2" t="str">
        <x:v>未检出，不代表实际零发生</x:v>
      </x:c>
    </x:row>
    <x:row r="195" ht="38" customHeight="1">
      <x:c r="A195" s="2" t="str">
        <x:v>甘肃</x:v>
      </x:c>
      <x:c r="B195" s="9" t="n">
        <x:v>2022</x:v>
      </x:c>
      <x:c r="C195" s="9" t="n">
        <x:f>COUNTIFS('事件主表'!$D$2:$D$215,A195,'事件主表'!$BH$2:$BH$215,B195,'事件主表'!$F$2:$F$215,"core")</x:f>
        <x:v>0</x:v>
      </x:c>
      <x:c r="D195" s="9" t="n">
        <x:v>2492</x:v>
      </x:c>
      <x:c r="E195" s="22" t="n">
        <x:f>C195/(D195/100)</x:f>
        <x:v>0</x:v>
      </x:c>
      <x:c r="F195" s="22" t="n">
        <x:v>54.19</x:v>
      </x:c>
      <x:c r="G195" s="9" t="n">
        <x:v>23273</x:v>
      </x:c>
      <x:c r="H195" s="2"/>
      <x:c r="I195" s="9"/>
      <x:c r="J195" s="9"/>
      <x:c r="K195" s="22"/>
      <x:c r="L195" s="2" t="str">
        <x:v>R_NBS_POP</x:v>
      </x:c>
      <x:c r="M195" s="2" t="str">
        <x:v>R_NBS_URBAN</x:v>
      </x:c>
      <x:c r="N195" s="2" t="str">
        <x:v>R_NBS_INCOME</x:v>
      </x:c>
      <x:c r="O195" s="2"/>
      <x:c r="P195" s="2" t="str">
        <x:v>未获取同口径省级连续面板；不以登记失业率替代调查失业率</x:v>
      </x:c>
      <x:c r="Q195" s="2" t="str">
        <x:v>未检出，不代表实际零发生</x:v>
      </x:c>
    </x:row>
    <x:row r="196" ht="38" customHeight="1">
      <x:c r="A196" s="2" t="str">
        <x:v>甘肃</x:v>
      </x:c>
      <x:c r="B196" s="9" t="n">
        <x:v>2023</x:v>
      </x:c>
      <x:c r="C196" s="9" t="n">
        <x:f>COUNTIFS('事件主表'!$D$2:$D$215,A196,'事件主表'!$BH$2:$BH$215,B196,'事件主表'!$F$2:$F$215,"core")</x:f>
        <x:v>0</x:v>
      </x:c>
      <x:c r="D196" s="9" t="n">
        <x:v>2465</x:v>
      </x:c>
      <x:c r="E196" s="22" t="n">
        <x:f>C196/(D196/100)</x:f>
        <x:v>0</x:v>
      </x:c>
      <x:c r="F196" s="22" t="n">
        <x:v>55.49</x:v>
      </x:c>
      <x:c r="G196" s="9" t="n">
        <x:v>25011</x:v>
      </x:c>
      <x:c r="H196" s="2"/>
      <x:c r="I196" s="9"/>
      <x:c r="J196" s="9"/>
      <x:c r="K196" s="22"/>
      <x:c r="L196" s="2" t="str">
        <x:v>R_NBS_POP</x:v>
      </x:c>
      <x:c r="M196" s="2" t="str">
        <x:v>R_NBS_URBAN</x:v>
      </x:c>
      <x:c r="N196" s="2" t="str">
        <x:v>R_NBS_INCOME</x:v>
      </x:c>
      <x:c r="O196" s="2"/>
      <x:c r="P196" s="2" t="str">
        <x:v>未获取同口径省级连续面板；不以登记失业率替代调查失业率</x:v>
      </x:c>
      <x:c r="Q196" s="2" t="str">
        <x:v>未检出，不代表实际零发生</x:v>
      </x:c>
    </x:row>
    <x:row r="197" ht="38" customHeight="1">
      <x:c r="A197" s="2" t="str">
        <x:v>甘肃</x:v>
      </x:c>
      <x:c r="B197" s="9" t="n">
        <x:v>2024</x:v>
      </x:c>
      <x:c r="C197" s="9" t="n">
        <x:f>COUNTIFS('事件主表'!$D$2:$D$215,A197,'事件主表'!$BH$2:$BH$215,B197,'事件主表'!$F$2:$F$215,"core")</x:f>
        <x:v>0</x:v>
      </x:c>
      <x:c r="D197" s="9" t="n">
        <x:v>2458</x:v>
      </x:c>
      <x:c r="E197" s="22" t="n">
        <x:f>C197/(D197/100)</x:f>
        <x:v>0</x:v>
      </x:c>
      <x:c r="F197" s="22" t="n">
        <x:v>56.83</x:v>
      </x:c>
      <x:c r="G197" s="9" t="n">
        <x:v>26612</x:v>
      </x:c>
      <x:c r="H197" s="2"/>
      <x:c r="I197" s="9" t="n">
        <x:v>1297</x:v>
      </x:c>
      <x:c r="J197" s="9" t="n">
        <x:v>504</x:v>
      </x:c>
      <x:c r="K197" s="22" t="n">
        <x:v>38.858905165767155</x:v>
      </x:c>
      <x:c r="L197" s="2" t="str">
        <x:v>R_NBS_POP</x:v>
      </x:c>
      <x:c r="M197" s="2" t="str">
        <x:v>R_NBS_URBAN</x:v>
      </x:c>
      <x:c r="N197" s="2" t="str">
        <x:v>R_NBS_INCOME</x:v>
      </x:c>
      <x:c r="O197" s="2" t="str">
        <x:v>R_NBS_EMPLOYMENT</x:v>
      </x:c>
      <x:c r="P197" s="2" t="str">
        <x:v>未获取同口径省级连续面板；不以登记失业率替代调查失业率</x:v>
      </x:c>
      <x:c r="Q197" s="2" t="str">
        <x:v>未检出，不代表实际零发生</x:v>
      </x:c>
    </x:row>
    <x:row r="198" ht="38" customHeight="1">
      <x:c r="A198" s="2" t="str">
        <x:v>青海</x:v>
      </x:c>
      <x:c r="B198" s="9" t="n">
        <x:v>2018</x:v>
      </x:c>
      <x:c r="C198" s="9" t="n">
        <x:f>COUNTIFS('事件主表'!$D$2:$D$215,A198,'事件主表'!$BH$2:$BH$215,B198,'事件主表'!$F$2:$F$215,"core")</x:f>
        <x:v>0</x:v>
      </x:c>
      <x:c r="D198" s="9" t="n">
        <x:v>587</x:v>
      </x:c>
      <x:c r="E198" s="22" t="n">
        <x:f>C198/(D198/100)</x:f>
        <x:v>0</x:v>
      </x:c>
      <x:c r="F198" s="22" t="n">
        <x:v>57.27</x:v>
      </x:c>
      <x:c r="G198" s="9" t="n">
        <x:v>20757</x:v>
      </x:c>
      <x:c r="H198" s="2"/>
      <x:c r="I198" s="9"/>
      <x:c r="J198" s="9"/>
      <x:c r="K198" s="22"/>
      <x:c r="L198" s="2" t="str">
        <x:v>R_NBS_POP</x:v>
      </x:c>
      <x:c r="M198" s="2" t="str">
        <x:v>R_NBS_URBAN</x:v>
      </x:c>
      <x:c r="N198" s="2" t="str">
        <x:v>R_NBS_INCOME</x:v>
      </x:c>
      <x:c r="O198" s="2"/>
      <x:c r="P198" s="2" t="str">
        <x:v>未获取同口径省级连续面板；不以登记失业率替代调查失业率</x:v>
      </x:c>
      <x:c r="Q198" s="2" t="str">
        <x:v>未检出，不代表实际零发生</x:v>
      </x:c>
    </x:row>
    <x:row r="199" ht="38" customHeight="1">
      <x:c r="A199" s="2" t="str">
        <x:v>青海</x:v>
      </x:c>
      <x:c r="B199" s="9" t="n">
        <x:v>2019</x:v>
      </x:c>
      <x:c r="C199" s="9" t="n">
        <x:f>COUNTIFS('事件主表'!$D$2:$D$215,A199,'事件主表'!$BH$2:$BH$215,B199,'事件主表'!$F$2:$F$215,"core")</x:f>
        <x:v>0</x:v>
      </x:c>
      <x:c r="D199" s="9" t="n">
        <x:v>590</x:v>
      </x:c>
      <x:c r="E199" s="22" t="n">
        <x:f>C199/(D199/100)</x:f>
        <x:v>0</x:v>
      </x:c>
      <x:c r="F199" s="22" t="n">
        <x:v>58.78</x:v>
      </x:c>
      <x:c r="G199" s="9" t="n">
        <x:v>22618</x:v>
      </x:c>
      <x:c r="H199" s="2"/>
      <x:c r="I199" s="9"/>
      <x:c r="J199" s="9"/>
      <x:c r="K199" s="22"/>
      <x:c r="L199" s="2" t="str">
        <x:v>R_NBS_POP</x:v>
      </x:c>
      <x:c r="M199" s="2" t="str">
        <x:v>R_NBS_URBAN</x:v>
      </x:c>
      <x:c r="N199" s="2" t="str">
        <x:v>R_NBS_INCOME</x:v>
      </x:c>
      <x:c r="O199" s="2"/>
      <x:c r="P199" s="2" t="str">
        <x:v>未获取同口径省级连续面板；不以登记失业率替代调查失业率</x:v>
      </x:c>
      <x:c r="Q199" s="2" t="str">
        <x:v>未检出，不代表实际零发生</x:v>
      </x:c>
    </x:row>
    <x:row r="200" ht="38" customHeight="1">
      <x:c r="A200" s="2" t="str">
        <x:v>青海</x:v>
      </x:c>
      <x:c r="B200" s="9" t="n">
        <x:v>2020</x:v>
      </x:c>
      <x:c r="C200" s="9" t="n">
        <x:f>COUNTIFS('事件主表'!$D$2:$D$215,A200,'事件主表'!$BH$2:$BH$215,B200,'事件主表'!$F$2:$F$215,"core")</x:f>
        <x:v>0</x:v>
      </x:c>
      <x:c r="D200" s="9" t="n">
        <x:v>593</x:v>
      </x:c>
      <x:c r="E200" s="22" t="n">
        <x:f>C200/(D200/100)</x:f>
        <x:v>0</x:v>
      </x:c>
      <x:c r="F200" s="22" t="n">
        <x:v>60.08</x:v>
      </x:c>
      <x:c r="G200" s="9" t="n">
        <x:v>24037</x:v>
      </x:c>
      <x:c r="H200" s="2"/>
      <x:c r="I200" s="9"/>
      <x:c r="J200" s="9"/>
      <x:c r="K200" s="22"/>
      <x:c r="L200" s="2" t="str">
        <x:v>R_NBS_POP</x:v>
      </x:c>
      <x:c r="M200" s="2" t="str">
        <x:v>R_NBS_URBAN</x:v>
      </x:c>
      <x:c r="N200" s="2" t="str">
        <x:v>R_NBS_INCOME</x:v>
      </x:c>
      <x:c r="O200" s="2"/>
      <x:c r="P200" s="2" t="str">
        <x:v>未获取同口径省级连续面板；不以登记失业率替代调查失业率</x:v>
      </x:c>
      <x:c r="Q200" s="2" t="str">
        <x:v>未检出，不代表实际零发生</x:v>
      </x:c>
    </x:row>
    <x:row r="201" ht="38" customHeight="1">
      <x:c r="A201" s="2" t="str">
        <x:v>青海</x:v>
      </x:c>
      <x:c r="B201" s="9" t="n">
        <x:v>2021</x:v>
      </x:c>
      <x:c r="C201" s="9" t="n">
        <x:f>COUNTIFS('事件主表'!$D$2:$D$215,A201,'事件主表'!$BH$2:$BH$215,B201,'事件主表'!$F$2:$F$215,"core")</x:f>
        <x:v>0</x:v>
      </x:c>
      <x:c r="D201" s="9" t="n">
        <x:v>594</x:v>
      </x:c>
      <x:c r="E201" s="22" t="n">
        <x:f>C201/(D201/100)</x:f>
        <x:v>0</x:v>
      </x:c>
      <x:c r="F201" s="22" t="n">
        <x:v>61.02</x:v>
      </x:c>
      <x:c r="G201" s="9" t="n">
        <x:v>25919</x:v>
      </x:c>
      <x:c r="H201" s="2"/>
      <x:c r="I201" s="9"/>
      <x:c r="J201" s="9"/>
      <x:c r="K201" s="22"/>
      <x:c r="L201" s="2" t="str">
        <x:v>R_NBS_POP</x:v>
      </x:c>
      <x:c r="M201" s="2" t="str">
        <x:v>R_NBS_URBAN</x:v>
      </x:c>
      <x:c r="N201" s="2" t="str">
        <x:v>R_NBS_INCOME</x:v>
      </x:c>
      <x:c r="O201" s="2"/>
      <x:c r="P201" s="2" t="str">
        <x:v>未获取同口径省级连续面板；不以登记失业率替代调查失业率</x:v>
      </x:c>
      <x:c r="Q201" s="2" t="str">
        <x:v>未检出，不代表实际零发生</x:v>
      </x:c>
    </x:row>
    <x:row r="202" ht="38" customHeight="1">
      <x:c r="A202" s="2" t="str">
        <x:v>青海</x:v>
      </x:c>
      <x:c r="B202" s="9" t="n">
        <x:v>2022</x:v>
      </x:c>
      <x:c r="C202" s="9" t="n">
        <x:f>COUNTIFS('事件主表'!$D$2:$D$215,A202,'事件主表'!$BH$2:$BH$215,B202,'事件主表'!$F$2:$F$215,"core")</x:f>
        <x:v>0</x:v>
      </x:c>
      <x:c r="D202" s="9" t="n">
        <x:v>595</x:v>
      </x:c>
      <x:c r="E202" s="22" t="n">
        <x:f>C202/(D202/100)</x:f>
        <x:v>0</x:v>
      </x:c>
      <x:c r="F202" s="22" t="n">
        <x:v>61.43</x:v>
      </x:c>
      <x:c r="G202" s="9" t="n">
        <x:v>27000</x:v>
      </x:c>
      <x:c r="H202" s="2"/>
      <x:c r="I202" s="9"/>
      <x:c r="J202" s="9"/>
      <x:c r="K202" s="22"/>
      <x:c r="L202" s="2" t="str">
        <x:v>R_NBS_POP</x:v>
      </x:c>
      <x:c r="M202" s="2" t="str">
        <x:v>R_NBS_URBAN</x:v>
      </x:c>
      <x:c r="N202" s="2" t="str">
        <x:v>R_NBS_INCOME</x:v>
      </x:c>
      <x:c r="O202" s="2"/>
      <x:c r="P202" s="2" t="str">
        <x:v>未获取同口径省级连续面板；不以登记失业率替代调查失业率</x:v>
      </x:c>
      <x:c r="Q202" s="2" t="str">
        <x:v>未检出，不代表实际零发生</x:v>
      </x:c>
    </x:row>
    <x:row r="203" ht="38" customHeight="1">
      <x:c r="A203" s="2" t="str">
        <x:v>青海</x:v>
      </x:c>
      <x:c r="B203" s="9" t="n">
        <x:v>2023</x:v>
      </x:c>
      <x:c r="C203" s="9" t="n">
        <x:f>COUNTIFS('事件主表'!$D$2:$D$215,A203,'事件主表'!$BH$2:$BH$215,B203,'事件主表'!$F$2:$F$215,"core")</x:f>
        <x:v>0</x:v>
      </x:c>
      <x:c r="D203" s="9" t="n">
        <x:v>594</x:v>
      </x:c>
      <x:c r="E203" s="22" t="n">
        <x:f>C203/(D203/100)</x:f>
        <x:v>0</x:v>
      </x:c>
      <x:c r="F203" s="22" t="n">
        <x:v>62.8</x:v>
      </x:c>
      <x:c r="G203" s="9" t="n">
        <x:v>28587</x:v>
      </x:c>
      <x:c r="H203" s="2"/>
      <x:c r="I203" s="9"/>
      <x:c r="J203" s="9"/>
      <x:c r="K203" s="22"/>
      <x:c r="L203" s="2" t="str">
        <x:v>R_NBS_POP</x:v>
      </x:c>
      <x:c r="M203" s="2" t="str">
        <x:v>R_NBS_URBAN</x:v>
      </x:c>
      <x:c r="N203" s="2" t="str">
        <x:v>R_NBS_INCOME</x:v>
      </x:c>
      <x:c r="O203" s="2"/>
      <x:c r="P203" s="2" t="str">
        <x:v>未获取同口径省级连续面板；不以登记失业率替代调查失业率</x:v>
      </x:c>
      <x:c r="Q203" s="2" t="str">
        <x:v>未检出，不代表实际零发生</x:v>
      </x:c>
    </x:row>
    <x:row r="204" ht="38" customHeight="1">
      <x:c r="A204" s="2" t="str">
        <x:v>青海</x:v>
      </x:c>
      <x:c r="B204" s="9" t="n">
        <x:v>2024</x:v>
      </x:c>
      <x:c r="C204" s="9" t="n">
        <x:f>COUNTIFS('事件主表'!$D$2:$D$215,A204,'事件主表'!$BH$2:$BH$215,B204,'事件主表'!$F$2:$F$215,"core")</x:f>
        <x:v>0</x:v>
      </x:c>
      <x:c r="D204" s="9" t="n">
        <x:v>593</x:v>
      </x:c>
      <x:c r="E204" s="22" t="n">
        <x:f>C204/(D204/100)</x:f>
        <x:v>0</x:v>
      </x:c>
      <x:c r="F204" s="22" t="n">
        <x:v>63.86</x:v>
      </x:c>
      <x:c r="G204" s="9" t="n">
        <x:v>30117</x:v>
      </x:c>
      <x:c r="H204" s="2"/>
      <x:c r="I204" s="9" t="n">
        <x:v>267</x:v>
      </x:c>
      <x:c r="J204" s="9" t="n">
        <x:v>143</x:v>
      </x:c>
      <x:c r="K204" s="22" t="n">
        <x:v>53.558052434456926</x:v>
      </x:c>
      <x:c r="L204" s="2" t="str">
        <x:v>R_NBS_POP</x:v>
      </x:c>
      <x:c r="M204" s="2" t="str">
        <x:v>R_NBS_URBAN</x:v>
      </x:c>
      <x:c r="N204" s="2" t="str">
        <x:v>R_NBS_INCOME</x:v>
      </x:c>
      <x:c r="O204" s="2" t="str">
        <x:v>R_NBS_EMPLOYMENT</x:v>
      </x:c>
      <x:c r="P204" s="2" t="str">
        <x:v>未获取同口径省级连续面板；不以登记失业率替代调查失业率</x:v>
      </x:c>
      <x:c r="Q204" s="2" t="str">
        <x:v>未检出，不代表实际零发生</x:v>
      </x:c>
    </x:row>
    <x:row r="205" ht="38" customHeight="1">
      <x:c r="A205" s="2" t="str">
        <x:v>宁夏</x:v>
      </x:c>
      <x:c r="B205" s="9" t="n">
        <x:v>2018</x:v>
      </x:c>
      <x:c r="C205" s="9" t="n">
        <x:f>COUNTIFS('事件主表'!$D$2:$D$215,A205,'事件主表'!$BH$2:$BH$215,B205,'事件主表'!$F$2:$F$215,"core")</x:f>
        <x:v>0</x:v>
      </x:c>
      <x:c r="D205" s="9" t="n">
        <x:v>710</x:v>
      </x:c>
      <x:c r="E205" s="22" t="n">
        <x:f>C205/(D205/100)</x:f>
        <x:v>0</x:v>
      </x:c>
      <x:c r="F205" s="22" t="n">
        <x:v>62.15</x:v>
      </x:c>
      <x:c r="G205" s="9" t="n">
        <x:v>22400</x:v>
      </x:c>
      <x:c r="H205" s="2"/>
      <x:c r="I205" s="9"/>
      <x:c r="J205" s="9"/>
      <x:c r="K205" s="22"/>
      <x:c r="L205" s="2" t="str">
        <x:v>R_NBS_POP</x:v>
      </x:c>
      <x:c r="M205" s="2" t="str">
        <x:v>R_NBS_URBAN</x:v>
      </x:c>
      <x:c r="N205" s="2" t="str">
        <x:v>R_NBS_INCOME</x:v>
      </x:c>
      <x:c r="O205" s="2"/>
      <x:c r="P205" s="2" t="str">
        <x:v>未获取同口径省级连续面板；不以登记失业率替代调查失业率</x:v>
      </x:c>
      <x:c r="Q205" s="2" t="str">
        <x:v>未检出，不代表实际零发生</x:v>
      </x:c>
    </x:row>
    <x:row r="206" ht="38" customHeight="1">
      <x:c r="A206" s="2" t="str">
        <x:v>宁夏</x:v>
      </x:c>
      <x:c r="B206" s="9" t="n">
        <x:v>2019</x:v>
      </x:c>
      <x:c r="C206" s="9" t="n">
        <x:f>COUNTIFS('事件主表'!$D$2:$D$215,A206,'事件主表'!$BH$2:$BH$215,B206,'事件主表'!$F$2:$F$215,"core")</x:f>
        <x:v>0</x:v>
      </x:c>
      <x:c r="D206" s="9" t="n">
        <x:v>717</x:v>
      </x:c>
      <x:c r="E206" s="22" t="n">
        <x:f>C206/(D206/100)</x:f>
        <x:v>0</x:v>
      </x:c>
      <x:c r="F206" s="22" t="n">
        <x:v>63.63</x:v>
      </x:c>
      <x:c r="G206" s="9" t="n">
        <x:v>24412</x:v>
      </x:c>
      <x:c r="H206" s="2"/>
      <x:c r="I206" s="9"/>
      <x:c r="J206" s="9"/>
      <x:c r="K206" s="22"/>
      <x:c r="L206" s="2" t="str">
        <x:v>R_NBS_POP</x:v>
      </x:c>
      <x:c r="M206" s="2" t="str">
        <x:v>R_NBS_URBAN</x:v>
      </x:c>
      <x:c r="N206" s="2" t="str">
        <x:v>R_NBS_INCOME</x:v>
      </x:c>
      <x:c r="O206" s="2"/>
      <x:c r="P206" s="2" t="str">
        <x:v>未获取同口径省级连续面板；不以登记失业率替代调查失业率</x:v>
      </x:c>
      <x:c r="Q206" s="2" t="str">
        <x:v>未检出，不代表实际零发生</x:v>
      </x:c>
    </x:row>
    <x:row r="207" ht="38" customHeight="1">
      <x:c r="A207" s="2" t="str">
        <x:v>宁夏</x:v>
      </x:c>
      <x:c r="B207" s="9" t="n">
        <x:v>2020</x:v>
      </x:c>
      <x:c r="C207" s="9" t="n">
        <x:f>COUNTIFS('事件主表'!$D$2:$D$215,A207,'事件主表'!$BH$2:$BH$215,B207,'事件主表'!$F$2:$F$215,"core")</x:f>
        <x:v>0</x:v>
      </x:c>
      <x:c r="D207" s="9" t="n">
        <x:v>721</x:v>
      </x:c>
      <x:c r="E207" s="22" t="n">
        <x:f>C207/(D207/100)</x:f>
        <x:v>0</x:v>
      </x:c>
      <x:c r="F207" s="22" t="n">
        <x:v>64.96</x:v>
      </x:c>
      <x:c r="G207" s="9" t="n">
        <x:v>25735</x:v>
      </x:c>
      <x:c r="H207" s="2"/>
      <x:c r="I207" s="9"/>
      <x:c r="J207" s="9"/>
      <x:c r="K207" s="22"/>
      <x:c r="L207" s="2" t="str">
        <x:v>R_NBS_POP</x:v>
      </x:c>
      <x:c r="M207" s="2" t="str">
        <x:v>R_NBS_URBAN</x:v>
      </x:c>
      <x:c r="N207" s="2" t="str">
        <x:v>R_NBS_INCOME</x:v>
      </x:c>
      <x:c r="O207" s="2"/>
      <x:c r="P207" s="2" t="str">
        <x:v>未获取同口径省级连续面板；不以登记失业率替代调查失业率</x:v>
      </x:c>
      <x:c r="Q207" s="2" t="str">
        <x:v>未检出，不代表实际零发生</x:v>
      </x:c>
    </x:row>
    <x:row r="208" ht="38" customHeight="1">
      <x:c r="A208" s="2" t="str">
        <x:v>宁夏</x:v>
      </x:c>
      <x:c r="B208" s="9" t="n">
        <x:v>2021</x:v>
      </x:c>
      <x:c r="C208" s="9" t="n">
        <x:f>COUNTIFS('事件主表'!$D$2:$D$215,A208,'事件主表'!$BH$2:$BH$215,B208,'事件主表'!$F$2:$F$215,"core")</x:f>
        <x:v>0</x:v>
      </x:c>
      <x:c r="D208" s="9" t="n">
        <x:v>725</x:v>
      </x:c>
      <x:c r="E208" s="22" t="n">
        <x:f>C208/(D208/100)</x:f>
        <x:v>0</x:v>
      </x:c>
      <x:c r="F208" s="22" t="n">
        <x:v>66.04</x:v>
      </x:c>
      <x:c r="G208" s="9" t="n">
        <x:v>27904</x:v>
      </x:c>
      <x:c r="H208" s="2"/>
      <x:c r="I208" s="9"/>
      <x:c r="J208" s="9"/>
      <x:c r="K208" s="22"/>
      <x:c r="L208" s="2" t="str">
        <x:v>R_NBS_POP</x:v>
      </x:c>
      <x:c r="M208" s="2" t="str">
        <x:v>R_NBS_URBAN</x:v>
      </x:c>
      <x:c r="N208" s="2" t="str">
        <x:v>R_NBS_INCOME</x:v>
      </x:c>
      <x:c r="O208" s="2"/>
      <x:c r="P208" s="2" t="str">
        <x:v>未获取同口径省级连续面板；不以登记失业率替代调查失业率</x:v>
      </x:c>
      <x:c r="Q208" s="2" t="str">
        <x:v>未检出，不代表实际零发生</x:v>
      </x:c>
    </x:row>
    <x:row r="209" ht="38" customHeight="1">
      <x:c r="A209" s="2" t="str">
        <x:v>宁夏</x:v>
      </x:c>
      <x:c r="B209" s="9" t="n">
        <x:v>2022</x:v>
      </x:c>
      <x:c r="C209" s="9" t="n">
        <x:f>COUNTIFS('事件主表'!$D$2:$D$215,A209,'事件主表'!$BH$2:$BH$215,B209,'事件主表'!$F$2:$F$215,"core")</x:f>
        <x:v>0</x:v>
      </x:c>
      <x:c r="D209" s="9" t="n">
        <x:v>728</x:v>
      </x:c>
      <x:c r="E209" s="22" t="n">
        <x:f>C209/(D209/100)</x:f>
        <x:v>0</x:v>
      </x:c>
      <x:c r="F209" s="22" t="n">
        <x:v>66.34</x:v>
      </x:c>
      <x:c r="G209" s="9" t="n">
        <x:v>29599</x:v>
      </x:c>
      <x:c r="H209" s="2"/>
      <x:c r="I209" s="9"/>
      <x:c r="J209" s="9"/>
      <x:c r="K209" s="22"/>
      <x:c r="L209" s="2" t="str">
        <x:v>R_NBS_POP</x:v>
      </x:c>
      <x:c r="M209" s="2" t="str">
        <x:v>R_NBS_URBAN</x:v>
      </x:c>
      <x:c r="N209" s="2" t="str">
        <x:v>R_NBS_INCOME</x:v>
      </x:c>
      <x:c r="O209" s="2"/>
      <x:c r="P209" s="2" t="str">
        <x:v>未获取同口径省级连续面板；不以登记失业率替代调查失业率</x:v>
      </x:c>
      <x:c r="Q209" s="2" t="str">
        <x:v>未检出，不代表实际零发生</x:v>
      </x:c>
    </x:row>
    <x:row r="210" ht="38" customHeight="1">
      <x:c r="A210" s="2" t="str">
        <x:v>宁夏</x:v>
      </x:c>
      <x:c r="B210" s="9" t="n">
        <x:v>2023</x:v>
      </x:c>
      <x:c r="C210" s="9" t="n">
        <x:f>COUNTIFS('事件主表'!$D$2:$D$215,A210,'事件主表'!$BH$2:$BH$215,B210,'事件主表'!$F$2:$F$215,"core")</x:f>
        <x:v>0</x:v>
      </x:c>
      <x:c r="D210" s="9" t="n">
        <x:v>729</x:v>
      </x:c>
      <x:c r="E210" s="22" t="n">
        <x:f>C210/(D210/100)</x:f>
        <x:v>0</x:v>
      </x:c>
      <x:c r="F210" s="22" t="n">
        <x:v>67.31</x:v>
      </x:c>
      <x:c r="G210" s="9" t="n">
        <x:v>31604</x:v>
      </x:c>
      <x:c r="H210" s="2"/>
      <x:c r="I210" s="9"/>
      <x:c r="J210" s="9"/>
      <x:c r="K210" s="22"/>
      <x:c r="L210" s="2" t="str">
        <x:v>R_NBS_POP</x:v>
      </x:c>
      <x:c r="M210" s="2" t="str">
        <x:v>R_NBS_URBAN</x:v>
      </x:c>
      <x:c r="N210" s="2" t="str">
        <x:v>R_NBS_INCOME</x:v>
      </x:c>
      <x:c r="O210" s="2"/>
      <x:c r="P210" s="2" t="str">
        <x:v>未获取同口径省级连续面板；不以登记失业率替代调查失业率</x:v>
      </x:c>
      <x:c r="Q210" s="2" t="str">
        <x:v>未检出，不代表实际零发生</x:v>
      </x:c>
    </x:row>
    <x:row r="211" ht="38" customHeight="1">
      <x:c r="A211" s="2" t="str">
        <x:v>宁夏</x:v>
      </x:c>
      <x:c r="B211" s="9" t="n">
        <x:v>2024</x:v>
      </x:c>
      <x:c r="C211" s="9" t="n">
        <x:f>COUNTIFS('事件主表'!$D$2:$D$215,A211,'事件主表'!$BH$2:$BH$215,B211,'事件主表'!$F$2:$F$215,"core")</x:f>
        <x:v>0</x:v>
      </x:c>
      <x:c r="D211" s="9" t="n">
        <x:v>729</x:v>
      </x:c>
      <x:c r="E211" s="22" t="n">
        <x:f>C211/(D211/100)</x:f>
        <x:v>0</x:v>
      </x:c>
      <x:c r="F211" s="22" t="n">
        <x:v>68.22</x:v>
      </x:c>
      <x:c r="G211" s="9" t="n">
        <x:v>33355</x:v>
      </x:c>
      <x:c r="H211" s="2"/>
      <x:c r="I211" s="9" t="n">
        <x:v>336</x:v>
      </x:c>
      <x:c r="J211" s="9" t="n">
        <x:v>176</x:v>
      </x:c>
      <x:c r="K211" s="22" t="n">
        <x:v>52.38095238095238</x:v>
      </x:c>
      <x:c r="L211" s="2" t="str">
        <x:v>R_NBS_POP</x:v>
      </x:c>
      <x:c r="M211" s="2" t="str">
        <x:v>R_NBS_URBAN</x:v>
      </x:c>
      <x:c r="N211" s="2" t="str">
        <x:v>R_NBS_INCOME</x:v>
      </x:c>
      <x:c r="O211" s="2" t="str">
        <x:v>R_NBS_EMPLOYMENT</x:v>
      </x:c>
      <x:c r="P211" s="2" t="str">
        <x:v>未获取同口径省级连续面板；不以登记失业率替代调查失业率</x:v>
      </x:c>
      <x:c r="Q211" s="2" t="str">
        <x:v>未检出，不代表实际零发生</x:v>
      </x:c>
    </x:row>
    <x:row r="212" ht="38" customHeight="1">
      <x:c r="A212" s="2" t="str">
        <x:v>新疆</x:v>
      </x:c>
      <x:c r="B212" s="9" t="n">
        <x:v>2018</x:v>
      </x:c>
      <x:c r="C212" s="9" t="n">
        <x:f>COUNTIFS('事件主表'!$D$2:$D$215,A212,'事件主表'!$BH$2:$BH$215,B212,'事件主表'!$F$2:$F$215,"core")</x:f>
        <x:v>0</x:v>
      </x:c>
      <x:c r="D212" s="9" t="n">
        <x:v>2520</x:v>
      </x:c>
      <x:c r="E212" s="22" t="n">
        <x:f>C212/(D212/100)</x:f>
        <x:v>0</x:v>
      </x:c>
      <x:c r="F212" s="22" t="n">
        <x:v>54.01</x:v>
      </x:c>
      <x:c r="G212" s="9" t="n">
        <x:v>21500</x:v>
      </x:c>
      <x:c r="H212" s="2"/>
      <x:c r="I212" s="9"/>
      <x:c r="J212" s="9"/>
      <x:c r="K212" s="22"/>
      <x:c r="L212" s="2" t="str">
        <x:v>R_NBS_POP</x:v>
      </x:c>
      <x:c r="M212" s="2" t="str">
        <x:v>R_NBS_URBAN</x:v>
      </x:c>
      <x:c r="N212" s="2" t="str">
        <x:v>R_NBS_INCOME</x:v>
      </x:c>
      <x:c r="O212" s="2"/>
      <x:c r="P212" s="2" t="str">
        <x:v>未获取同口径省级连续面板；不以登记失业率替代调查失业率</x:v>
      </x:c>
      <x:c r="Q212" s="2" t="str">
        <x:v>未检出，不代表实际零发生</x:v>
      </x:c>
    </x:row>
    <x:row r="213" ht="38" customHeight="1">
      <x:c r="A213" s="2" t="str">
        <x:v>新疆</x:v>
      </x:c>
      <x:c r="B213" s="9" t="n">
        <x:v>2019</x:v>
      </x:c>
      <x:c r="C213" s="9" t="n">
        <x:f>COUNTIFS('事件主表'!$D$2:$D$215,A213,'事件主表'!$BH$2:$BH$215,B213,'事件主表'!$F$2:$F$215,"core")</x:f>
        <x:v>0</x:v>
      </x:c>
      <x:c r="D213" s="9" t="n">
        <x:v>2559</x:v>
      </x:c>
      <x:c r="E213" s="22" t="n">
        <x:f>C213/(D213/100)</x:f>
        <x:v>0</x:v>
      </x:c>
      <x:c r="F213" s="22" t="n">
        <x:v>55.51</x:v>
      </x:c>
      <x:c r="G213" s="9" t="n">
        <x:v>23103</x:v>
      </x:c>
      <x:c r="H213" s="2"/>
      <x:c r="I213" s="9"/>
      <x:c r="J213" s="9"/>
      <x:c r="K213" s="22"/>
      <x:c r="L213" s="2" t="str">
        <x:v>R_NBS_POP</x:v>
      </x:c>
      <x:c r="M213" s="2" t="str">
        <x:v>R_NBS_URBAN</x:v>
      </x:c>
      <x:c r="N213" s="2" t="str">
        <x:v>R_NBS_INCOME</x:v>
      </x:c>
      <x:c r="O213" s="2"/>
      <x:c r="P213" s="2" t="str">
        <x:v>未获取同口径省级连续面板；不以登记失业率替代调查失业率</x:v>
      </x:c>
      <x:c r="Q213" s="2" t="str">
        <x:v>未检出，不代表实际零发生</x:v>
      </x:c>
    </x:row>
    <x:row r="214" ht="38" customHeight="1">
      <x:c r="A214" s="2" t="str">
        <x:v>新疆</x:v>
      </x:c>
      <x:c r="B214" s="9" t="n">
        <x:v>2020</x:v>
      </x:c>
      <x:c r="C214" s="9" t="n">
        <x:f>COUNTIFS('事件主表'!$D$2:$D$215,A214,'事件主表'!$BH$2:$BH$215,B214,'事件主表'!$F$2:$F$215,"core")</x:f>
        <x:v>0</x:v>
      </x:c>
      <x:c r="D214" s="9" t="n">
        <x:v>2590</x:v>
      </x:c>
      <x:c r="E214" s="22" t="n">
        <x:f>C214/(D214/100)</x:f>
        <x:v>0</x:v>
      </x:c>
      <x:c r="F214" s="22" t="n">
        <x:v>56.53</x:v>
      </x:c>
      <x:c r="G214" s="9" t="n">
        <x:v>23845</x:v>
      </x:c>
      <x:c r="H214" s="2"/>
      <x:c r="I214" s="9"/>
      <x:c r="J214" s="9"/>
      <x:c r="K214" s="22"/>
      <x:c r="L214" s="2" t="str">
        <x:v>R_NBS_POP</x:v>
      </x:c>
      <x:c r="M214" s="2" t="str">
        <x:v>R_NBS_URBAN</x:v>
      </x:c>
      <x:c r="N214" s="2" t="str">
        <x:v>R_NBS_INCOME</x:v>
      </x:c>
      <x:c r="O214" s="2"/>
      <x:c r="P214" s="2" t="str">
        <x:v>未获取同口径省级连续面板；不以登记失业率替代调查失业率</x:v>
      </x:c>
      <x:c r="Q214" s="2" t="str">
        <x:v>未检出，不代表实际零发生</x:v>
      </x:c>
    </x:row>
    <x:row r="215" ht="38" customHeight="1">
      <x:c r="A215" s="2" t="str">
        <x:v>新疆</x:v>
      </x:c>
      <x:c r="B215" s="9" t="n">
        <x:v>2021</x:v>
      </x:c>
      <x:c r="C215" s="9" t="n">
        <x:f>COUNTIFS('事件主表'!$D$2:$D$215,A215,'事件主表'!$BH$2:$BH$215,B215,'事件主表'!$F$2:$F$215,"core")</x:f>
        <x:v>0</x:v>
      </x:c>
      <x:c r="D215" s="9" t="n">
        <x:v>2589</x:v>
      </x:c>
      <x:c r="E215" s="22" t="n">
        <x:f>C215/(D215/100)</x:f>
        <x:v>0</x:v>
      </x:c>
      <x:c r="F215" s="22" t="n">
        <x:v>57.26</x:v>
      </x:c>
      <x:c r="G215" s="9" t="n">
        <x:v>26075</x:v>
      </x:c>
      <x:c r="H215" s="2"/>
      <x:c r="I215" s="9"/>
      <x:c r="J215" s="9"/>
      <x:c r="K215" s="22"/>
      <x:c r="L215" s="2" t="str">
        <x:v>R_NBS_POP</x:v>
      </x:c>
      <x:c r="M215" s="2" t="str">
        <x:v>R_NBS_URBAN</x:v>
      </x:c>
      <x:c r="N215" s="2" t="str">
        <x:v>R_NBS_INCOME</x:v>
      </x:c>
      <x:c r="O215" s="2"/>
      <x:c r="P215" s="2" t="str">
        <x:v>未获取同口径省级连续面板；不以登记失业率替代调查失业率</x:v>
      </x:c>
      <x:c r="Q215" s="2" t="str">
        <x:v>未检出，不代表实际零发生</x:v>
      </x:c>
    </x:row>
    <x:row r="216" ht="38" customHeight="1">
      <x:c r="A216" s="2" t="str">
        <x:v>新疆</x:v>
      </x:c>
      <x:c r="B216" s="9" t="n">
        <x:v>2022</x:v>
      </x:c>
      <x:c r="C216" s="9" t="n">
        <x:f>COUNTIFS('事件主表'!$D$2:$D$215,A216,'事件主表'!$BH$2:$BH$215,B216,'事件主表'!$F$2:$F$215,"core")</x:f>
        <x:v>0</x:v>
      </x:c>
      <x:c r="D216" s="9" t="n">
        <x:v>2587</x:v>
      </x:c>
      <x:c r="E216" s="22" t="n">
        <x:f>C216/(D216/100)</x:f>
        <x:v>0</x:v>
      </x:c>
      <x:c r="F216" s="22" t="n">
        <x:v>57.89</x:v>
      </x:c>
      <x:c r="G216" s="9" t="n">
        <x:v>27063</x:v>
      </x:c>
      <x:c r="H216" s="2"/>
      <x:c r="I216" s="9"/>
      <x:c r="J216" s="9"/>
      <x:c r="K216" s="22"/>
      <x:c r="L216" s="2" t="str">
        <x:v>R_NBS_POP</x:v>
      </x:c>
      <x:c r="M216" s="2" t="str">
        <x:v>R_NBS_URBAN</x:v>
      </x:c>
      <x:c r="N216" s="2" t="str">
        <x:v>R_NBS_INCOME</x:v>
      </x:c>
      <x:c r="O216" s="2"/>
      <x:c r="P216" s="2" t="str">
        <x:v>未获取同口径省级连续面板；不以登记失业率替代调查失业率</x:v>
      </x:c>
      <x:c r="Q216" s="2" t="str">
        <x:v>未检出，不代表实际零发生</x:v>
      </x:c>
    </x:row>
    <x:row r="217" ht="38" customHeight="1">
      <x:c r="A217" s="2" t="str">
        <x:v>新疆</x:v>
      </x:c>
      <x:c r="B217" s="9" t="n">
        <x:v>2023</x:v>
      </x:c>
      <x:c r="C217" s="9" t="n">
        <x:f>COUNTIFS('事件主表'!$D$2:$D$215,A217,'事件主表'!$BH$2:$BH$215,B217,'事件主表'!$F$2:$F$215,"core")</x:f>
        <x:v>0</x:v>
      </x:c>
      <x:c r="D217" s="9" t="n">
        <x:v>2598</x:v>
      </x:c>
      <x:c r="E217" s="22" t="n">
        <x:f>C217/(D217/100)</x:f>
        <x:v>0</x:v>
      </x:c>
      <x:c r="F217" s="22" t="n">
        <x:v>59.24</x:v>
      </x:c>
      <x:c r="G217" s="9" t="n">
        <x:v>28947</x:v>
      </x:c>
      <x:c r="H217" s="2"/>
      <x:c r="I217" s="9"/>
      <x:c r="J217" s="9"/>
      <x:c r="K217" s="22"/>
      <x:c r="L217" s="2" t="str">
        <x:v>R_NBS_POP</x:v>
      </x:c>
      <x:c r="M217" s="2" t="str">
        <x:v>R_NBS_URBAN</x:v>
      </x:c>
      <x:c r="N217" s="2" t="str">
        <x:v>R_NBS_INCOME</x:v>
      </x:c>
      <x:c r="O217" s="2"/>
      <x:c r="P217" s="2" t="str">
        <x:v>未获取同口径省级连续面板；不以登记失业率替代调查失业率</x:v>
      </x:c>
      <x:c r="Q217" s="2" t="str">
        <x:v>未检出，不代表实际零发生</x:v>
      </x:c>
    </x:row>
    <x:row r="218" ht="38" customHeight="1">
      <x:c r="A218" s="2" t="str">
        <x:v>新疆</x:v>
      </x:c>
      <x:c r="B218" s="9" t="n">
        <x:v>2024</x:v>
      </x:c>
      <x:c r="C218" s="9" t="n">
        <x:f>COUNTIFS('事件主表'!$D$2:$D$215,A218,'事件主表'!$BH$2:$BH$215,B218,'事件主表'!$F$2:$F$215,"core")</x:f>
        <x:v>0</x:v>
      </x:c>
      <x:c r="D218" s="9" t="n">
        <x:v>2623</x:v>
      </x:c>
      <x:c r="E218" s="22" t="n">
        <x:f>C218/(D218/100)</x:f>
        <x:v>0</x:v>
      </x:c>
      <x:c r="F218" s="22" t="n">
        <x:v>60.36</x:v>
      </x:c>
      <x:c r="G218" s="9" t="n">
        <x:v>30899</x:v>
      </x:c>
      <x:c r="H218" s="2"/>
      <x:c r="I218" s="9" t="n">
        <x:v>1391</x:v>
      </x:c>
      <x:c r="J218" s="9" t="n">
        <x:v>754</x:v>
      </x:c>
      <x:c r="K218" s="22" t="n">
        <x:v>54.205607476635514</x:v>
      </x:c>
      <x:c r="L218" s="2" t="str">
        <x:v>R_NBS_POP</x:v>
      </x:c>
      <x:c r="M218" s="2" t="str">
        <x:v>R_NBS_URBAN</x:v>
      </x:c>
      <x:c r="N218" s="2" t="str">
        <x:v>R_NBS_INCOME</x:v>
      </x:c>
      <x:c r="O218" s="2" t="str">
        <x:v>R_NBS_EMPLOYMENT</x:v>
      </x:c>
      <x:c r="P218" s="2" t="str">
        <x:v>未获取同口径省级连续面板；不以登记失业率替代调查失业率</x:v>
      </x:c>
      <x:c r="Q218" s="2" t="str">
        <x:v>未检出，不代表实际零发生</x:v>
      </x:c>
    </x:row>
    <x:row r="219" ht="38" customHeight="1">
      <x:c r="A219" s="2" t="str">
        <x:v>北京</x:v>
      </x:c>
      <x:c r="B219" s="9" t="n">
        <x:v>2025</x:v>
      </x:c>
      <x:c r="C219" s="9" t="n">
        <x:f>COUNTIFS('事件主表'!$D$2:$D$215,A219,'事件主表'!$BH$2:$BH$215,B219,'事件主表'!$F$2:$F$215,"core")</x:f>
        <x:v>0</x:v>
      </x:c>
      <x:c r="D219" s="9" t="n">
        <x:v>2180</x:v>
      </x:c>
      <x:c r="E219" s="22" t="n">
        <x:f>C219/(D219/100)</x:f>
        <x:v>0</x:v>
      </x:c>
      <x:c r="F219" s="22"/>
      <x:c r="G219" s="9"/>
      <x:c r="H219" s="2"/>
      <x:c r="I219" s="9"/>
      <x:c r="J219" s="9"/>
      <x:c r="K219" s="22"/>
      <x:c r="L219" s="2" t="str">
        <x:v>R_POP2025_MEDIA</x:v>
      </x:c>
      <x:c r="M219" s="2"/>
      <x:c r="N219" s="2"/>
      <x:c r="O219" s="2"/>
      <x:c r="P219" s="2" t="str">
        <x:v>本次背景面板以2018—2024同版年鉴为主；2025仅补人口分母，来源为媒体汇总省级公报，证据级别另列。</x:v>
      </x:c>
      <x:c r="Q219" s="2" t="str">
        <x:v>未检出，不代表实际零发生</x:v>
      </x:c>
    </x:row>
    <x:row r="220" ht="38" customHeight="1">
      <x:c r="A220" s="2" t="str">
        <x:v>天津</x:v>
      </x:c>
      <x:c r="B220" s="9" t="n">
        <x:v>2025</x:v>
      </x:c>
      <x:c r="C220" s="9" t="n">
        <x:f>COUNTIFS('事件主表'!$D$2:$D$215,A220,'事件主表'!$BH$2:$BH$215,B220,'事件主表'!$F$2:$F$215,"core")</x:f>
        <x:v>0</x:v>
      </x:c>
      <x:c r="D220" s="9" t="n">
        <x:v>1363</x:v>
      </x:c>
      <x:c r="E220" s="22" t="n">
        <x:f>C220/(D220/100)</x:f>
        <x:v>0</x:v>
      </x:c>
      <x:c r="F220" s="22"/>
      <x:c r="G220" s="9"/>
      <x:c r="H220" s="2"/>
      <x:c r="I220" s="9"/>
      <x:c r="J220" s="9"/>
      <x:c r="K220" s="22"/>
      <x:c r="L220" s="2" t="str">
        <x:v>R_POP2025_MEDIA</x:v>
      </x:c>
      <x:c r="M220" s="2"/>
      <x:c r="N220" s="2"/>
      <x:c r="O220" s="2"/>
      <x:c r="P220" s="2" t="str">
        <x:v>本次背景面板以2018—2024同版年鉴为主；2025仅补人口分母，来源为媒体汇总省级公报，证据级别另列。</x:v>
      </x:c>
      <x:c r="Q220" s="2" t="str">
        <x:v>未检出，不代表实际零发生</x:v>
      </x:c>
    </x:row>
    <x:row r="221" ht="38" customHeight="1">
      <x:c r="A221" s="2" t="str">
        <x:v>河北</x:v>
      </x:c>
      <x:c r="B221" s="9" t="n">
        <x:v>2025</x:v>
      </x:c>
      <x:c r="C221" s="9" t="n">
        <x:f>COUNTIFS('事件主表'!$D$2:$D$215,A221,'事件主表'!$BH$2:$BH$215,B221,'事件主表'!$F$2:$F$215,"core")</x:f>
        <x:v>0</x:v>
      </x:c>
      <x:c r="D221" s="9" t="n">
        <x:v>7354</x:v>
      </x:c>
      <x:c r="E221" s="22" t="n">
        <x:f>C221/(D221/100)</x:f>
        <x:v>0</x:v>
      </x:c>
      <x:c r="F221" s="22"/>
      <x:c r="G221" s="9"/>
      <x:c r="H221" s="2"/>
      <x:c r="I221" s="9"/>
      <x:c r="J221" s="9"/>
      <x:c r="K221" s="22"/>
      <x:c r="L221" s="2" t="str">
        <x:v>R_POP2025_MEDIA</x:v>
      </x:c>
      <x:c r="M221" s="2"/>
      <x:c r="N221" s="2"/>
      <x:c r="O221" s="2"/>
      <x:c r="P221" s="2" t="str">
        <x:v>本次背景面板以2018—2024同版年鉴为主；2025仅补人口分母，来源为媒体汇总省级公报，证据级别另列。</x:v>
      </x:c>
      <x:c r="Q221" s="2" t="str">
        <x:v>未检出，不代表实际零发生</x:v>
      </x:c>
    </x:row>
    <x:row r="222" ht="38" customHeight="1">
      <x:c r="A222" s="2" t="str">
        <x:v>山西</x:v>
      </x:c>
      <x:c r="B222" s="9" t="n">
        <x:v>2025</x:v>
      </x:c>
      <x:c r="C222" s="9" t="n">
        <x:f>COUNTIFS('事件主表'!$D$2:$D$215,A222,'事件主表'!$BH$2:$BH$215,B222,'事件主表'!$F$2:$F$215,"core")</x:f>
        <x:v>0</x:v>
      </x:c>
      <x:c r="D222" s="9" t="n">
        <x:v>3424.01</x:v>
      </x:c>
      <x:c r="E222" s="22" t="n">
        <x:f>C222/(D222/100)</x:f>
        <x:v>0</x:v>
      </x:c>
      <x:c r="F222" s="22"/>
      <x:c r="G222" s="9"/>
      <x:c r="H222" s="2"/>
      <x:c r="I222" s="9"/>
      <x:c r="J222" s="9"/>
      <x:c r="K222" s="22"/>
      <x:c r="L222" s="2" t="str">
        <x:v>R_POP2025_MEDIA</x:v>
      </x:c>
      <x:c r="M222" s="2"/>
      <x:c r="N222" s="2"/>
      <x:c r="O222" s="2"/>
      <x:c r="P222" s="2" t="str">
        <x:v>本次背景面板以2018—2024同版年鉴为主；2025仅补人口分母，来源为媒体汇总省级公报，证据级别另列。</x:v>
      </x:c>
      <x:c r="Q222" s="2" t="str">
        <x:v>未检出，不代表实际零发生</x:v>
      </x:c>
    </x:row>
    <x:row r="223" ht="38" customHeight="1">
      <x:c r="A223" s="2" t="str">
        <x:v>内蒙古</x:v>
      </x:c>
      <x:c r="B223" s="9" t="n">
        <x:v>2025</x:v>
      </x:c>
      <x:c r="C223" s="9" t="n">
        <x:f>COUNTIFS('事件主表'!$D$2:$D$215,A223,'事件主表'!$BH$2:$BH$215,B223,'事件主表'!$F$2:$F$215,"core")</x:f>
        <x:v>0</x:v>
      </x:c>
      <x:c r="D223" s="9" t="n">
        <x:v>2374</x:v>
      </x:c>
      <x:c r="E223" s="22" t="n">
        <x:f>C223/(D223/100)</x:f>
        <x:v>0</x:v>
      </x:c>
      <x:c r="F223" s="22"/>
      <x:c r="G223" s="9"/>
      <x:c r="H223" s="2"/>
      <x:c r="I223" s="9"/>
      <x:c r="J223" s="9"/>
      <x:c r="K223" s="22"/>
      <x:c r="L223" s="2" t="str">
        <x:v>R_POP2025_MEDIA</x:v>
      </x:c>
      <x:c r="M223" s="2"/>
      <x:c r="N223" s="2"/>
      <x:c r="O223" s="2"/>
      <x:c r="P223" s="2" t="str">
        <x:v>本次背景面板以2018—2024同版年鉴为主；2025仅补人口分母，来源为媒体汇总省级公报，证据级别另列。</x:v>
      </x:c>
      <x:c r="Q223" s="2" t="str">
        <x:v>未检出，不代表实际零发生</x:v>
      </x:c>
    </x:row>
    <x:row r="224" ht="38" customHeight="1">
      <x:c r="A224" s="2" t="str">
        <x:v>辽宁</x:v>
      </x:c>
      <x:c r="B224" s="9" t="n">
        <x:v>2025</x:v>
      </x:c>
      <x:c r="C224" s="9" t="n">
        <x:f>COUNTIFS('事件主表'!$D$2:$D$215,A224,'事件主表'!$BH$2:$BH$215,B224,'事件主表'!$F$2:$F$215,"core")</x:f>
        <x:v>0</x:v>
      </x:c>
      <x:c r="D224" s="9" t="n">
        <x:v>4131</x:v>
      </x:c>
      <x:c r="E224" s="22" t="n">
        <x:f>C224/(D224/100)</x:f>
        <x:v>0</x:v>
      </x:c>
      <x:c r="F224" s="22"/>
      <x:c r="G224" s="9"/>
      <x:c r="H224" s="2"/>
      <x:c r="I224" s="9"/>
      <x:c r="J224" s="9"/>
      <x:c r="K224" s="22"/>
      <x:c r="L224" s="2" t="str">
        <x:v>R_POP2025_MEDIA</x:v>
      </x:c>
      <x:c r="M224" s="2"/>
      <x:c r="N224" s="2"/>
      <x:c r="O224" s="2"/>
      <x:c r="P224" s="2" t="str">
        <x:v>本次背景面板以2018—2024同版年鉴为主；2025仅补人口分母，来源为媒体汇总省级公报，证据级别另列。</x:v>
      </x:c>
      <x:c r="Q224" s="2" t="str">
        <x:v>未检出，不代表实际零发生</x:v>
      </x:c>
    </x:row>
    <x:row r="225" ht="38" customHeight="1">
      <x:c r="A225" s="2" t="str">
        <x:v>吉林</x:v>
      </x:c>
      <x:c r="B225" s="9" t="n">
        <x:v>2025</x:v>
      </x:c>
      <x:c r="C225" s="9" t="n">
        <x:f>COUNTIFS('事件主表'!$D$2:$D$215,A225,'事件主表'!$BH$2:$BH$215,B225,'事件主表'!$F$2:$F$215,"core")</x:f>
        <x:v>0</x:v>
      </x:c>
      <x:c r="D225" s="9" t="n">
        <x:v>2296.69</x:v>
      </x:c>
      <x:c r="E225" s="22" t="n">
        <x:f>C225/(D225/100)</x:f>
        <x:v>0</x:v>
      </x:c>
      <x:c r="F225" s="22"/>
      <x:c r="G225" s="9"/>
      <x:c r="H225" s="2"/>
      <x:c r="I225" s="9"/>
      <x:c r="J225" s="9"/>
      <x:c r="K225" s="22"/>
      <x:c r="L225" s="2" t="str">
        <x:v>R_POP2025_MEDIA</x:v>
      </x:c>
      <x:c r="M225" s="2"/>
      <x:c r="N225" s="2"/>
      <x:c r="O225" s="2"/>
      <x:c r="P225" s="2" t="str">
        <x:v>本次背景面板以2018—2024同版年鉴为主；2025仅补人口分母，来源为媒体汇总省级公报，证据级别另列。</x:v>
      </x:c>
      <x:c r="Q225" s="2" t="str">
        <x:v>未检出，不代表实际零发生</x:v>
      </x:c>
    </x:row>
    <x:row r="226" ht="38" customHeight="1">
      <x:c r="A226" s="2" t="str">
        <x:v>黑龙江</x:v>
      </x:c>
      <x:c r="B226" s="9" t="n">
        <x:v>2025</x:v>
      </x:c>
      <x:c r="C226" s="9" t="n">
        <x:f>COUNTIFS('事件主表'!$D$2:$D$215,A226,'事件主表'!$BH$2:$BH$215,B226,'事件主表'!$F$2:$F$215,"core")</x:f>
        <x:v>0</x:v>
      </x:c>
      <x:c r="D226" s="9" t="n">
        <x:v>3001</x:v>
      </x:c>
      <x:c r="E226" s="22" t="n">
        <x:f>C226/(D226/100)</x:f>
        <x:v>0</x:v>
      </x:c>
      <x:c r="F226" s="22"/>
      <x:c r="G226" s="9"/>
      <x:c r="H226" s="2"/>
      <x:c r="I226" s="9"/>
      <x:c r="J226" s="9"/>
      <x:c r="K226" s="22"/>
      <x:c r="L226" s="2" t="str">
        <x:v>R_POP2025_MEDIA</x:v>
      </x:c>
      <x:c r="M226" s="2"/>
      <x:c r="N226" s="2"/>
      <x:c r="O226" s="2"/>
      <x:c r="P226" s="2" t="str">
        <x:v>本次背景面板以2018—2024同版年鉴为主；2025仅补人口分母，来源为媒体汇总省级公报，证据级别另列。</x:v>
      </x:c>
      <x:c r="Q226" s="2" t="str">
        <x:v>未检出，不代表实际零发生</x:v>
      </x:c>
    </x:row>
    <x:row r="227" ht="38" customHeight="1">
      <x:c r="A227" s="2" t="str">
        <x:v>上海</x:v>
      </x:c>
      <x:c r="B227" s="9" t="n">
        <x:v>2025</x:v>
      </x:c>
      <x:c r="C227" s="9" t="n">
        <x:f>COUNTIFS('事件主表'!$D$2:$D$215,A227,'事件主表'!$BH$2:$BH$215,B227,'事件主表'!$F$2:$F$215,"core")</x:f>
        <x:v>0</x:v>
      </x:c>
      <x:c r="D227" s="9" t="n">
        <x:v>2485.41</x:v>
      </x:c>
      <x:c r="E227" s="22" t="n">
        <x:f>C227/(D227/100)</x:f>
        <x:v>0</x:v>
      </x:c>
      <x:c r="F227" s="22"/>
      <x:c r="G227" s="9"/>
      <x:c r="H227" s="2"/>
      <x:c r="I227" s="9"/>
      <x:c r="J227" s="9"/>
      <x:c r="K227" s="22"/>
      <x:c r="L227" s="2" t="str">
        <x:v>R_POP2025_MEDIA</x:v>
      </x:c>
      <x:c r="M227" s="2"/>
      <x:c r="N227" s="2"/>
      <x:c r="O227" s="2"/>
      <x:c r="P227" s="2" t="str">
        <x:v>本次背景面板以2018—2024同版年鉴为主；2025仅补人口分母，来源为媒体汇总省级公报，证据级别另列。</x:v>
      </x:c>
      <x:c r="Q227" s="2" t="str">
        <x:v>未检出，不代表实际零发生</x:v>
      </x:c>
    </x:row>
    <x:row r="228" ht="38" customHeight="1">
      <x:c r="A228" s="2" t="str">
        <x:v>江苏</x:v>
      </x:c>
      <x:c r="B228" s="9" t="n">
        <x:v>2025</x:v>
      </x:c>
      <x:c r="C228" s="9" t="n">
        <x:f>COUNTIFS('事件主表'!$D$2:$D$215,A228,'事件主表'!$BH$2:$BH$215,B228,'事件主表'!$F$2:$F$215,"core")</x:f>
        <x:v>0</x:v>
      </x:c>
      <x:c r="D228" s="9" t="n">
        <x:v>8518</x:v>
      </x:c>
      <x:c r="E228" s="22" t="n">
        <x:f>C228/(D228/100)</x:f>
        <x:v>0</x:v>
      </x:c>
      <x:c r="F228" s="22"/>
      <x:c r="G228" s="9"/>
      <x:c r="H228" s="2"/>
      <x:c r="I228" s="9"/>
      <x:c r="J228" s="9"/>
      <x:c r="K228" s="22"/>
      <x:c r="L228" s="2" t="str">
        <x:v>R_POP2025_MEDIA</x:v>
      </x:c>
      <x:c r="M228" s="2"/>
      <x:c r="N228" s="2"/>
      <x:c r="O228" s="2"/>
      <x:c r="P228" s="2" t="str">
        <x:v>本次背景面板以2018—2024同版年鉴为主；2025仅补人口分母，来源为媒体汇总省级公报，证据级别另列。</x:v>
      </x:c>
      <x:c r="Q228" s="2" t="str">
        <x:v>未检出，不代表实际零发生</x:v>
      </x:c>
    </x:row>
    <x:row r="229" ht="38" customHeight="1">
      <x:c r="A229" s="2" t="str">
        <x:v>浙江</x:v>
      </x:c>
      <x:c r="B229" s="9" t="n">
        <x:v>2025</x:v>
      </x:c>
      <x:c r="C229" s="9" t="n">
        <x:f>COUNTIFS('事件主表'!$D$2:$D$215,A229,'事件主表'!$BH$2:$BH$215,B229,'事件主表'!$F$2:$F$215,"core")</x:f>
        <x:v>0</x:v>
      </x:c>
      <x:c r="D229" s="9" t="n">
        <x:v>6701</x:v>
      </x:c>
      <x:c r="E229" s="22" t="n">
        <x:f>C229/(D229/100)</x:f>
        <x:v>0</x:v>
      </x:c>
      <x:c r="F229" s="22"/>
      <x:c r="G229" s="9"/>
      <x:c r="H229" s="2"/>
      <x:c r="I229" s="9"/>
      <x:c r="J229" s="9"/>
      <x:c r="K229" s="22"/>
      <x:c r="L229" s="2" t="str">
        <x:v>R_POP2025_MEDIA</x:v>
      </x:c>
      <x:c r="M229" s="2"/>
      <x:c r="N229" s="2"/>
      <x:c r="O229" s="2"/>
      <x:c r="P229" s="2" t="str">
        <x:v>本次背景面板以2018—2024同版年鉴为主；2025仅补人口分母，来源为媒体汇总省级公报，证据级别另列。</x:v>
      </x:c>
      <x:c r="Q229" s="2" t="str">
        <x:v>未检出，不代表实际零发生</x:v>
      </x:c>
    </x:row>
    <x:row r="230" ht="38" customHeight="1">
      <x:c r="A230" s="2" t="str">
        <x:v>安徽</x:v>
      </x:c>
      <x:c r="B230" s="9" t="n">
        <x:v>2025</x:v>
      </x:c>
      <x:c r="C230" s="9" t="n">
        <x:f>COUNTIFS('事件主表'!$D$2:$D$215,A230,'事件主表'!$BH$2:$BH$215,B230,'事件主表'!$F$2:$F$215,"core")</x:f>
        <x:v>0</x:v>
      </x:c>
      <x:c r="D230" s="9" t="n">
        <x:v>6082</x:v>
      </x:c>
      <x:c r="E230" s="22" t="n">
        <x:f>C230/(D230/100)</x:f>
        <x:v>0</x:v>
      </x:c>
      <x:c r="F230" s="22"/>
      <x:c r="G230" s="9"/>
      <x:c r="H230" s="2"/>
      <x:c r="I230" s="9"/>
      <x:c r="J230" s="9"/>
      <x:c r="K230" s="22"/>
      <x:c r="L230" s="2" t="str">
        <x:v>R_POP2025_MEDIA</x:v>
      </x:c>
      <x:c r="M230" s="2"/>
      <x:c r="N230" s="2"/>
      <x:c r="O230" s="2"/>
      <x:c r="P230" s="2" t="str">
        <x:v>本次背景面板以2018—2024同版年鉴为主；2025仅补人口分母，来源为媒体汇总省级公报，证据级别另列。</x:v>
      </x:c>
      <x:c r="Q230" s="2" t="str">
        <x:v>未检出，不代表实际零发生</x:v>
      </x:c>
    </x:row>
    <x:row r="231" ht="38" customHeight="1">
      <x:c r="A231" s="2" t="str">
        <x:v>福建</x:v>
      </x:c>
      <x:c r="B231" s="9" t="n">
        <x:v>2025</x:v>
      </x:c>
      <x:c r="C231" s="9" t="n">
        <x:f>COUNTIFS('事件主表'!$D$2:$D$215,A231,'事件主表'!$BH$2:$BH$215,B231,'事件主表'!$F$2:$F$215,"core")</x:f>
        <x:v>0</x:v>
      </x:c>
      <x:c r="D231" s="9" t="n">
        <x:v>4190</x:v>
      </x:c>
      <x:c r="E231" s="22" t="n">
        <x:f>C231/(D231/100)</x:f>
        <x:v>0</x:v>
      </x:c>
      <x:c r="F231" s="22"/>
      <x:c r="G231" s="9"/>
      <x:c r="H231" s="2"/>
      <x:c r="I231" s="9"/>
      <x:c r="J231" s="9"/>
      <x:c r="K231" s="22"/>
      <x:c r="L231" s="2" t="str">
        <x:v>R_POP2025_MEDIA</x:v>
      </x:c>
      <x:c r="M231" s="2"/>
      <x:c r="N231" s="2"/>
      <x:c r="O231" s="2"/>
      <x:c r="P231" s="2" t="str">
        <x:v>本次背景面板以2018—2024同版年鉴为主；2025仅补人口分母，来源为媒体汇总省级公报，证据级别另列。</x:v>
      </x:c>
      <x:c r="Q231" s="2" t="str">
        <x:v>未检出，不代表实际零发生</x:v>
      </x:c>
    </x:row>
    <x:row r="232" ht="38" customHeight="1">
      <x:c r="A232" s="2" t="str">
        <x:v>江西</x:v>
      </x:c>
      <x:c r="B232" s="9" t="n">
        <x:v>2025</x:v>
      </x:c>
      <x:c r="C232" s="9" t="n">
        <x:f>COUNTIFS('事件主表'!$D$2:$D$215,A232,'事件主表'!$BH$2:$BH$215,B232,'事件主表'!$F$2:$F$215,"core")</x:f>
        <x:v>0</x:v>
      </x:c>
      <x:c r="D232" s="9" t="n">
        <x:v>4474</x:v>
      </x:c>
      <x:c r="E232" s="22" t="n">
        <x:f>C232/(D232/100)</x:f>
        <x:v>0</x:v>
      </x:c>
      <x:c r="F232" s="22"/>
      <x:c r="G232" s="9"/>
      <x:c r="H232" s="2"/>
      <x:c r="I232" s="9"/>
      <x:c r="J232" s="9"/>
      <x:c r="K232" s="22"/>
      <x:c r="L232" s="2" t="str">
        <x:v>R_POP2025_MEDIA</x:v>
      </x:c>
      <x:c r="M232" s="2"/>
      <x:c r="N232" s="2"/>
      <x:c r="O232" s="2"/>
      <x:c r="P232" s="2" t="str">
        <x:v>本次背景面板以2018—2024同版年鉴为主；2025仅补人口分母，来源为媒体汇总省级公报，证据级别另列。</x:v>
      </x:c>
      <x:c r="Q232" s="2" t="str">
        <x:v>未检出，不代表实际零发生</x:v>
      </x:c>
    </x:row>
    <x:row r="233" ht="38" customHeight="1">
      <x:c r="A233" s="2" t="str">
        <x:v>山东</x:v>
      </x:c>
      <x:c r="B233" s="9" t="n">
        <x:v>2025</x:v>
      </x:c>
      <x:c r="C233" s="9" t="n">
        <x:f>COUNTIFS('事件主表'!$D$2:$D$215,A233,'事件主表'!$BH$2:$BH$215,B233,'事件主表'!$F$2:$F$215,"core")</x:f>
        <x:v>0</x:v>
      </x:c>
      <x:c r="D233" s="9" t="n">
        <x:v>10043</x:v>
      </x:c>
      <x:c r="E233" s="22" t="n">
        <x:f>C233/(D233/100)</x:f>
        <x:v>0</x:v>
      </x:c>
      <x:c r="F233" s="22"/>
      <x:c r="G233" s="9"/>
      <x:c r="H233" s="2"/>
      <x:c r="I233" s="9"/>
      <x:c r="J233" s="9"/>
      <x:c r="K233" s="22"/>
      <x:c r="L233" s="2" t="str">
        <x:v>R_POP2025_MEDIA</x:v>
      </x:c>
      <x:c r="M233" s="2"/>
      <x:c r="N233" s="2"/>
      <x:c r="O233" s="2"/>
      <x:c r="P233" s="2" t="str">
        <x:v>本次背景面板以2018—2024同版年鉴为主；2025仅补人口分母，来源为媒体汇总省级公报，证据级别另列。</x:v>
      </x:c>
      <x:c r="Q233" s="2" t="str">
        <x:v>未检出，不代表实际零发生</x:v>
      </x:c>
    </x:row>
    <x:row r="234" ht="38" customHeight="1">
      <x:c r="A234" s="2" t="str">
        <x:v>河南</x:v>
      </x:c>
      <x:c r="B234" s="9" t="n">
        <x:v>2025</x:v>
      </x:c>
      <x:c r="C234" s="9" t="n">
        <x:f>COUNTIFS('事件主表'!$D$2:$D$215,A234,'事件主表'!$BH$2:$BH$215,B234,'事件主表'!$F$2:$F$215,"core")</x:f>
        <x:v>0</x:v>
      </x:c>
      <x:c r="D234" s="9" t="n">
        <x:v>9744</x:v>
      </x:c>
      <x:c r="E234" s="22" t="n">
        <x:f>C234/(D234/100)</x:f>
        <x:v>0</x:v>
      </x:c>
      <x:c r="F234" s="22"/>
      <x:c r="G234" s="9"/>
      <x:c r="H234" s="2"/>
      <x:c r="I234" s="9"/>
      <x:c r="J234" s="9"/>
      <x:c r="K234" s="22"/>
      <x:c r="L234" s="2" t="str">
        <x:v>R_POP2025_MEDIA</x:v>
      </x:c>
      <x:c r="M234" s="2"/>
      <x:c r="N234" s="2"/>
      <x:c r="O234" s="2"/>
      <x:c r="P234" s="2" t="str">
        <x:v>本次背景面板以2018—2024同版年鉴为主；2025仅补人口分母，来源为媒体汇总省级公报，证据级别另列。</x:v>
      </x:c>
      <x:c r="Q234" s="2" t="str">
        <x:v>未检出，不代表实际零发生</x:v>
      </x:c>
    </x:row>
    <x:row r="235" ht="38" customHeight="1">
      <x:c r="A235" s="2" t="str">
        <x:v>湖北</x:v>
      </x:c>
      <x:c r="B235" s="9" t="n">
        <x:v>2025</x:v>
      </x:c>
      <x:c r="C235" s="9" t="n">
        <x:f>COUNTIFS('事件主表'!$D$2:$D$215,A235,'事件主表'!$BH$2:$BH$215,B235,'事件主表'!$F$2:$F$215,"core")</x:f>
        <x:v>1</x:v>
      </x:c>
      <x:c r="D235" s="9" t="n">
        <x:v>5811</x:v>
      </x:c>
      <x:c r="E235" s="22" t="n">
        <x:f>C235/(D235/100)</x:f>
        <x:v>0.017208742040956806</x:v>
      </x:c>
      <x:c r="F235" s="22"/>
      <x:c r="G235" s="9"/>
      <x:c r="H235" s="2"/>
      <x:c r="I235" s="9"/>
      <x:c r="J235" s="9"/>
      <x:c r="K235" s="22"/>
      <x:c r="L235" s="2" t="str">
        <x:v>R_POP2025_MEDIA</x:v>
      </x:c>
      <x:c r="M235" s="2"/>
      <x:c r="N235" s="2"/>
      <x:c r="O235" s="2"/>
      <x:c r="P235" s="2" t="str">
        <x:v>本次背景面板以2018—2024同版年鉴为主；2025仅补人口分母，来源为媒体汇总省级公报，证据级别另列。</x:v>
      </x:c>
      <x:c r="Q235" s="2" t="str">
        <x:v>公开核实记录</x:v>
      </x:c>
    </x:row>
    <x:row r="236" ht="38" customHeight="1">
      <x:c r="A236" s="2" t="str">
        <x:v>湖南</x:v>
      </x:c>
      <x:c r="B236" s="9" t="n">
        <x:v>2025</x:v>
      </x:c>
      <x:c r="C236" s="9" t="n">
        <x:f>COUNTIFS('事件主表'!$D$2:$D$215,A236,'事件主表'!$BH$2:$BH$215,B236,'事件主表'!$F$2:$F$215,"core")</x:f>
        <x:v>0</x:v>
      </x:c>
      <x:c r="D236" s="9" t="n">
        <x:v>6492</x:v>
      </x:c>
      <x:c r="E236" s="22" t="n">
        <x:f>C236/(D236/100)</x:f>
        <x:v>0</x:v>
      </x:c>
      <x:c r="F236" s="22"/>
      <x:c r="G236" s="9"/>
      <x:c r="H236" s="2"/>
      <x:c r="I236" s="9"/>
      <x:c r="J236" s="9"/>
      <x:c r="K236" s="22"/>
      <x:c r="L236" s="2" t="str">
        <x:v>R_POP2025_MEDIA</x:v>
      </x:c>
      <x:c r="M236" s="2"/>
      <x:c r="N236" s="2"/>
      <x:c r="O236" s="2"/>
      <x:c r="P236" s="2" t="str">
        <x:v>本次背景面板以2018—2024同版年鉴为主；2025仅补人口分母，来源为媒体汇总省级公报，证据级别另列。</x:v>
      </x:c>
      <x:c r="Q236" s="2" t="str">
        <x:v>未检出，不代表实际零发生</x:v>
      </x:c>
    </x:row>
    <x:row r="237" ht="38" customHeight="1">
      <x:c r="A237" s="2" t="str">
        <x:v>广东</x:v>
      </x:c>
      <x:c r="B237" s="9" t="n">
        <x:v>2025</x:v>
      </x:c>
      <x:c r="C237" s="9" t="n">
        <x:f>COUNTIFS('事件主表'!$D$2:$D$215,A237,'事件主表'!$BH$2:$BH$215,B237,'事件主表'!$F$2:$F$215,"core")</x:f>
        <x:v>0</x:v>
      </x:c>
      <x:c r="D237" s="9" t="n">
        <x:v>12859</x:v>
      </x:c>
      <x:c r="E237" s="22" t="n">
        <x:f>C237/(D237/100)</x:f>
        <x:v>0</x:v>
      </x:c>
      <x:c r="F237" s="22"/>
      <x:c r="G237" s="9"/>
      <x:c r="H237" s="2"/>
      <x:c r="I237" s="9"/>
      <x:c r="J237" s="9"/>
      <x:c r="K237" s="22"/>
      <x:c r="L237" s="2" t="str">
        <x:v>R_POP2025_MEDIA</x:v>
      </x:c>
      <x:c r="M237" s="2"/>
      <x:c r="N237" s="2"/>
      <x:c r="O237" s="2"/>
      <x:c r="P237" s="2" t="str">
        <x:v>本次背景面板以2018—2024同版年鉴为主；2025仅补人口分母，来源为媒体汇总省级公报，证据级别另列。</x:v>
      </x:c>
      <x:c r="Q237" s="2" t="str">
        <x:v>未检出，不代表实际零发生</x:v>
      </x:c>
    </x:row>
    <x:row r="238" ht="38" customHeight="1">
      <x:c r="A238" s="2" t="str">
        <x:v>广西</x:v>
      </x:c>
      <x:c r="B238" s="9" t="n">
        <x:v>2025</x:v>
      </x:c>
      <x:c r="C238" s="9" t="n">
        <x:f>COUNTIFS('事件主表'!$D$2:$D$215,A238,'事件主表'!$BH$2:$BH$215,B238,'事件主表'!$F$2:$F$215,"core")</x:f>
        <x:v>0</x:v>
      </x:c>
      <x:c r="D238" s="9" t="n">
        <x:v>4989</x:v>
      </x:c>
      <x:c r="E238" s="22" t="n">
        <x:f>C238/(D238/100)</x:f>
        <x:v>0</x:v>
      </x:c>
      <x:c r="F238" s="22"/>
      <x:c r="G238" s="9"/>
      <x:c r="H238" s="2"/>
      <x:c r="I238" s="9"/>
      <x:c r="J238" s="9"/>
      <x:c r="K238" s="22"/>
      <x:c r="L238" s="2" t="str">
        <x:v>R_POP2025_MEDIA</x:v>
      </x:c>
      <x:c r="M238" s="2"/>
      <x:c r="N238" s="2"/>
      <x:c r="O238" s="2"/>
      <x:c r="P238" s="2" t="str">
        <x:v>本次背景面板以2018—2024同版年鉴为主；2025仅补人口分母，来源为媒体汇总省级公报，证据级别另列。</x:v>
      </x:c>
      <x:c r="Q238" s="2" t="str">
        <x:v>未检出，不代表实际零发生</x:v>
      </x:c>
    </x:row>
    <x:row r="239" ht="38" customHeight="1">
      <x:c r="A239" s="2" t="str">
        <x:v>海南</x:v>
      </x:c>
      <x:c r="B239" s="9" t="n">
        <x:v>2025</x:v>
      </x:c>
      <x:c r="C239" s="9" t="n">
        <x:f>COUNTIFS('事件主表'!$D$2:$D$215,A239,'事件主表'!$BH$2:$BH$215,B239,'事件主表'!$F$2:$F$215,"core")</x:f>
        <x:v>0</x:v>
      </x:c>
      <x:c r="D239" s="9" t="n">
        <x:v>1055</x:v>
      </x:c>
      <x:c r="E239" s="22" t="n">
        <x:f>C239/(D239/100)</x:f>
        <x:v>0</x:v>
      </x:c>
      <x:c r="F239" s="22"/>
      <x:c r="G239" s="9"/>
      <x:c r="H239" s="2"/>
      <x:c r="I239" s="9"/>
      <x:c r="J239" s="9"/>
      <x:c r="K239" s="22"/>
      <x:c r="L239" s="2" t="str">
        <x:v>R_POP2025_MEDIA</x:v>
      </x:c>
      <x:c r="M239" s="2"/>
      <x:c r="N239" s="2"/>
      <x:c r="O239" s="2"/>
      <x:c r="P239" s="2" t="str">
        <x:v>本次背景面板以2018—2024同版年鉴为主；2025仅补人口分母，来源为媒体汇总省级公报，证据级别另列。</x:v>
      </x:c>
      <x:c r="Q239" s="2" t="str">
        <x:v>未检出，不代表实际零发生</x:v>
      </x:c>
    </x:row>
    <x:row r="240" ht="38" customHeight="1">
      <x:c r="A240" s="2" t="str">
        <x:v>重庆</x:v>
      </x:c>
      <x:c r="B240" s="9" t="n">
        <x:v>2025</x:v>
      </x:c>
      <x:c r="C240" s="9" t="n">
        <x:f>COUNTIFS('事件主表'!$D$2:$D$215,A240,'事件主表'!$BH$2:$BH$215,B240,'事件主表'!$F$2:$F$215,"core")</x:f>
        <x:v>0</x:v>
      </x:c>
      <x:c r="D240" s="9" t="n">
        <x:v>3187.26</x:v>
      </x:c>
      <x:c r="E240" s="22" t="n">
        <x:f>C240/(D240/100)</x:f>
        <x:v>0</x:v>
      </x:c>
      <x:c r="F240" s="22"/>
      <x:c r="G240" s="9"/>
      <x:c r="H240" s="2"/>
      <x:c r="I240" s="9"/>
      <x:c r="J240" s="9"/>
      <x:c r="K240" s="22"/>
      <x:c r="L240" s="2" t="str">
        <x:v>R_POP2025_MEDIA</x:v>
      </x:c>
      <x:c r="M240" s="2"/>
      <x:c r="N240" s="2"/>
      <x:c r="O240" s="2"/>
      <x:c r="P240" s="2" t="str">
        <x:v>本次背景面板以2018—2024同版年鉴为主；2025仅补人口分母，来源为媒体汇总省级公报，证据级别另列。</x:v>
      </x:c>
      <x:c r="Q240" s="2" t="str">
        <x:v>未检出，不代表实际零发生</x:v>
      </x:c>
    </x:row>
    <x:row r="241" ht="38" customHeight="1">
      <x:c r="A241" s="2" t="str">
        <x:v>四川</x:v>
      </x:c>
      <x:c r="B241" s="9" t="n">
        <x:v>2025</x:v>
      </x:c>
      <x:c r="C241" s="9" t="n">
        <x:f>COUNTIFS('事件主表'!$D$2:$D$215,A241,'事件主表'!$BH$2:$BH$215,B241,'事件主表'!$F$2:$F$215,"core")</x:f>
        <x:v>0</x:v>
      </x:c>
      <x:c r="D241" s="9" t="n">
        <x:v>8318</x:v>
      </x:c>
      <x:c r="E241" s="22" t="n">
        <x:f>C241/(D241/100)</x:f>
        <x:v>0</x:v>
      </x:c>
      <x:c r="F241" s="22"/>
      <x:c r="G241" s="9"/>
      <x:c r="H241" s="2"/>
      <x:c r="I241" s="9"/>
      <x:c r="J241" s="9"/>
      <x:c r="K241" s="22"/>
      <x:c r="L241" s="2" t="str">
        <x:v>R_POP2025_MEDIA</x:v>
      </x:c>
      <x:c r="M241" s="2"/>
      <x:c r="N241" s="2"/>
      <x:c r="O241" s="2"/>
      <x:c r="P241" s="2" t="str">
        <x:v>本次背景面板以2018—2024同版年鉴为主；2025仅补人口分母，来源为媒体汇总省级公报，证据级别另列。</x:v>
      </x:c>
      <x:c r="Q241" s="2" t="str">
        <x:v>未检出，不代表实际零发生</x:v>
      </x:c>
    </x:row>
    <x:row r="242" ht="38" customHeight="1">
      <x:c r="A242" s="2" t="str">
        <x:v>贵州</x:v>
      </x:c>
      <x:c r="B242" s="9" t="n">
        <x:v>2025</x:v>
      </x:c>
      <x:c r="C242" s="9" t="n">
        <x:f>COUNTIFS('事件主表'!$D$2:$D$215,A242,'事件主表'!$BH$2:$BH$215,B242,'事件主表'!$F$2:$F$215,"core")</x:f>
        <x:v>0</x:v>
      </x:c>
      <x:c r="D242" s="9" t="n">
        <x:v>3857</x:v>
      </x:c>
      <x:c r="E242" s="22" t="n">
        <x:f>C242/(D242/100)</x:f>
        <x:v>0</x:v>
      </x:c>
      <x:c r="F242" s="22"/>
      <x:c r="G242" s="9"/>
      <x:c r="H242" s="2"/>
      <x:c r="I242" s="9"/>
      <x:c r="J242" s="9"/>
      <x:c r="K242" s="22"/>
      <x:c r="L242" s="2" t="str">
        <x:v>R_POP2025_MEDIA</x:v>
      </x:c>
      <x:c r="M242" s="2"/>
      <x:c r="N242" s="2"/>
      <x:c r="O242" s="2"/>
      <x:c r="P242" s="2" t="str">
        <x:v>本次背景面板以2018—2024同版年鉴为主；2025仅补人口分母，来源为媒体汇总省级公报，证据级别另列。</x:v>
      </x:c>
      <x:c r="Q242" s="2" t="str">
        <x:v>未检出，不代表实际零发生</x:v>
      </x:c>
    </x:row>
    <x:row r="243" ht="38" customHeight="1">
      <x:c r="A243" s="2" t="str">
        <x:v>云南</x:v>
      </x:c>
      <x:c r="B243" s="9" t="n">
        <x:v>2025</x:v>
      </x:c>
      <x:c r="C243" s="9" t="n">
        <x:f>COUNTIFS('事件主表'!$D$2:$D$215,A243,'事件主表'!$BH$2:$BH$215,B243,'事件主表'!$F$2:$F$215,"core")</x:f>
        <x:v>0</x:v>
      </x:c>
      <x:c r="D243" s="9" t="n">
        <x:v>4644</x:v>
      </x:c>
      <x:c r="E243" s="22" t="n">
        <x:f>C243/(D243/100)</x:f>
        <x:v>0</x:v>
      </x:c>
      <x:c r="F243" s="22"/>
      <x:c r="G243" s="9"/>
      <x:c r="H243" s="2"/>
      <x:c r="I243" s="9"/>
      <x:c r="J243" s="9"/>
      <x:c r="K243" s="22"/>
      <x:c r="L243" s="2" t="str">
        <x:v>R_POP2025_MEDIA</x:v>
      </x:c>
      <x:c r="M243" s="2"/>
      <x:c r="N243" s="2"/>
      <x:c r="O243" s="2"/>
      <x:c r="P243" s="2" t="str">
        <x:v>本次背景面板以2018—2024同版年鉴为主；2025仅补人口分母，来源为媒体汇总省级公报，证据级别另列。</x:v>
      </x:c>
      <x:c r="Q243" s="2" t="str">
        <x:v>未检出，不代表实际零发生</x:v>
      </x:c>
    </x:row>
    <x:row r="244" ht="38" customHeight="1">
      <x:c r="A244" s="2" t="str">
        <x:v>西藏</x:v>
      </x:c>
      <x:c r="B244" s="9" t="n">
        <x:v>2025</x:v>
      </x:c>
      <x:c r="C244" s="9" t="n">
        <x:f>COUNTIFS('事件主表'!$D$2:$D$215,A244,'事件主表'!$BH$2:$BH$215,B244,'事件主表'!$F$2:$F$215,"core")</x:f>
        <x:v>0</x:v>
      </x:c>
      <x:c r="D244" s="9" t="n">
        <x:v>374</x:v>
      </x:c>
      <x:c r="E244" s="22" t="n">
        <x:f>C244/(D244/100)</x:f>
        <x:v>0</x:v>
      </x:c>
      <x:c r="F244" s="22"/>
      <x:c r="G244" s="9"/>
      <x:c r="H244" s="2"/>
      <x:c r="I244" s="9"/>
      <x:c r="J244" s="9"/>
      <x:c r="K244" s="22"/>
      <x:c r="L244" s="2" t="str">
        <x:v>R_POP2025_MEDIA</x:v>
      </x:c>
      <x:c r="M244" s="2"/>
      <x:c r="N244" s="2"/>
      <x:c r="O244" s="2"/>
      <x:c r="P244" s="2" t="str">
        <x:v>本次背景面板以2018—2024同版年鉴为主；2025仅补人口分母，来源为媒体汇总省级公报，证据级别另列。</x:v>
      </x:c>
      <x:c r="Q244" s="2" t="str">
        <x:v>未检出，不代表实际零发生</x:v>
      </x:c>
    </x:row>
    <x:row r="245" ht="38" customHeight="1">
      <x:c r="A245" s="2" t="str">
        <x:v>陕西</x:v>
      </x:c>
      <x:c r="B245" s="9" t="n">
        <x:v>2025</x:v>
      </x:c>
      <x:c r="C245" s="9" t="n">
        <x:f>COUNTIFS('事件主表'!$D$2:$D$215,A245,'事件主表'!$BH$2:$BH$215,B245,'事件主表'!$F$2:$F$215,"core")</x:f>
        <x:v>0</x:v>
      </x:c>
      <x:c r="D245" s="9" t="n">
        <x:v>3936</x:v>
      </x:c>
      <x:c r="E245" s="22" t="n">
        <x:f>C245/(D245/100)</x:f>
        <x:v>0</x:v>
      </x:c>
      <x:c r="F245" s="22"/>
      <x:c r="G245" s="9"/>
      <x:c r="H245" s="2"/>
      <x:c r="I245" s="9"/>
      <x:c r="J245" s="9"/>
      <x:c r="K245" s="22"/>
      <x:c r="L245" s="2" t="str">
        <x:v>R_POP2025_MEDIA</x:v>
      </x:c>
      <x:c r="M245" s="2"/>
      <x:c r="N245" s="2"/>
      <x:c r="O245" s="2"/>
      <x:c r="P245" s="2" t="str">
        <x:v>本次背景面板以2018—2024同版年鉴为主；2025仅补人口分母，来源为媒体汇总省级公报，证据级别另列。</x:v>
      </x:c>
      <x:c r="Q245" s="2" t="str">
        <x:v>未检出，不代表实际零发生</x:v>
      </x:c>
    </x:row>
    <x:row r="246" ht="38" customHeight="1">
      <x:c r="A246" s="2" t="str">
        <x:v>甘肃</x:v>
      </x:c>
      <x:c r="B246" s="9" t="n">
        <x:v>2025</x:v>
      </x:c>
      <x:c r="C246" s="9" t="n">
        <x:f>COUNTIFS('事件主表'!$D$2:$D$215,A246,'事件主表'!$BH$2:$BH$215,B246,'事件主表'!$F$2:$F$215,"core")</x:f>
        <x:v>0</x:v>
      </x:c>
      <x:c r="D246" s="9" t="n">
        <x:v>2443</x:v>
      </x:c>
      <x:c r="E246" s="22" t="n">
        <x:f>C246/(D246/100)</x:f>
        <x:v>0</x:v>
      </x:c>
      <x:c r="F246" s="22"/>
      <x:c r="G246" s="9"/>
      <x:c r="H246" s="2"/>
      <x:c r="I246" s="9"/>
      <x:c r="J246" s="9"/>
      <x:c r="K246" s="22"/>
      <x:c r="L246" s="2" t="str">
        <x:v>R_POP2025_MEDIA</x:v>
      </x:c>
      <x:c r="M246" s="2"/>
      <x:c r="N246" s="2"/>
      <x:c r="O246" s="2"/>
      <x:c r="P246" s="2" t="str">
        <x:v>本次背景面板以2018—2024同版年鉴为主；2025仅补人口分母，来源为媒体汇总省级公报，证据级别另列。</x:v>
      </x:c>
      <x:c r="Q246" s="2" t="str">
        <x:v>未检出，不代表实际零发生</x:v>
      </x:c>
    </x:row>
    <x:row r="247" ht="38" customHeight="1">
      <x:c r="A247" s="2" t="str">
        <x:v>青海</x:v>
      </x:c>
      <x:c r="B247" s="9" t="n">
        <x:v>2025</x:v>
      </x:c>
      <x:c r="C247" s="9" t="n">
        <x:f>COUNTIFS('事件主表'!$D$2:$D$215,A247,'事件主表'!$BH$2:$BH$215,B247,'事件主表'!$F$2:$F$215,"core")</x:f>
        <x:v>0</x:v>
      </x:c>
      <x:c r="D247" s="9" t="n">
        <x:v>592</x:v>
      </x:c>
      <x:c r="E247" s="22" t="n">
        <x:f>C247/(D247/100)</x:f>
        <x:v>0</x:v>
      </x:c>
      <x:c r="F247" s="22"/>
      <x:c r="G247" s="9"/>
      <x:c r="H247" s="2"/>
      <x:c r="I247" s="9"/>
      <x:c r="J247" s="9"/>
      <x:c r="K247" s="22"/>
      <x:c r="L247" s="2" t="str">
        <x:v>R_POP2025_MEDIA</x:v>
      </x:c>
      <x:c r="M247" s="2"/>
      <x:c r="N247" s="2"/>
      <x:c r="O247" s="2"/>
      <x:c r="P247" s="2" t="str">
        <x:v>本次背景面板以2018—2024同版年鉴为主；2025仅补人口分母，来源为媒体汇总省级公报，证据级别另列。</x:v>
      </x:c>
      <x:c r="Q247" s="2" t="str">
        <x:v>未检出，不代表实际零发生</x:v>
      </x:c>
    </x:row>
    <x:row r="248" ht="38" customHeight="1">
      <x:c r="A248" s="2" t="str">
        <x:v>宁夏</x:v>
      </x:c>
      <x:c r="B248" s="9" t="n">
        <x:v>2025</x:v>
      </x:c>
      <x:c r="C248" s="9" t="n">
        <x:f>COUNTIFS('事件主表'!$D$2:$D$215,A248,'事件主表'!$BH$2:$BH$215,B248,'事件主表'!$F$2:$F$215,"core")</x:f>
        <x:v>0</x:v>
      </x:c>
      <x:c r="D248" s="9" t="n">
        <x:v>732</x:v>
      </x:c>
      <x:c r="E248" s="22" t="n">
        <x:f>C248/(D248/100)</x:f>
        <x:v>0</x:v>
      </x:c>
      <x:c r="F248" s="22"/>
      <x:c r="G248" s="9"/>
      <x:c r="H248" s="2"/>
      <x:c r="I248" s="9"/>
      <x:c r="J248" s="9"/>
      <x:c r="K248" s="22"/>
      <x:c r="L248" s="2" t="str">
        <x:v>R_POP2025_MEDIA</x:v>
      </x:c>
      <x:c r="M248" s="2"/>
      <x:c r="N248" s="2"/>
      <x:c r="O248" s="2"/>
      <x:c r="P248" s="2" t="str">
        <x:v>本次背景面板以2018—2024同版年鉴为主；2025仅补人口分母，来源为媒体汇总省级公报，证据级别另列。</x:v>
      </x:c>
      <x:c r="Q248" s="2" t="str">
        <x:v>未检出，不代表实际零发生</x:v>
      </x:c>
    </x:row>
    <x:row r="249" ht="38" customHeight="1">
      <x:c r="A249" s="2" t="str">
        <x:v>新疆</x:v>
      </x:c>
      <x:c r="B249" s="9" t="n">
        <x:v>2025</x:v>
      </x:c>
      <x:c r="C249" s="9" t="n">
        <x:f>COUNTIFS('事件主表'!$D$2:$D$215,A249,'事件主表'!$BH$2:$BH$215,B249,'事件主表'!$F$2:$F$215,"core")</x:f>
        <x:v>0</x:v>
      </x:c>
      <x:c r="D249" s="9" t="n">
        <x:v>2639</x:v>
      </x:c>
      <x:c r="E249" s="22" t="n">
        <x:f>C249/(D249/100)</x:f>
        <x:v>0</x:v>
      </x:c>
      <x:c r="F249" s="22"/>
      <x:c r="G249" s="9"/>
      <x:c r="H249" s="2"/>
      <x:c r="I249" s="9"/>
      <x:c r="J249" s="9"/>
      <x:c r="K249" s="22"/>
      <x:c r="L249" s="2" t="str">
        <x:v>R_POP2025_MEDIA</x:v>
      </x:c>
      <x:c r="M249" s="2"/>
      <x:c r="N249" s="2"/>
      <x:c r="O249" s="2"/>
      <x:c r="P249" s="2" t="str">
        <x:v>本次背景面板以2018—2024同版年鉴为主；2025仅补人口分母，来源为媒体汇总省级公报，证据级别另列。</x:v>
      </x:c>
      <x:c r="Q249" s="2" t="str">
        <x:v>未检出，不代表实际零发生</x:v>
      </x:c>
    </x:row>
  </x:sheetData>
  <x:pageMargins left="0.7" right="0.7" top="0.75" bottom="0.75" header="0.3" footer="0.3"/>
  <x:tableParts count="1">
    <x:tablePart xmlns:r="http://schemas.openxmlformats.org/officeDocument/2006/relationships" r:id="R72e9d41c7fc5430d"/>
  </x:tableParts>
</x:worksheet>
</file>

<file path=xl/worksheets/sheet6.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s>
  <x:sheetData>
    <x:row r="1" ht="42" customHeight="1">
      <x:c r="A1" s="6" t="str">
        <x:v>年份</x:v>
      </x:c>
      <x:c r="B1" s="6" t="str">
        <x:v>统计口径</x:v>
      </x:c>
      <x:c r="C1" s="6" t="str">
        <x:v>官方直接支持分类件数</x:v>
      </x:c>
      <x:c r="D1" s="6" t="str">
        <x:v>全部核实件数</x:v>
      </x:c>
      <x:c r="E1" s="6" t="str">
        <x:v>当年最大死亡事件</x:v>
      </x:c>
      <x:c r="F1" s="6" t="str">
        <x:v>死亡下限</x:v>
      </x:c>
      <x:c r="G1" s="6" t="str">
        <x:v>移除最大事件后死亡下限</x:v>
      </x:c>
    </x:row>
    <x:row r="2" ht="38" customHeight="1">
      <x:c r="A2" s="9" t="n">
        <x:v>2018</x:v>
      </x:c>
      <x:c r="B2" s="2" t="str">
        <x:v>核心</x:v>
      </x:c>
      <x:c r="C2" s="9" t="n">
        <x:v>9</x:v>
      </x:c>
      <x:c r="D2" s="9" t="n">
        <x:v>13</x:v>
      </x:c>
      <x:c r="E2" s="2" t="str">
        <x:v>A011</x:v>
      </x:c>
      <x:c r="F2" s="9" t="n">
        <x:v>45</x:v>
      </x:c>
      <x:c r="G2" s="9" t="n">
        <x:v>30</x:v>
      </x:c>
    </x:row>
    <x:row r="3" ht="38" customHeight="1">
      <x:c r="A3" s="9" t="n">
        <x:v>2018</x:v>
      </x:c>
      <x:c r="B3" s="2" t="str">
        <x:v>扩展</x:v>
      </x:c>
      <x:c r="C3" s="9" t="n">
        <x:v>10</x:v>
      </x:c>
      <x:c r="D3" s="9" t="n">
        <x:v>15</x:v>
      </x:c>
      <x:c r="E3" s="2" t="str">
        <x:v>A003</x:v>
      </x:c>
      <x:c r="F3" s="9" t="n">
        <x:v>71</x:v>
      </x:c>
      <x:c r="G3" s="9" t="n">
        <x:v>53</x:v>
      </x:c>
    </x:row>
    <x:row r="4" ht="38" customHeight="1">
      <x:c r="A4" s="9" t="n">
        <x:v>2019</x:v>
      </x:c>
      <x:c r="B4" s="2" t="str">
        <x:v>核心</x:v>
      </x:c>
      <x:c r="C4" s="9" t="n">
        <x:v>6</x:v>
      </x:c>
      <x:c r="D4" s="9" t="n">
        <x:v>7</x:v>
      </x:c>
      <x:c r="E4" s="2" t="str">
        <x:v>A028</x:v>
      </x:c>
      <x:c r="F4" s="9" t="n">
        <x:v>13</x:v>
      </x:c>
      <x:c r="G4" s="9" t="n">
        <x:v>5</x:v>
      </x:c>
    </x:row>
    <x:row r="5" ht="38" customHeight="1">
      <x:c r="A5" s="9" t="n">
        <x:v>2019</x:v>
      </x:c>
      <x:c r="B5" s="2" t="str">
        <x:v>扩展</x:v>
      </x:c>
      <x:c r="C5" s="9" t="n">
        <x:v>8</x:v>
      </x:c>
      <x:c r="D5" s="9" t="n">
        <x:v>9</x:v>
      </x:c>
      <x:c r="E5" s="2" t="str">
        <x:v>A028</x:v>
      </x:c>
      <x:c r="F5" s="9" t="n">
        <x:v>20</x:v>
      </x:c>
      <x:c r="G5" s="9" t="n">
        <x:v>12</x:v>
      </x:c>
    </x:row>
    <x:row r="6" ht="38" customHeight="1">
      <x:c r="A6" s="9" t="n">
        <x:v>2020</x:v>
      </x:c>
      <x:c r="B6" s="2" t="str">
        <x:v>核心</x:v>
      </x:c>
      <x:c r="C6" s="9" t="n">
        <x:v>6</x:v>
      </x:c>
      <x:c r="D6" s="9" t="n">
        <x:v>6</x:v>
      </x:c>
      <x:c r="E6" s="2" t="str">
        <x:v>A038</x:v>
      </x:c>
      <x:c r="F6" s="9" t="n">
        <x:v>32</x:v>
      </x:c>
      <x:c r="G6" s="9" t="n">
        <x:v>12</x:v>
      </x:c>
    </x:row>
    <x:row r="7" ht="38" customHeight="1">
      <x:c r="A7" s="9" t="n">
        <x:v>2020</x:v>
      </x:c>
      <x:c r="B7" s="2" t="str">
        <x:v>扩展</x:v>
      </x:c>
      <x:c r="C7" s="9" t="n">
        <x:v>8</x:v>
      </x:c>
      <x:c r="D7" s="9" t="n">
        <x:v>8</x:v>
      </x:c>
      <x:c r="E7" s="2" t="str">
        <x:v>A038</x:v>
      </x:c>
      <x:c r="F7" s="9" t="n">
        <x:v>32</x:v>
      </x:c>
      <x:c r="G7" s="9" t="n">
        <x:v>12</x:v>
      </x:c>
    </x:row>
    <x:row r="8" ht="38" customHeight="1">
      <x:c r="A8" s="9" t="n">
        <x:v>2021</x:v>
      </x:c>
      <x:c r="B8" s="2" t="str">
        <x:v>核心</x:v>
      </x:c>
      <x:c r="C8" s="9" t="n">
        <x:v>4</x:v>
      </x:c>
      <x:c r="D8" s="9" t="n">
        <x:v>5</x:v>
      </x:c>
      <x:c r="E8" s="2" t="str">
        <x:v>B02</x:v>
      </x:c>
      <x:c r="F8" s="9" t="n">
        <x:v>12</x:v>
      </x:c>
      <x:c r="G8" s="9" t="n">
        <x:v>5</x:v>
      </x:c>
    </x:row>
    <x:row r="9" ht="38" customHeight="1">
      <x:c r="A9" s="9" t="n">
        <x:v>2021</x:v>
      </x:c>
      <x:c r="B9" s="2" t="str">
        <x:v>扩展</x:v>
      </x:c>
      <x:c r="C9" s="9" t="n">
        <x:v>6</x:v>
      </x:c>
      <x:c r="D9" s="9" t="n">
        <x:v>7</x:v>
      </x:c>
      <x:c r="E9" s="2" t="str">
        <x:v>B02</x:v>
      </x:c>
      <x:c r="F9" s="9" t="n">
        <x:v>12</x:v>
      </x:c>
      <x:c r="G9" s="9" t="n">
        <x:v>5</x:v>
      </x:c>
    </x:row>
    <x:row r="10" ht="38" customHeight="1">
      <x:c r="A10" s="9" t="n">
        <x:v>2022</x:v>
      </x:c>
      <x:c r="B10" s="2" t="str">
        <x:v>核心</x:v>
      </x:c>
      <x:c r="C10" s="9" t="n">
        <x:v>2</x:v>
      </x:c>
      <x:c r="D10" s="9" t="n">
        <x:v>3</x:v>
      </x:c>
      <x:c r="E10" s="2" t="str">
        <x:v>B27</x:v>
      </x:c>
      <x:c r="F10" s="9" t="n">
        <x:v>1</x:v>
      </x:c>
      <x:c r="G10" s="9" t="n">
        <x:v>0</x:v>
      </x:c>
    </x:row>
    <x:row r="11" ht="38" customHeight="1">
      <x:c r="A11" s="9" t="n">
        <x:v>2022</x:v>
      </x:c>
      <x:c r="B11" s="2" t="str">
        <x:v>扩展</x:v>
      </x:c>
      <x:c r="C11" s="9" t="n">
        <x:v>2</x:v>
      </x:c>
      <x:c r="D11" s="9" t="n">
        <x:v>3</x:v>
      </x:c>
      <x:c r="E11" s="2" t="str">
        <x:v>B27</x:v>
      </x:c>
      <x:c r="F11" s="9" t="n">
        <x:v>1</x:v>
      </x:c>
      <x:c r="G11" s="9" t="n">
        <x:v>0</x:v>
      </x:c>
    </x:row>
    <x:row r="12" ht="38" customHeight="1">
      <x:c r="A12" s="9" t="n">
        <x:v>2023</x:v>
      </x:c>
      <x:c r="B12" s="2" t="str">
        <x:v>核心</x:v>
      </x:c>
      <x:c r="C12" s="9" t="n">
        <x:v>5</x:v>
      </x:c>
      <x:c r="D12" s="9" t="n">
        <x:v>6</x:v>
      </x:c>
      <x:c r="E12" s="2" t="str">
        <x:v>B04</x:v>
      </x:c>
      <x:c r="F12" s="9" t="n">
        <x:v>8</x:v>
      </x:c>
      <x:c r="G12" s="9" t="n">
        <x:v>2</x:v>
      </x:c>
    </x:row>
    <x:row r="13" ht="38" customHeight="1">
      <x:c r="A13" s="9" t="n">
        <x:v>2023</x:v>
      </x:c>
      <x:c r="B13" s="2" t="str">
        <x:v>扩展</x:v>
      </x:c>
      <x:c r="C13" s="9" t="n">
        <x:v>7</x:v>
      </x:c>
      <x:c r="D13" s="9" t="n">
        <x:v>8</x:v>
      </x:c>
      <x:c r="E13" s="2" t="str">
        <x:v>B34</x:v>
      </x:c>
      <x:c r="F13" s="9" t="n">
        <x:v>17</x:v>
      </x:c>
      <x:c r="G13" s="9" t="n">
        <x:v>10</x:v>
      </x:c>
    </x:row>
    <x:row r="14" ht="38" customHeight="1">
      <x:c r="A14" s="9" t="n">
        <x:v>2024</x:v>
      </x:c>
      <x:c r="B14" s="2" t="str">
        <x:v>核心</x:v>
      </x:c>
      <x:c r="C14" s="9" t="n">
        <x:v>2</x:v>
      </x:c>
      <x:c r="D14" s="9" t="n">
        <x:v>10</x:v>
      </x:c>
      <x:c r="E14" s="2" t="str">
        <x:v>C001</x:v>
      </x:c>
      <x:c r="F14" s="9" t="n">
        <x:v>50</x:v>
      </x:c>
      <x:c r="G14" s="9" t="n">
        <x:v>15</x:v>
      </x:c>
    </x:row>
    <x:row r="15" ht="38" customHeight="1">
      <x:c r="A15" s="9" t="n">
        <x:v>2024</x:v>
      </x:c>
      <x:c r="B15" s="2" t="str">
        <x:v>扩展</x:v>
      </x:c>
      <x:c r="C15" s="9" t="n">
        <x:v>3</x:v>
      </x:c>
      <x:c r="D15" s="9" t="n">
        <x:v>11</x:v>
      </x:c>
      <x:c r="E15" s="2" t="str">
        <x:v>C001</x:v>
      </x:c>
      <x:c r="F15" s="9" t="n">
        <x:v>50</x:v>
      </x:c>
      <x:c r="G15" s="9" t="n">
        <x:v>15</x:v>
      </x:c>
    </x:row>
    <x:row r="16" ht="38" customHeight="1">
      <x:c r="A16" s="9" t="n">
        <x:v>2025</x:v>
      </x:c>
      <x:c r="B16" s="2" t="str">
        <x:v>核心</x:v>
      </x:c>
      <x:c r="C16" s="9" t="n">
        <x:v>0</x:v>
      </x:c>
      <x:c r="D16" s="9" t="n">
        <x:v>1</x:v>
      </x:c>
      <x:c r="E16" s="2" t="str">
        <x:v>C022</x:v>
      </x:c>
      <x:c r="F16" s="9" t="n">
        <x:v>1</x:v>
      </x:c>
      <x:c r="G16" s="9" t="n">
        <x:v>0</x:v>
      </x:c>
    </x:row>
    <x:row r="17" ht="38" customHeight="1">
      <x:c r="A17" s="9" t="n">
        <x:v>2025</x:v>
      </x:c>
      <x:c r="B17" s="2" t="str">
        <x:v>扩展</x:v>
      </x:c>
      <x:c r="C17" s="9" t="n">
        <x:v>1</x:v>
      </x:c>
      <x:c r="D17" s="9" t="n">
        <x:v>2</x:v>
      </x:c>
      <x:c r="E17" s="2" t="str">
        <x:v>C022</x:v>
      </x:c>
      <x:c r="F17" s="9" t="n">
        <x:v>1</x:v>
      </x:c>
      <x:c r="G17" s="9" t="n">
        <x:v>0</x:v>
      </x:c>
    </x:row>
    <x:row r="18" ht="38" customHeight="1">
      <x:c r="A18" s="9" t="n">
        <x:v>2026</x:v>
      </x:c>
      <x:c r="B18" s="2" t="str">
        <x:v>核心</x:v>
      </x:c>
      <x:c r="C18" s="9" t="n">
        <x:v>4</x:v>
      </x:c>
      <x:c r="D18" s="9" t="n">
        <x:v>5</x:v>
      </x:c>
      <x:c r="E18" s="2" t="str">
        <x:v>LX26A12</x:v>
      </x:c>
      <x:c r="F18" s="9" t="n">
        <x:v>0</x:v>
      </x:c>
      <x:c r="G18" s="9" t="n">
        <x:v>0</x:v>
      </x:c>
    </x:row>
    <x:row r="19" ht="38" customHeight="1">
      <x:c r="A19" s="9" t="n">
        <x:v>2026</x:v>
      </x:c>
      <x:c r="B19" s="2" t="str">
        <x:v>扩展</x:v>
      </x:c>
      <x:c r="C19" s="9" t="n">
        <x:v>8</x:v>
      </x:c>
      <x:c r="D19" s="9" t="n">
        <x:v>10</x:v>
      </x:c>
      <x:c r="E19" s="2" t="str">
        <x:v>LX26A10</x:v>
      </x:c>
      <x:c r="F19" s="9" t="n">
        <x:v>1</x:v>
      </x:c>
      <x:c r="G19" s="9" t="n">
        <x:v>0</x:v>
      </x:c>
    </x:row>
  </x:sheetData>
  <x:pageMargins left="0.7" right="0.7" top="0.75" bottom="0.75" header="0.3" footer="0.3"/>
  <x:tableParts count="1">
    <x:tablePart xmlns:r="http://schemas.openxmlformats.org/officeDocument/2006/relationships" r:id="R2ab601efcb174f70"/>
  </x:tableParts>
</x:worksheet>
</file>

<file path=xl/worksheets/sheet7.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42" customHeight="1">
      <x:c r="A1" s="6" t="str">
        <x:v>案发季度</x:v>
      </x:c>
      <x:c r="B1" s="6" t="str">
        <x:v>核心件数</x:v>
      </x:c>
      <x:c r="C1" s="6" t="str">
        <x:v>精确死亡已知合计</x:v>
      </x:c>
      <x:c r="D1" s="6" t="str">
        <x:v>死亡含下限合计</x:v>
      </x:c>
      <x:c r="E1" s="6" t="str">
        <x:v>死亡不明案件</x:v>
      </x:c>
      <x:c r="F1" s="6" t="str">
        <x:v>精确受伤已知合计</x:v>
      </x:c>
      <x:c r="G1" s="6" t="str">
        <x:v>受伤含下限合计</x:v>
      </x:c>
      <x:c r="H1" s="6" t="str">
        <x:v>受伤不明案件</x:v>
      </x:c>
    </x:row>
    <x:row r="2" ht="38" customHeight="1">
      <x:c r="A2" s="2" t="str">
        <x:v>2018-Q1</x:v>
      </x:c>
      <x:c r="B2" s="9" t="n">
        <x:v>1</x:v>
      </x:c>
      <x:c r="C2" s="9" t="n">
        <x:v>1</x:v>
      </x:c>
      <x:c r="D2" s="9" t="n">
        <x:v>1</x:v>
      </x:c>
      <x:c r="E2" s="9" t="n">
        <x:v>0</x:v>
      </x:c>
      <x:c r="F2" s="9" t="n">
        <x:v>14</x:v>
      </x:c>
      <x:c r="G2" s="9" t="n">
        <x:v>14</x:v>
      </x:c>
      <x:c r="H2" s="9" t="n">
        <x:v>0</x:v>
      </x:c>
    </x:row>
    <x:row r="3" ht="38" customHeight="1">
      <x:c r="A3" s="2" t="str">
        <x:v>2018-Q2</x:v>
      </x:c>
      <x:c r="B3" s="9" t="n">
        <x:v>5</x:v>
      </x:c>
      <x:c r="C3" s="9" t="n">
        <x:v>23</x:v>
      </x:c>
      <x:c r="D3" s="9" t="n">
        <x:v>23</x:v>
      </x:c>
      <x:c r="E3" s="9" t="n">
        <x:v>0</x:v>
      </x:c>
      <x:c r="F3" s="9" t="n">
        <x:v>31</x:v>
      </x:c>
      <x:c r="G3" s="9" t="n">
        <x:v>41</x:v>
      </x:c>
      <x:c r="H3" s="9" t="n">
        <x:v>1</x:v>
      </x:c>
    </x:row>
    <x:row r="4" ht="38" customHeight="1">
      <x:c r="A4" s="2" t="str">
        <x:v>2018-Q3</x:v>
      </x:c>
      <x:c r="B4" s="9" t="n">
        <x:v>3</x:v>
      </x:c>
      <x:c r="C4" s="9" t="n">
        <x:v>15</x:v>
      </x:c>
      <x:c r="D4" s="9" t="n">
        <x:v>15</x:v>
      </x:c>
      <x:c r="E4" s="9" t="n">
        <x:v>0</x:v>
      </x:c>
      <x:c r="F4" s="9" t="n">
        <x:v>52</x:v>
      </x:c>
      <x:c r="G4" s="9" t="n">
        <x:v>52</x:v>
      </x:c>
      <x:c r="H4" s="9" t="n">
        <x:v>0</x:v>
      </x:c>
    </x:row>
    <x:row r="5" ht="38" customHeight="1">
      <x:c r="A5" s="2" t="str">
        <x:v>2018-Q4</x:v>
      </x:c>
      <x:c r="B5" s="9" t="n">
        <x:v>4</x:v>
      </x:c>
      <x:c r="C5" s="9" t="n">
        <x:v>6</x:v>
      </x:c>
      <x:c r="D5" s="9" t="n">
        <x:v>6</x:v>
      </x:c>
      <x:c r="E5" s="9" t="n">
        <x:v>0</x:v>
      </x:c>
      <x:c r="F5" s="9" t="n">
        <x:v>39</x:v>
      </x:c>
      <x:c r="G5" s="9" t="n">
        <x:v>56</x:v>
      </x:c>
      <x:c r="H5" s="9" t="n">
        <x:v>1</x:v>
      </x:c>
    </x:row>
    <x:row r="6" ht="38" customHeight="1">
      <x:c r="A6" s="2" t="str">
        <x:v>2019-Q1</x:v>
      </x:c>
      <x:c r="B6" s="9" t="n">
        <x:v>1</x:v>
      </x:c>
      <x:c r="C6" s="9" t="n">
        <x:v>0</x:v>
      </x:c>
      <x:c r="D6" s="9" t="n">
        <x:v>0</x:v>
      </x:c>
      <x:c r="E6" s="9" t="n">
        <x:v>0</x:v>
      </x:c>
      <x:c r="F6" s="9" t="n">
        <x:v>20</x:v>
      </x:c>
      <x:c r="G6" s="9" t="n">
        <x:v>20</x:v>
      </x:c>
      <x:c r="H6" s="9" t="n">
        <x:v>0</x:v>
      </x:c>
    </x:row>
    <x:row r="7" ht="38" customHeight="1">
      <x:c r="A7" s="2" t="str">
        <x:v>2019-Q2</x:v>
      </x:c>
      <x:c r="B7" s="9" t="n">
        <x:v>3</x:v>
      </x:c>
      <x:c r="C7" s="9" t="n">
        <x:v>4</x:v>
      </x:c>
      <x:c r="D7" s="9" t="n">
        <x:v>4</x:v>
      </x:c>
      <x:c r="E7" s="9" t="n">
        <x:v>0</x:v>
      </x:c>
      <x:c r="F7" s="9" t="n">
        <x:v>3</x:v>
      </x:c>
      <x:c r="G7" s="9" t="n">
        <x:v>3</x:v>
      </x:c>
      <x:c r="H7" s="9" t="n">
        <x:v>0</x:v>
      </x:c>
    </x:row>
    <x:row r="8" ht="38" customHeight="1">
      <x:c r="A8" s="2" t="str">
        <x:v>2019-Q3</x:v>
      </x:c>
      <x:c r="B8" s="9" t="n">
        <x:v>2</x:v>
      </x:c>
      <x:c r="C8" s="9" t="n">
        <x:v>9</x:v>
      </x:c>
      <x:c r="D8" s="9" t="n">
        <x:v>9</x:v>
      </x:c>
      <x:c r="E8" s="9" t="n">
        <x:v>0</x:v>
      </x:c>
      <x:c r="F8" s="9" t="n">
        <x:v>2</x:v>
      </x:c>
      <x:c r="G8" s="9" t="n">
        <x:v>2</x:v>
      </x:c>
      <x:c r="H8" s="9" t="n">
        <x:v>1</x:v>
      </x:c>
    </x:row>
    <x:row r="9" ht="38" customHeight="1">
      <x:c r="A9" s="2" t="str">
        <x:v>2019-Q4</x:v>
      </x:c>
      <x:c r="B9" s="9" t="n">
        <x:v>1</x:v>
      </x:c>
      <x:c r="C9" s="9" t="n">
        <x:v>0</x:v>
      </x:c>
      <x:c r="D9" s="9" t="n">
        <x:v>0</x:v>
      </x:c>
      <x:c r="E9" s="9" t="n">
        <x:v>0</x:v>
      </x:c>
      <x:c r="F9" s="9" t="n">
        <x:v>54</x:v>
      </x:c>
      <x:c r="G9" s="9" t="n">
        <x:v>54</x:v>
      </x:c>
      <x:c r="H9" s="9" t="n">
        <x:v>0</x:v>
      </x:c>
    </x:row>
    <x:row r="10" ht="38" customHeight="1">
      <x:c r="A10" s="2" t="str">
        <x:v>2020-Q1</x:v>
      </x:c>
      <x:c r="B10" s="9" t="n">
        <x:v>0</x:v>
      </x:c>
      <x:c r="C10" s="9" t="n">
        <x:v>0</x:v>
      </x:c>
      <x:c r="D10" s="9" t="n">
        <x:v>0</x:v>
      </x:c>
      <x:c r="E10" s="9" t="n">
        <x:v>0</x:v>
      </x:c>
      <x:c r="F10" s="9" t="n">
        <x:v>0</x:v>
      </x:c>
      <x:c r="G10" s="9" t="n">
        <x:v>0</x:v>
      </x:c>
      <x:c r="H10" s="9" t="n">
        <x:v>0</x:v>
      </x:c>
    </x:row>
    <x:row r="11" ht="38" customHeight="1">
      <x:c r="A11" s="2" t="str">
        <x:v>2020-Q2</x:v>
      </x:c>
      <x:c r="B11" s="9" t="n">
        <x:v>1</x:v>
      </x:c>
      <x:c r="C11" s="9" t="n">
        <x:v>2</x:v>
      </x:c>
      <x:c r="D11" s="9" t="n">
        <x:v>2</x:v>
      </x:c>
      <x:c r="E11" s="9" t="n">
        <x:v>0</x:v>
      </x:c>
      <x:c r="F11" s="9" t="n">
        <x:v>7</x:v>
      </x:c>
      <x:c r="G11" s="9" t="n">
        <x:v>7</x:v>
      </x:c>
      <x:c r="H11" s="9" t="n">
        <x:v>0</x:v>
      </x:c>
    </x:row>
    <x:row r="12" ht="38" customHeight="1">
      <x:c r="A12" s="2" t="str">
        <x:v>2020-Q3</x:v>
      </x:c>
      <x:c r="B12" s="9" t="n">
        <x:v>4</x:v>
      </x:c>
      <x:c r="C12" s="9" t="n">
        <x:v>23</x:v>
      </x:c>
      <x:c r="D12" s="9" t="n">
        <x:v>23</x:v>
      </x:c>
      <x:c r="E12" s="9" t="n">
        <x:v>0</x:v>
      </x:c>
      <x:c r="F12" s="9" t="n">
        <x:v>20</x:v>
      </x:c>
      <x:c r="G12" s="9" t="n">
        <x:v>20</x:v>
      </x:c>
      <x:c r="H12" s="9" t="n">
        <x:v>1</x:v>
      </x:c>
    </x:row>
    <x:row r="13" ht="38" customHeight="1">
      <x:c r="A13" s="2" t="str">
        <x:v>2020-Q4</x:v>
      </x:c>
      <x:c r="B13" s="9" t="n">
        <x:v>1</x:v>
      </x:c>
      <x:c r="C13" s="9" t="n">
        <x:v>7</x:v>
      </x:c>
      <x:c r="D13" s="9" t="n">
        <x:v>7</x:v>
      </x:c>
      <x:c r="E13" s="9" t="n">
        <x:v>0</x:v>
      </x:c>
      <x:c r="F13" s="9" t="n">
        <x:v>7</x:v>
      </x:c>
      <x:c r="G13" s="9" t="n">
        <x:v>7</x:v>
      </x:c>
      <x:c r="H13" s="9" t="n">
        <x:v>0</x:v>
      </x:c>
    </x:row>
    <x:row r="14" ht="38" customHeight="1">
      <x:c r="A14" s="2" t="str">
        <x:v>2021-Q1</x:v>
      </x:c>
      <x:c r="B14" s="9" t="n">
        <x:v>1</x:v>
      </x:c>
      <x:c r="C14" s="9" t="n">
        <x:v>0</x:v>
      </x:c>
      <x:c r="D14" s="9" t="n">
        <x:v>0</x:v>
      </x:c>
      <x:c r="E14" s="9" t="n">
        <x:v>0</x:v>
      </x:c>
      <x:c r="F14" s="9" t="n">
        <x:v>4</x:v>
      </x:c>
      <x:c r="G14" s="9" t="n">
        <x:v>4</x:v>
      </x:c>
      <x:c r="H14" s="9" t="n">
        <x:v>0</x:v>
      </x:c>
    </x:row>
    <x:row r="15" ht="38" customHeight="1">
      <x:c r="A15" s="2" t="str">
        <x:v>2021-Q2</x:v>
      </x:c>
      <x:c r="B15" s="9" t="n">
        <x:v>3</x:v>
      </x:c>
      <x:c r="C15" s="9" t="n">
        <x:v>12</x:v>
      </x:c>
      <x:c r="D15" s="9" t="n">
        <x:v>12</x:v>
      </x:c>
      <x:c r="E15" s="9" t="n">
        <x:v>0</x:v>
      </x:c>
      <x:c r="F15" s="9" t="n">
        <x:v>35</x:v>
      </x:c>
      <x:c r="G15" s="9" t="n">
        <x:v>35</x:v>
      </x:c>
      <x:c r="H15" s="9" t="n">
        <x:v>0</x:v>
      </x:c>
    </x:row>
    <x:row r="16" ht="38" customHeight="1">
      <x:c r="A16" s="2" t="str">
        <x:v>2021-Q3</x:v>
      </x:c>
      <x:c r="B16" s="9" t="n">
        <x:v>0</x:v>
      </x:c>
      <x:c r="C16" s="9" t="n">
        <x:v>0</x:v>
      </x:c>
      <x:c r="D16" s="9" t="n">
        <x:v>0</x:v>
      </x:c>
      <x:c r="E16" s="9" t="n">
        <x:v>0</x:v>
      </x:c>
      <x:c r="F16" s="9" t="n">
        <x:v>0</x:v>
      </x:c>
      <x:c r="G16" s="9" t="n">
        <x:v>0</x:v>
      </x:c>
      <x:c r="H16" s="9" t="n">
        <x:v>0</x:v>
      </x:c>
    </x:row>
    <x:row r="17" ht="38" customHeight="1">
      <x:c r="A17" s="2" t="str">
        <x:v>2021-Q4</x:v>
      </x:c>
      <x:c r="B17" s="9" t="n">
        <x:v>1</x:v>
      </x:c>
      <x:c r="C17" s="9" t="n">
        <x:v>0</x:v>
      </x:c>
      <x:c r="D17" s="9" t="n">
        <x:v>0</x:v>
      </x:c>
      <x:c r="E17" s="9" t="n">
        <x:v>1</x:v>
      </x:c>
      <x:c r="F17" s="9" t="n">
        <x:v>9</x:v>
      </x:c>
      <x:c r="G17" s="9" t="n">
        <x:v>9</x:v>
      </x:c>
      <x:c r="H17" s="9" t="n">
        <x:v>0</x:v>
      </x:c>
    </x:row>
    <x:row r="18" ht="38" customHeight="1">
      <x:c r="A18" s="2" t="str">
        <x:v>2022-Q1</x:v>
      </x:c>
      <x:c r="B18" s="9" t="n">
        <x:v>0</x:v>
      </x:c>
      <x:c r="C18" s="9" t="n">
        <x:v>0</x:v>
      </x:c>
      <x:c r="D18" s="9" t="n">
        <x:v>0</x:v>
      </x:c>
      <x:c r="E18" s="9" t="n">
        <x:v>0</x:v>
      </x:c>
      <x:c r="F18" s="9" t="n">
        <x:v>0</x:v>
      </x:c>
      <x:c r="G18" s="9" t="n">
        <x:v>0</x:v>
      </x:c>
      <x:c r="H18" s="9" t="n">
        <x:v>0</x:v>
      </x:c>
    </x:row>
    <x:row r="19" ht="38" customHeight="1">
      <x:c r="A19" s="2" t="str">
        <x:v>2022-Q2</x:v>
      </x:c>
      <x:c r="B19" s="9" t="n">
        <x:v>0</x:v>
      </x:c>
      <x:c r="C19" s="9" t="n">
        <x:v>0</x:v>
      </x:c>
      <x:c r="D19" s="9" t="n">
        <x:v>0</x:v>
      </x:c>
      <x:c r="E19" s="9" t="n">
        <x:v>0</x:v>
      </x:c>
      <x:c r="F19" s="9" t="n">
        <x:v>0</x:v>
      </x:c>
      <x:c r="G19" s="9" t="n">
        <x:v>0</x:v>
      </x:c>
      <x:c r="H19" s="9" t="n">
        <x:v>0</x:v>
      </x:c>
    </x:row>
    <x:row r="20" ht="38" customHeight="1">
      <x:c r="A20" s="2" t="str">
        <x:v>2022-Q3</x:v>
      </x:c>
      <x:c r="B20" s="9" t="n">
        <x:v>3</x:v>
      </x:c>
      <x:c r="C20" s="9" t="n">
        <x:v>1</x:v>
      </x:c>
      <x:c r="D20" s="9" t="n">
        <x:v>1</x:v>
      </x:c>
      <x:c r="E20" s="9" t="n">
        <x:v>0</x:v>
      </x:c>
      <x:c r="F20" s="9" t="n">
        <x:v>21</x:v>
      </x:c>
      <x:c r="G20" s="9" t="n">
        <x:v>21</x:v>
      </x:c>
      <x:c r="H20" s="9" t="n">
        <x:v>0</x:v>
      </x:c>
    </x:row>
    <x:row r="21" ht="38" customHeight="1">
      <x:c r="A21" s="2" t="str">
        <x:v>2022-Q4</x:v>
      </x:c>
      <x:c r="B21" s="9" t="n">
        <x:v>0</x:v>
      </x:c>
      <x:c r="C21" s="9" t="n">
        <x:v>0</x:v>
      </x:c>
      <x:c r="D21" s="9" t="n">
        <x:v>0</x:v>
      </x:c>
      <x:c r="E21" s="9" t="n">
        <x:v>0</x:v>
      </x:c>
      <x:c r="F21" s="9" t="n">
        <x:v>0</x:v>
      </x:c>
      <x:c r="G21" s="9" t="n">
        <x:v>0</x:v>
      </x:c>
      <x:c r="H21" s="9" t="n">
        <x:v>0</x:v>
      </x:c>
    </x:row>
    <x:row r="22" ht="38" customHeight="1">
      <x:c r="A22" s="2" t="str">
        <x:v>2023-Q1</x:v>
      </x:c>
      <x:c r="B22" s="9" t="n">
        <x:v>2</x:v>
      </x:c>
      <x:c r="C22" s="9" t="n">
        <x:v>6</x:v>
      </x:c>
      <x:c r="D22" s="9" t="n">
        <x:v>6</x:v>
      </x:c>
      <x:c r="E22" s="9" t="n">
        <x:v>0</x:v>
      </x:c>
      <x:c r="F22" s="9" t="n">
        <x:v>1</x:v>
      </x:c>
      <x:c r="G22" s="9" t="n">
        <x:v>26</x:v>
      </x:c>
      <x:c r="H22" s="9" t="n">
        <x:v>1</x:v>
      </x:c>
    </x:row>
    <x:row r="23" ht="38" customHeight="1">
      <x:c r="A23" s="2" t="str">
        <x:v>2023-Q2</x:v>
      </x:c>
      <x:c r="B23" s="9" t="n">
        <x:v>4</x:v>
      </x:c>
      <x:c r="C23" s="9" t="n">
        <x:v>2</x:v>
      </x:c>
      <x:c r="D23" s="9" t="n">
        <x:v>2</x:v>
      </x:c>
      <x:c r="E23" s="9" t="n">
        <x:v>0</x:v>
      </x:c>
      <x:c r="F23" s="9" t="n">
        <x:v>8</x:v>
      </x:c>
      <x:c r="G23" s="9" t="n">
        <x:v>8</x:v>
      </x:c>
      <x:c r="H23" s="9" t="n">
        <x:v>0</x:v>
      </x:c>
    </x:row>
    <x:row r="24" ht="38" customHeight="1">
      <x:c r="A24" s="2" t="str">
        <x:v>2023-Q3</x:v>
      </x:c>
      <x:c r="B24" s="9" t="n">
        <x:v>0</x:v>
      </x:c>
      <x:c r="C24" s="9" t="n">
        <x:v>0</x:v>
      </x:c>
      <x:c r="D24" s="9" t="n">
        <x:v>0</x:v>
      </x:c>
      <x:c r="E24" s="9" t="n">
        <x:v>0</x:v>
      </x:c>
      <x:c r="F24" s="9" t="n">
        <x:v>0</x:v>
      </x:c>
      <x:c r="G24" s="9" t="n">
        <x:v>0</x:v>
      </x:c>
      <x:c r="H24" s="9" t="n">
        <x:v>0</x:v>
      </x:c>
    </x:row>
    <x:row r="25" ht="38" customHeight="1">
      <x:c r="A25" s="2" t="str">
        <x:v>2023-Q4</x:v>
      </x:c>
      <x:c r="B25" s="9" t="n">
        <x:v>0</x:v>
      </x:c>
      <x:c r="C25" s="9" t="n">
        <x:v>0</x:v>
      </x:c>
      <x:c r="D25" s="9" t="n">
        <x:v>0</x:v>
      </x:c>
      <x:c r="E25" s="9" t="n">
        <x:v>0</x:v>
      </x:c>
      <x:c r="F25" s="9" t="n">
        <x:v>0</x:v>
      </x:c>
      <x:c r="G25" s="9" t="n">
        <x:v>0</x:v>
      </x:c>
      <x:c r="H25" s="9" t="n">
        <x:v>0</x:v>
      </x:c>
    </x:row>
    <x:row r="26" ht="38" customHeight="1">
      <x:c r="A26" s="2" t="str">
        <x:v>2024-Q1</x:v>
      </x:c>
      <x:c r="B26" s="9" t="n">
        <x:v>0</x:v>
      </x:c>
      <x:c r="C26" s="9" t="n">
        <x:v>0</x:v>
      </x:c>
      <x:c r="D26" s="9" t="n">
        <x:v>0</x:v>
      </x:c>
      <x:c r="E26" s="9" t="n">
        <x:v>0</x:v>
      </x:c>
      <x:c r="F26" s="9" t="n">
        <x:v>0</x:v>
      </x:c>
      <x:c r="G26" s="9" t="n">
        <x:v>0</x:v>
      </x:c>
      <x:c r="H26" s="9" t="n">
        <x:v>0</x:v>
      </x:c>
    </x:row>
    <x:row r="27" ht="38" customHeight="1">
      <x:c r="A27" s="2" t="str">
        <x:v>2024-Q2</x:v>
      </x:c>
      <x:c r="B27" s="9" t="n">
        <x:v>2</x:v>
      </x:c>
      <x:c r="C27" s="9" t="n">
        <x:v>3</x:v>
      </x:c>
      <x:c r="D27" s="9" t="n">
        <x:v>3</x:v>
      </x:c>
      <x:c r="E27" s="9" t="n">
        <x:v>0</x:v>
      </x:c>
      <x:c r="F27" s="9" t="n">
        <x:v>12</x:v>
      </x:c>
      <x:c r="G27" s="9" t="n">
        <x:v>12</x:v>
      </x:c>
      <x:c r="H27" s="9" t="n">
        <x:v>0</x:v>
      </x:c>
    </x:row>
    <x:row r="28" ht="38" customHeight="1">
      <x:c r="A28" s="2" t="str">
        <x:v>2024-Q3</x:v>
      </x:c>
      <x:c r="B28" s="9" t="n">
        <x:v>2</x:v>
      </x:c>
      <x:c r="C28" s="9" t="n">
        <x:v>4</x:v>
      </x:c>
      <x:c r="D28" s="9" t="n">
        <x:v>4</x:v>
      </x:c>
      <x:c r="E28" s="9" t="n">
        <x:v>0</x:v>
      </x:c>
      <x:c r="F28" s="9" t="n">
        <x:v>15</x:v>
      </x:c>
      <x:c r="G28" s="9" t="n">
        <x:v>15</x:v>
      </x:c>
      <x:c r="H28" s="9" t="n">
        <x:v>0</x:v>
      </x:c>
    </x:row>
    <x:row r="29" ht="38" customHeight="1">
      <x:c r="A29" s="2" t="str">
        <x:v>2024-Q4</x:v>
      </x:c>
      <x:c r="B29" s="9" t="n">
        <x:v>6</x:v>
      </x:c>
      <x:c r="C29" s="9" t="n">
        <x:v>43</x:v>
      </x:c>
      <x:c r="D29" s="9" t="n">
        <x:v>43</x:v>
      </x:c>
      <x:c r="E29" s="9" t="n">
        <x:v>0</x:v>
      </x:c>
      <x:c r="F29" s="9" t="n">
        <x:v>101</x:v>
      </x:c>
      <x:c r="G29" s="9" t="n">
        <x:v>101</x:v>
      </x:c>
      <x:c r="H29" s="9" t="n">
        <x:v>0</x:v>
      </x:c>
    </x:row>
    <x:row r="30" ht="38" customHeight="1">
      <x:c r="A30" s="2" t="str">
        <x:v>2025-Q1</x:v>
      </x:c>
      <x:c r="B30" s="9" t="n">
        <x:v>0</x:v>
      </x:c>
      <x:c r="C30" s="9" t="n">
        <x:v>0</x:v>
      </x:c>
      <x:c r="D30" s="9" t="n">
        <x:v>0</x:v>
      </x:c>
      <x:c r="E30" s="9" t="n">
        <x:v>0</x:v>
      </x:c>
      <x:c r="F30" s="9" t="n">
        <x:v>0</x:v>
      </x:c>
      <x:c r="G30" s="9" t="n">
        <x:v>0</x:v>
      </x:c>
      <x:c r="H30" s="9" t="n">
        <x:v>0</x:v>
      </x:c>
    </x:row>
    <x:row r="31" ht="38" customHeight="1">
      <x:c r="A31" s="2" t="str">
        <x:v>2025-Q2</x:v>
      </x:c>
      <x:c r="B31" s="9" t="n">
        <x:v>0</x:v>
      </x:c>
      <x:c r="C31" s="9" t="n">
        <x:v>0</x:v>
      </x:c>
      <x:c r="D31" s="9" t="n">
        <x:v>0</x:v>
      </x:c>
      <x:c r="E31" s="9" t="n">
        <x:v>0</x:v>
      </x:c>
      <x:c r="F31" s="9" t="n">
        <x:v>0</x:v>
      </x:c>
      <x:c r="G31" s="9" t="n">
        <x:v>0</x:v>
      </x:c>
      <x:c r="H31" s="9" t="n">
        <x:v>0</x:v>
      </x:c>
    </x:row>
    <x:row r="32" ht="38" customHeight="1">
      <x:c r="A32" s="2" t="str">
        <x:v>2025-Q3</x:v>
      </x:c>
      <x:c r="B32" s="9" t="n">
        <x:v>0</x:v>
      </x:c>
      <x:c r="C32" s="9" t="n">
        <x:v>0</x:v>
      </x:c>
      <x:c r="D32" s="9" t="n">
        <x:v>0</x:v>
      </x:c>
      <x:c r="E32" s="9" t="n">
        <x:v>0</x:v>
      </x:c>
      <x:c r="F32" s="9" t="n">
        <x:v>0</x:v>
      </x:c>
      <x:c r="G32" s="9" t="n">
        <x:v>0</x:v>
      </x:c>
      <x:c r="H32" s="9" t="n">
        <x:v>0</x:v>
      </x:c>
    </x:row>
    <x:row r="33" ht="38" customHeight="1">
      <x:c r="A33" s="2" t="str">
        <x:v>2025-Q4</x:v>
      </x:c>
      <x:c r="B33" s="9" t="n">
        <x:v>1</x:v>
      </x:c>
      <x:c r="C33" s="9" t="n">
        <x:v>1</x:v>
      </x:c>
      <x:c r="D33" s="9" t="n">
        <x:v>1</x:v>
      </x:c>
      <x:c r="E33" s="9" t="n">
        <x:v>0</x:v>
      </x:c>
      <x:c r="F33" s="9" t="n">
        <x:v>0</x:v>
      </x:c>
      <x:c r="G33" s="9" t="n">
        <x:v>4</x:v>
      </x:c>
      <x:c r="H33" s="9" t="n">
        <x:v>1</x:v>
      </x:c>
    </x:row>
    <x:row r="34" ht="38" customHeight="1">
      <x:c r="A34" s="2" t="str">
        <x:v>2026-Q1</x:v>
      </x:c>
      <x:c r="B34" s="9" t="n">
        <x:v>3</x:v>
      </x:c>
      <x:c r="C34" s="9" t="n">
        <x:v>0</x:v>
      </x:c>
      <x:c r="D34" s="9" t="n">
        <x:v>0</x:v>
      </x:c>
      <x:c r="E34" s="9" t="n">
        <x:v>2</x:v>
      </x:c>
      <x:c r="F34" s="9" t="n">
        <x:v>2</x:v>
      </x:c>
      <x:c r="G34" s="9" t="n">
        <x:v>4</x:v>
      </x:c>
      <x:c r="H34" s="9" t="n">
        <x:v>2</x:v>
      </x:c>
    </x:row>
    <x:row r="35" ht="38" customHeight="1">
      <x:c r="A35" s="2" t="str">
        <x:v>2026-Q2</x:v>
      </x:c>
      <x:c r="B35" s="9" t="n">
        <x:v>2</x:v>
      </x:c>
      <x:c r="C35" s="9" t="n">
        <x:v>0</x:v>
      </x:c>
      <x:c r="D35" s="9" t="n">
        <x:v>0</x:v>
      </x:c>
      <x:c r="E35" s="9" t="n">
        <x:v>2</x:v>
      </x:c>
      <x:c r="F35" s="9" t="n">
        <x:v>0</x:v>
      </x:c>
      <x:c r="G35" s="9" t="n">
        <x:v>4</x:v>
      </x:c>
      <x:c r="H35" s="9" t="n">
        <x:v>2</x:v>
      </x:c>
    </x:row>
    <x:row r="36" ht="38" customHeight="1">
      <x:c r="A36" s="2" t="str">
        <x:v>2026-Q3</x:v>
      </x:c>
      <x:c r="B36" s="9" t="n">
        <x:v>0</x:v>
      </x:c>
      <x:c r="C36" s="9" t="n">
        <x:v>0</x:v>
      </x:c>
      <x:c r="D36" s="9" t="n">
        <x:v>0</x:v>
      </x:c>
      <x:c r="E36" s="9" t="n">
        <x:v>0</x:v>
      </x:c>
      <x:c r="F36" s="9" t="n">
        <x:v>0</x:v>
      </x:c>
      <x:c r="G36" s="9" t="n">
        <x:v>0</x:v>
      </x:c>
      <x:c r="H36" s="9" t="n">
        <x:v>0</x:v>
      </x:c>
    </x:row>
  </x:sheetData>
  <x:pageMargins left="0.7" right="0.7" top="0.75" bottom="0.75" header="0.3" footer="0.3"/>
  <x:tableParts count="1">
    <x:tablePart xmlns:r="http://schemas.openxmlformats.org/officeDocument/2006/relationships" r:id="Rcf8841f7817d4b50"/>
  </x:tableParts>
</x:worksheet>
</file>

<file path=xl/worksheets/sheet8.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s>
  <x:sheetData>
    <x:row r="1" ht="42" customHeight="1">
      <x:c r="A1" s="6" t="str">
        <x:v>年份</x:v>
      </x:c>
      <x:c r="B1" s="6" t="str">
        <x:v>背景指标代码</x:v>
      </x:c>
      <x:c r="C1" s="6" t="str">
        <x:v>记录指标</x:v>
      </x:c>
      <x:c r="D1" s="6" t="str">
        <x:v>省级样本量</x:v>
      </x:c>
      <x:c r="E1" s="6" t="str">
        <x:v>Pearson相关系数</x:v>
      </x:c>
      <x:c r="F1" s="6" t="str">
        <x:v>解释边界</x:v>
      </x:c>
    </x:row>
    <x:row r="2" ht="38" customHeight="1">
      <x:c r="A2" s="9" t="n">
        <x:v>2018</x:v>
      </x:c>
      <x:c r="B2" s="2" t="str">
        <x:v>population_10k</x:v>
      </x:c>
      <x:c r="C2" s="2" t="str">
        <x:v>events</x:v>
      </x:c>
      <x:c r="D2" s="9" t="n">
        <x:v>31</x:v>
      </x:c>
      <x:c r="E2" s="22" t="n">
        <x:v>0.1218688285639237</x:v>
      </x:c>
      <x:c r="F2" s="2" t="str">
        <x:v>描述性地区关联；检索未检出按记录数0计算；不能解释个人动机或实际犯罪率</x:v>
      </x:c>
    </x:row>
    <x:row r="3" ht="38" customHeight="1">
      <x:c r="A3" s="9" t="n">
        <x:v>2018</x:v>
      </x:c>
      <x:c r="B3" s="2" t="str">
        <x:v>population_10k</x:v>
      </x:c>
      <x:c r="C3" s="2" t="str">
        <x:v>records_per_million</x:v>
      </x:c>
      <x:c r="D3" s="9" t="n">
        <x:v>31</x:v>
      </x:c>
      <x:c r="E3" s="22" t="n">
        <x:v>-0.10113627105488156</x:v>
      </x:c>
      <x:c r="F3" s="2" t="str">
        <x:v>描述性地区关联；检索未检出按记录数0计算；不能解释个人动机或实际犯罪率</x:v>
      </x:c>
    </x:row>
    <x:row r="4" ht="38" customHeight="1">
      <x:c r="A4" s="9" t="n">
        <x:v>2018</x:v>
      </x:c>
      <x:c r="B4" s="2" t="str">
        <x:v>urbanization_pct</x:v>
      </x:c>
      <x:c r="C4" s="2" t="str">
        <x:v>events</x:v>
      </x:c>
      <x:c r="D4" s="9" t="n">
        <x:v>31</x:v>
      </x:c>
      <x:c r="E4" s="22" t="n">
        <x:v>0.37023535984686223</x:v>
      </x:c>
      <x:c r="F4" s="2" t="str">
        <x:v>描述性地区关联；检索未检出按记录数0计算；不能解释个人动机或实际犯罪率</x:v>
      </x:c>
    </x:row>
    <x:row r="5" ht="38" customHeight="1">
      <x:c r="A5" s="9" t="n">
        <x:v>2018</x:v>
      </x:c>
      <x:c r="B5" s="2" t="str">
        <x:v>urbanization_pct</x:v>
      </x:c>
      <x:c r="C5" s="2" t="str">
        <x:v>records_per_million</x:v>
      </x:c>
      <x:c r="D5" s="9" t="n">
        <x:v>31</x:v>
      </x:c>
      <x:c r="E5" s="22" t="n">
        <x:v>0.4966439874787439</x:v>
      </x:c>
      <x:c r="F5" s="2" t="str">
        <x:v>描述性地区关联；检索未检出按记录数0计算；不能解释个人动机或实际犯罪率</x:v>
      </x:c>
    </x:row>
    <x:row r="6" ht="38" customHeight="1">
      <x:c r="A6" s="9" t="n">
        <x:v>2018</x:v>
      </x:c>
      <x:c r="B6" s="2" t="str">
        <x:v>income_yuan</x:v>
      </x:c>
      <x:c r="C6" s="2" t="str">
        <x:v>events</x:v>
      </x:c>
      <x:c r="D6" s="9" t="n">
        <x:v>31</x:v>
      </x:c>
      <x:c r="E6" s="22" t="n">
        <x:v>0.3838327040460926</x:v>
      </x:c>
      <x:c r="F6" s="2" t="str">
        <x:v>描述性地区关联；检索未检出按记录数0计算；不能解释个人动机或实际犯罪率</x:v>
      </x:c>
    </x:row>
    <x:row r="7" ht="38" customHeight="1">
      <x:c r="A7" s="9" t="n">
        <x:v>2018</x:v>
      </x:c>
      <x:c r="B7" s="2" t="str">
        <x:v>income_yuan</x:v>
      </x:c>
      <x:c r="C7" s="2" t="str">
        <x:v>records_per_million</x:v>
      </x:c>
      <x:c r="D7" s="9" t="n">
        <x:v>31</x:v>
      </x:c>
      <x:c r="E7" s="22" t="n">
        <x:v>0.5536762228002547</x:v>
      </x:c>
      <x:c r="F7" s="2" t="str">
        <x:v>描述性地区关联；检索未检出按记录数0计算；不能解释个人动机或实际犯罪率</x:v>
      </x:c>
    </x:row>
    <x:row r="8" ht="38" customHeight="1">
      <x:c r="A8" s="9" t="n">
        <x:v>2019</x:v>
      </x:c>
      <x:c r="B8" s="2" t="str">
        <x:v>population_10k</x:v>
      </x:c>
      <x:c r="C8" s="2" t="str">
        <x:v>events</x:v>
      </x:c>
      <x:c r="D8" s="9" t="n">
        <x:v>31</x:v>
      </x:c>
      <x:c r="E8" s="22" t="n">
        <x:v>-0.012476033390603714</x:v>
      </x:c>
      <x:c r="F8" s="2" t="str">
        <x:v>描述性地区关联；检索未检出按记录数0计算；不能解释个人动机或实际犯罪率</x:v>
      </x:c>
    </x:row>
    <x:row r="9" ht="38" customHeight="1">
      <x:c r="A9" s="9" t="n">
        <x:v>2019</x:v>
      </x:c>
      <x:c r="B9" s="2" t="str">
        <x:v>population_10k</x:v>
      </x:c>
      <x:c r="C9" s="2" t="str">
        <x:v>records_per_million</x:v>
      </x:c>
      <x:c r="D9" s="9" t="n">
        <x:v>31</x:v>
      </x:c>
      <x:c r="E9" s="22" t="n">
        <x:v>-0.09550970726645724</x:v>
      </x:c>
      <x:c r="F9" s="2" t="str">
        <x:v>描述性地区关联；检索未检出按记录数0计算；不能解释个人动机或实际犯罪率</x:v>
      </x:c>
    </x:row>
    <x:row r="10" ht="38" customHeight="1">
      <x:c r="A10" s="9" t="n">
        <x:v>2019</x:v>
      </x:c>
      <x:c r="B10" s="2" t="str">
        <x:v>urbanization_pct</x:v>
      </x:c>
      <x:c r="C10" s="2" t="str">
        <x:v>events</x:v>
      </x:c>
      <x:c r="D10" s="9" t="n">
        <x:v>31</x:v>
      </x:c>
      <x:c r="E10" s="22" t="n">
        <x:v>0.08402030422075833</x:v>
      </x:c>
      <x:c r="F10" s="2" t="str">
        <x:v>描述性地区关联；检索未检出按记录数0计算；不能解释个人动机或实际犯罪率</x:v>
      </x:c>
    </x:row>
    <x:row r="11" ht="38" customHeight="1">
      <x:c r="A11" s="9" t="n">
        <x:v>2019</x:v>
      </x:c>
      <x:c r="B11" s="2" t="str">
        <x:v>urbanization_pct</x:v>
      </x:c>
      <x:c r="C11" s="2" t="str">
        <x:v>records_per_million</x:v>
      </x:c>
      <x:c r="D11" s="9" t="n">
        <x:v>31</x:v>
      </x:c>
      <x:c r="E11" s="22" t="n">
        <x:v>0.24310785143183808</x:v>
      </x:c>
      <x:c r="F11" s="2" t="str">
        <x:v>描述性地区关联；检索未检出按记录数0计算；不能解释个人动机或实际犯罪率</x:v>
      </x:c>
    </x:row>
    <x:row r="12" ht="38" customHeight="1">
      <x:c r="A12" s="9" t="n">
        <x:v>2019</x:v>
      </x:c>
      <x:c r="B12" s="2" t="str">
        <x:v>income_yuan</x:v>
      </x:c>
      <x:c r="C12" s="2" t="str">
        <x:v>events</x:v>
      </x:c>
      <x:c r="D12" s="9" t="n">
        <x:v>31</x:v>
      </x:c>
      <x:c r="E12" s="22" t="n">
        <x:v>0.14035397891384135</x:v>
      </x:c>
      <x:c r="F12" s="2" t="str">
        <x:v>描述性地区关联；检索未检出按记录数0计算；不能解释个人动机或实际犯罪率</x:v>
      </x:c>
    </x:row>
    <x:row r="13" ht="38" customHeight="1">
      <x:c r="A13" s="9" t="n">
        <x:v>2019</x:v>
      </x:c>
      <x:c r="B13" s="2" t="str">
        <x:v>income_yuan</x:v>
      </x:c>
      <x:c r="C13" s="2" t="str">
        <x:v>records_per_million</x:v>
      </x:c>
      <x:c r="D13" s="9" t="n">
        <x:v>31</x:v>
      </x:c>
      <x:c r="E13" s="22" t="n">
        <x:v>0.32238354134795105</x:v>
      </x:c>
      <x:c r="F13" s="2" t="str">
        <x:v>描述性地区关联；检索未检出按记录数0计算；不能解释个人动机或实际犯罪率</x:v>
      </x:c>
    </x:row>
    <x:row r="14" ht="38" customHeight="1">
      <x:c r="A14" s="9" t="n">
        <x:v>2020</x:v>
      </x:c>
      <x:c r="B14" s="2" t="str">
        <x:v>population_10k</x:v>
      </x:c>
      <x:c r="C14" s="2" t="str">
        <x:v>events</x:v>
      </x:c>
      <x:c r="D14" s="9" t="n">
        <x:v>31</x:v>
      </x:c>
      <x:c r="E14" s="22" t="n">
        <x:v>0.00736949246170121</x:v>
      </x:c>
      <x:c r="F14" s="2" t="str">
        <x:v>描述性地区关联；检索未检出按记录数0计算；不能解释个人动机或实际犯罪率</x:v>
      </x:c>
    </x:row>
    <x:row r="15" ht="38" customHeight="1">
      <x:c r="A15" s="9" t="n">
        <x:v>2020</x:v>
      </x:c>
      <x:c r="B15" s="2" t="str">
        <x:v>population_10k</x:v>
      </x:c>
      <x:c r="C15" s="2" t="str">
        <x:v>records_per_million</x:v>
      </x:c>
      <x:c r="D15" s="9" t="n">
        <x:v>31</x:v>
      </x:c>
      <x:c r="E15" s="22" t="n">
        <x:v>-0.14647444025448125</x:v>
      </x:c>
      <x:c r="F15" s="2" t="str">
        <x:v>描述性地区关联；检索未检出按记录数0计算；不能解释个人动机或实际犯罪率</x:v>
      </x:c>
    </x:row>
    <x:row r="16" ht="38" customHeight="1">
      <x:c r="A16" s="9" t="n">
        <x:v>2020</x:v>
      </x:c>
      <x:c r="B16" s="2" t="str">
        <x:v>urbanization_pct</x:v>
      </x:c>
      <x:c r="C16" s="2" t="str">
        <x:v>events</x:v>
      </x:c>
      <x:c r="D16" s="9" t="n">
        <x:v>31</x:v>
      </x:c>
      <x:c r="E16" s="22" t="n">
        <x:v>0.0685326470061272</x:v>
      </x:c>
      <x:c r="F16" s="2" t="str">
        <x:v>描述性地区关联；检索未检出按记录数0计算；不能解释个人动机或实际犯罪率</x:v>
      </x:c>
    </x:row>
    <x:row r="17" ht="38" customHeight="1">
      <x:c r="A17" s="9" t="n">
        <x:v>2020</x:v>
      </x:c>
      <x:c r="B17" s="2" t="str">
        <x:v>urbanization_pct</x:v>
      </x:c>
      <x:c r="C17" s="2" t="str">
        <x:v>records_per_million</x:v>
      </x:c>
      <x:c r="D17" s="9" t="n">
        <x:v>31</x:v>
      </x:c>
      <x:c r="E17" s="22" t="n">
        <x:v>0.263725443397648</x:v>
      </x:c>
      <x:c r="F17" s="2" t="str">
        <x:v>描述性地区关联；检索未检出按记录数0计算；不能解释个人动机或实际犯罪率</x:v>
      </x:c>
    </x:row>
    <x:row r="18" ht="38" customHeight="1">
      <x:c r="A18" s="9" t="n">
        <x:v>2020</x:v>
      </x:c>
      <x:c r="B18" s="2" t="str">
        <x:v>income_yuan</x:v>
      </x:c>
      <x:c r="C18" s="2" t="str">
        <x:v>events</x:v>
      </x:c>
      <x:c r="D18" s="9" t="n">
        <x:v>31</x:v>
      </x:c>
      <x:c r="E18" s="22" t="n">
        <x:v>-0.07466154902718544</x:v>
      </x:c>
      <x:c r="F18" s="2" t="str">
        <x:v>描述性地区关联；检索未检出按记录数0计算；不能解释个人动机或实际犯罪率</x:v>
      </x:c>
    </x:row>
    <x:row r="19" ht="38" customHeight="1">
      <x:c r="A19" s="9" t="n">
        <x:v>2020</x:v>
      </x:c>
      <x:c r="B19" s="2" t="str">
        <x:v>income_yuan</x:v>
      </x:c>
      <x:c r="C19" s="2" t="str">
        <x:v>records_per_million</x:v>
      </x:c>
      <x:c r="D19" s="9" t="n">
        <x:v>31</x:v>
      </x:c>
      <x:c r="E19" s="22" t="n">
        <x:v>0.06123633796780335</x:v>
      </x:c>
      <x:c r="F19" s="2" t="str">
        <x:v>描述性地区关联；检索未检出按记录数0计算；不能解释个人动机或实际犯罪率</x:v>
      </x:c>
    </x:row>
    <x:row r="20" ht="38" customHeight="1">
      <x:c r="A20" s="9" t="n">
        <x:v>2021</x:v>
      </x:c>
      <x:c r="B20" s="2" t="str">
        <x:v>population_10k</x:v>
      </x:c>
      <x:c r="C20" s="2" t="str">
        <x:v>events</x:v>
      </x:c>
      <x:c r="D20" s="9" t="n">
        <x:v>31</x:v>
      </x:c>
      <x:c r="E20" s="22" t="n">
        <x:v>0.18939576518510626</x:v>
      </x:c>
      <x:c r="F20" s="2" t="str">
        <x:v>描述性地区关联；检索未检出按记录数0计算；不能解释个人动机或实际犯罪率</x:v>
      </x:c>
    </x:row>
    <x:row r="21" ht="38" customHeight="1">
      <x:c r="A21" s="9" t="n">
        <x:v>2021</x:v>
      </x:c>
      <x:c r="B21" s="2" t="str">
        <x:v>population_10k</x:v>
      </x:c>
      <x:c r="C21" s="2" t="str">
        <x:v>records_per_million</x:v>
      </x:c>
      <x:c r="D21" s="9" t="n">
        <x:v>31</x:v>
      </x:c>
      <x:c r="E21" s="22" t="n">
        <x:v>0.023691465789880635</x:v>
      </x:c>
      <x:c r="F21" s="2" t="str">
        <x:v>描述性地区关联；检索未检出按记录数0计算；不能解释个人动机或实际犯罪率</x:v>
      </x:c>
    </x:row>
    <x:row r="22" ht="38" customHeight="1">
      <x:c r="A22" s="9" t="n">
        <x:v>2021</x:v>
      </x:c>
      <x:c r="B22" s="2" t="str">
        <x:v>urbanization_pct</x:v>
      </x:c>
      <x:c r="C22" s="2" t="str">
        <x:v>events</x:v>
      </x:c>
      <x:c r="D22" s="9" t="n">
        <x:v>31</x:v>
      </x:c>
      <x:c r="E22" s="22" t="n">
        <x:v>0.23168582433252735</x:v>
      </x:c>
      <x:c r="F22" s="2" t="str">
        <x:v>描述性地区关联；检索未检出按记录数0计算；不能解释个人动机或实际犯罪率</x:v>
      </x:c>
    </x:row>
    <x:row r="23" ht="38" customHeight="1">
      <x:c r="A23" s="9" t="n">
        <x:v>2021</x:v>
      </x:c>
      <x:c r="B23" s="2" t="str">
        <x:v>urbanization_pct</x:v>
      </x:c>
      <x:c r="C23" s="2" t="str">
        <x:v>records_per_million</x:v>
      </x:c>
      <x:c r="D23" s="9" t="n">
        <x:v>31</x:v>
      </x:c>
      <x:c r="E23" s="22" t="n">
        <x:v>0.39593473424205783</x:v>
      </x:c>
      <x:c r="F23" s="2" t="str">
        <x:v>描述性地区关联；检索未检出按记录数0计算；不能解释个人动机或实际犯罪率</x:v>
      </x:c>
    </x:row>
    <x:row r="24" ht="38" customHeight="1">
      <x:c r="A24" s="9" t="n">
        <x:v>2021</x:v>
      </x:c>
      <x:c r="B24" s="2" t="str">
        <x:v>income_yuan</x:v>
      </x:c>
      <x:c r="C24" s="2" t="str">
        <x:v>events</x:v>
      </x:c>
      <x:c r="D24" s="9" t="n">
        <x:v>31</x:v>
      </x:c>
      <x:c r="E24" s="22" t="n">
        <x:v>0.34953085116913873</x:v>
      </x:c>
      <x:c r="F24" s="2" t="str">
        <x:v>描述性地区关联；检索未检出按记录数0计算；不能解释个人动机或实际犯罪率</x:v>
      </x:c>
    </x:row>
    <x:row r="25" ht="38" customHeight="1">
      <x:c r="A25" s="9" t="n">
        <x:v>2021</x:v>
      </x:c>
      <x:c r="B25" s="2" t="str">
        <x:v>income_yuan</x:v>
      </x:c>
      <x:c r="C25" s="2" t="str">
        <x:v>records_per_million</x:v>
      </x:c>
      <x:c r="D25" s="9" t="n">
        <x:v>31</x:v>
      </x:c>
      <x:c r="E25" s="22" t="n">
        <x:v>0.5246190969882785</x:v>
      </x:c>
      <x:c r="F25" s="2" t="str">
        <x:v>描述性地区关联；检索未检出按记录数0计算；不能解释个人动机或实际犯罪率</x:v>
      </x:c>
    </x:row>
    <x:row r="26" ht="38" customHeight="1">
      <x:c r="A26" s="9" t="n">
        <x:v>2022</x:v>
      </x:c>
      <x:c r="B26" s="2" t="str">
        <x:v>population_10k</x:v>
      </x:c>
      <x:c r="C26" s="2" t="str">
        <x:v>events</x:v>
      </x:c>
      <x:c r="D26" s="9" t="n">
        <x:v>31</x:v>
      </x:c>
      <x:c r="E26" s="22" t="n">
        <x:v>-0.12386905658004177</x:v>
      </x:c>
      <x:c r="F26" s="2" t="str">
        <x:v>描述性地区关联；检索未检出按记录数0计算；不能解释个人动机或实际犯罪率</x:v>
      </x:c>
    </x:row>
    <x:row r="27" ht="38" customHeight="1">
      <x:c r="A27" s="9" t="n">
        <x:v>2022</x:v>
      </x:c>
      <x:c r="B27" s="2" t="str">
        <x:v>population_10k</x:v>
      </x:c>
      <x:c r="C27" s="2" t="str">
        <x:v>records_per_million</x:v>
      </x:c>
      <x:c r="D27" s="9" t="n">
        <x:v>31</x:v>
      </x:c>
      <x:c r="E27" s="22" t="n">
        <x:v>-0.12791617089730634</x:v>
      </x:c>
      <x:c r="F27" s="2" t="str">
        <x:v>描述性地区关联；检索未检出按记录数0计算；不能解释个人动机或实际犯罪率</x:v>
      </x:c>
    </x:row>
    <x:row r="28" ht="38" customHeight="1">
      <x:c r="A28" s="9" t="n">
        <x:v>2022</x:v>
      </x:c>
      <x:c r="B28" s="2" t="str">
        <x:v>urbanization_pct</x:v>
      </x:c>
      <x:c r="C28" s="2" t="str">
        <x:v>events</x:v>
      </x:c>
      <x:c r="D28" s="9" t="n">
        <x:v>31</x:v>
      </x:c>
      <x:c r="E28" s="22" t="n">
        <x:v>0.42491559014016334</x:v>
      </x:c>
      <x:c r="F28" s="2" t="str">
        <x:v>描述性地区关联；检索未检出按记录数0计算；不能解释个人动机或实际犯罪率</x:v>
      </x:c>
    </x:row>
    <x:row r="29" ht="38" customHeight="1">
      <x:c r="A29" s="9" t="n">
        <x:v>2022</x:v>
      </x:c>
      <x:c r="B29" s="2" t="str">
        <x:v>urbanization_pct</x:v>
      </x:c>
      <x:c r="C29" s="2" t="str">
        <x:v>records_per_million</x:v>
      </x:c>
      <x:c r="D29" s="9" t="n">
        <x:v>31</x:v>
      </x:c>
      <x:c r="E29" s="22" t="n">
        <x:v>0.43596835208303436</x:v>
      </x:c>
      <x:c r="F29" s="2" t="str">
        <x:v>描述性地区关联；检索未检出按记录数0计算；不能解释个人动机或实际犯罪率</x:v>
      </x:c>
    </x:row>
    <x:row r="30" ht="38" customHeight="1">
      <x:c r="A30" s="9" t="n">
        <x:v>2022</x:v>
      </x:c>
      <x:c r="B30" s="2" t="str">
        <x:v>income_yuan</x:v>
      </x:c>
      <x:c r="C30" s="2" t="str">
        <x:v>events</x:v>
      </x:c>
      <x:c r="D30" s="9" t="n">
        <x:v>31</x:v>
      </x:c>
      <x:c r="E30" s="22" t="n">
        <x:v>0.5591433949119586</x:v>
      </x:c>
      <x:c r="F30" s="2" t="str">
        <x:v>描述性地区关联；检索未检出按记录数0计算；不能解释个人动机或实际犯罪率</x:v>
      </x:c>
    </x:row>
    <x:row r="31" ht="38" customHeight="1">
      <x:c r="A31" s="9" t="n">
        <x:v>2022</x:v>
      </x:c>
      <x:c r="B31" s="2" t="str">
        <x:v>income_yuan</x:v>
      </x:c>
      <x:c r="C31" s="2" t="str">
        <x:v>records_per_million</x:v>
      </x:c>
      <x:c r="D31" s="9" t="n">
        <x:v>31</x:v>
      </x:c>
      <x:c r="E31" s="22" t="n">
        <x:v>0.5796684888826756</x:v>
      </x:c>
      <x:c r="F31" s="2" t="str">
        <x:v>描述性地区关联；检索未检出按记录数0计算；不能解释个人动机或实际犯罪率</x:v>
      </x:c>
    </x:row>
    <x:row r="32" ht="38" customHeight="1">
      <x:c r="A32" s="9" t="n">
        <x:v>2023</x:v>
      </x:c>
      <x:c r="B32" s="2" t="str">
        <x:v>population_10k</x:v>
      </x:c>
      <x:c r="C32" s="2" t="str">
        <x:v>events</x:v>
      </x:c>
      <x:c r="D32" s="9" t="n">
        <x:v>31</x:v>
      </x:c>
      <x:c r="E32" s="22" t="n">
        <x:v>0.10502189854909003</x:v>
      </x:c>
      <x:c r="F32" s="2" t="str">
        <x:v>描述性地区关联；检索未检出按记录数0计算；不能解释个人动机或实际犯罪率</x:v>
      </x:c>
    </x:row>
    <x:row r="33" ht="38" customHeight="1">
      <x:c r="A33" s="9" t="n">
        <x:v>2023</x:v>
      </x:c>
      <x:c r="B33" s="2" t="str">
        <x:v>population_10k</x:v>
      </x:c>
      <x:c r="C33" s="2" t="str">
        <x:v>records_per_million</x:v>
      </x:c>
      <x:c r="D33" s="9" t="n">
        <x:v>31</x:v>
      </x:c>
      <x:c r="E33" s="22" t="n">
        <x:v>-0.09519282566004428</x:v>
      </x:c>
      <x:c r="F33" s="2" t="str">
        <x:v>描述性地区关联；检索未检出按记录数0计算；不能解释个人动机或实际犯罪率</x:v>
      </x:c>
    </x:row>
    <x:row r="34" ht="38" customHeight="1">
      <x:c r="A34" s="9" t="n">
        <x:v>2023</x:v>
      </x:c>
      <x:c r="B34" s="2" t="str">
        <x:v>urbanization_pct</x:v>
      </x:c>
      <x:c r="C34" s="2" t="str">
        <x:v>events</x:v>
      </x:c>
      <x:c r="D34" s="9" t="n">
        <x:v>31</x:v>
      </x:c>
      <x:c r="E34" s="22" t="n">
        <x:v>0.059751683950784056</x:v>
      </x:c>
      <x:c r="F34" s="2" t="str">
        <x:v>描述性地区关联；检索未检出按记录数0计算；不能解释个人动机或实际犯罪率</x:v>
      </x:c>
    </x:row>
    <x:row r="35" ht="38" customHeight="1">
      <x:c r="A35" s="9" t="n">
        <x:v>2023</x:v>
      </x:c>
      <x:c r="B35" s="2" t="str">
        <x:v>urbanization_pct</x:v>
      </x:c>
      <x:c r="C35" s="2" t="str">
        <x:v>records_per_million</x:v>
      </x:c>
      <x:c r="D35" s="9" t="n">
        <x:v>31</x:v>
      </x:c>
      <x:c r="E35" s="22" t="n">
        <x:v>0.012951538411450057</x:v>
      </x:c>
      <x:c r="F35" s="2" t="str">
        <x:v>描述性地区关联；检索未检出按记录数0计算；不能解释个人动机或实际犯罪率</x:v>
      </x:c>
    </x:row>
    <x:row r="36" ht="38" customHeight="1">
      <x:c r="A36" s="9" t="n">
        <x:v>2023</x:v>
      </x:c>
      <x:c r="B36" s="2" t="str">
        <x:v>income_yuan</x:v>
      </x:c>
      <x:c r="C36" s="2" t="str">
        <x:v>events</x:v>
      </x:c>
      <x:c r="D36" s="9" t="n">
        <x:v>31</x:v>
      </x:c>
      <x:c r="E36" s="22" t="n">
        <x:v>-0.06214770309936085</x:v>
      </x:c>
      <x:c r="F36" s="2" t="str">
        <x:v>描述性地区关联；检索未检出按记录数0计算；不能解释个人动机或实际犯罪率</x:v>
      </x:c>
    </x:row>
    <x:row r="37" ht="38" customHeight="1">
      <x:c r="A37" s="9" t="n">
        <x:v>2023</x:v>
      </x:c>
      <x:c r="B37" s="2" t="str">
        <x:v>income_yuan</x:v>
      </x:c>
      <x:c r="C37" s="2" t="str">
        <x:v>records_per_million</x:v>
      </x:c>
      <x:c r="D37" s="9" t="n">
        <x:v>31</x:v>
      </x:c>
      <x:c r="E37" s="22" t="n">
        <x:v>-0.10565974302205544</x:v>
      </x:c>
      <x:c r="F37" s="2" t="str">
        <x:v>描述性地区关联；检索未检出按记录数0计算；不能解释个人动机或实际犯罪率</x:v>
      </x:c>
    </x:row>
    <x:row r="38" ht="38" customHeight="1">
      <x:c r="A38" s="9" t="n">
        <x:v>2024</x:v>
      </x:c>
      <x:c r="B38" s="2" t="str">
        <x:v>population_10k</x:v>
      </x:c>
      <x:c r="C38" s="2" t="str">
        <x:v>events</x:v>
      </x:c>
      <x:c r="D38" s="9" t="n">
        <x:v>31</x:v>
      </x:c>
      <x:c r="E38" s="22" t="n">
        <x:v>0.5290366664674416</x:v>
      </x:c>
      <x:c r="F38" s="2" t="str">
        <x:v>描述性地区关联；检索未检出按记录数0计算；不能解释个人动机或实际犯罪率</x:v>
      </x:c>
    </x:row>
    <x:row r="39" ht="38" customHeight="1">
      <x:c r="A39" s="9" t="n">
        <x:v>2024</x:v>
      </x:c>
      <x:c r="B39" s="2" t="str">
        <x:v>population_10k</x:v>
      </x:c>
      <x:c r="C39" s="2" t="str">
        <x:v>records_per_million</x:v>
      </x:c>
      <x:c r="D39" s="9" t="n">
        <x:v>31</x:v>
      </x:c>
      <x:c r="E39" s="22" t="n">
        <x:v>0.15089860308094089</x:v>
      </x:c>
      <x:c r="F39" s="2" t="str">
        <x:v>描述性地区关联；检索未检出按记录数0计算；不能解释个人动机或实际犯罪率</x:v>
      </x:c>
    </x:row>
    <x:row r="40" ht="38" customHeight="1">
      <x:c r="A40" s="9" t="n">
        <x:v>2024</x:v>
      </x:c>
      <x:c r="B40" s="2" t="str">
        <x:v>urbanization_pct</x:v>
      </x:c>
      <x:c r="C40" s="2" t="str">
        <x:v>events</x:v>
      </x:c>
      <x:c r="D40" s="9" t="n">
        <x:v>31</x:v>
      </x:c>
      <x:c r="E40" s="22" t="n">
        <x:v>0.34822788295359686</x:v>
      </x:c>
      <x:c r="F40" s="2" t="str">
        <x:v>描述性地区关联；检索未检出按记录数0计算；不能解释个人动机或实际犯罪率</x:v>
      </x:c>
    </x:row>
    <x:row r="41" ht="38" customHeight="1">
      <x:c r="A41" s="9" t="n">
        <x:v>2024</x:v>
      </x:c>
      <x:c r="B41" s="2" t="str">
        <x:v>urbanization_pct</x:v>
      </x:c>
      <x:c r="C41" s="2" t="str">
        <x:v>records_per_million</x:v>
      </x:c>
      <x:c r="D41" s="9" t="n">
        <x:v>31</x:v>
      </x:c>
      <x:c r="E41" s="22" t="n">
        <x:v>0.5548612298847567</x:v>
      </x:c>
      <x:c r="F41" s="2" t="str">
        <x:v>描述性地区关联；检索未检出按记录数0计算；不能解释个人动机或实际犯罪率</x:v>
      </x:c>
    </x:row>
    <x:row r="42" ht="38" customHeight="1">
      <x:c r="A42" s="9" t="n">
        <x:v>2024</x:v>
      </x:c>
      <x:c r="B42" s="2" t="str">
        <x:v>income_yuan</x:v>
      </x:c>
      <x:c r="C42" s="2" t="str">
        <x:v>events</x:v>
      </x:c>
      <x:c r="D42" s="9" t="n">
        <x:v>31</x:v>
      </x:c>
      <x:c r="E42" s="22" t="n">
        <x:v>0.43367290596940344</x:v>
      </x:c>
      <x:c r="F42" s="2" t="str">
        <x:v>描述性地区关联；检索未检出按记录数0计算；不能解释个人动机或实际犯罪率</x:v>
      </x:c>
    </x:row>
    <x:row r="43" ht="38" customHeight="1">
      <x:c r="A43" s="9" t="n">
        <x:v>2024</x:v>
      </x:c>
      <x:c r="B43" s="2" t="str">
        <x:v>income_yuan</x:v>
      </x:c>
      <x:c r="C43" s="2" t="str">
        <x:v>records_per_million</x:v>
      </x:c>
      <x:c r="D43" s="9" t="n">
        <x:v>31</x:v>
      </x:c>
      <x:c r="E43" s="22" t="n">
        <x:v>0.7622606031599504</x:v>
      </x:c>
      <x:c r="F43" s="2" t="str">
        <x:v>描述性地区关联；检索未检出按记录数0计算；不能解释个人动机或实际犯罪率</x:v>
      </x:c>
    </x:row>
  </x:sheetData>
  <x:pageMargins left="0.7" right="0.7" top="0.75" bottom="0.75" header="0.3" footer="0.3"/>
  <x:tableParts count="1">
    <x:tablePart xmlns:r="http://schemas.openxmlformats.org/officeDocument/2006/relationships" r:id="Re686074d756e4038"/>
  </x:tableParts>
</x:worksheet>
</file>

<file path=xl/worksheets/sheet9.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55" hidden="0" customWidth="1"/>
    <x:col min="6" max="6" width="19" hidden="0" customWidth="1"/>
    <x:col min="7" max="7" width="19" hidden="0" customWidth="1"/>
    <x:col min="8" max="8" width="19" hidden="0" customWidth="1"/>
    <x:col min="9" max="9" width="55" hidden="0" customWidth="1"/>
    <x:col min="10" max="10" width="19" hidden="0" customWidth="1"/>
    <x:col min="11" max="11" width="19" hidden="0" customWidth="1"/>
    <x:col min="12" max="12" width="19" hidden="0" customWidth="1"/>
    <x:col min="13" max="13" width="19" hidden="0" customWidth="1"/>
    <x:col min="14" max="14" width="55" hidden="0" customWidth="1"/>
    <x:col min="15" max="15" width="55" hidden="0" customWidth="1"/>
    <x:col min="16" max="16" width="55" hidden="0" customWidth="1"/>
    <x:col min="17" max="17" width="30" hidden="0" customWidth="1"/>
    <x:col min="18" max="18" width="30" hidden="0" customWidth="1"/>
  </x:cols>
  <x:sheetData>
    <x:row r="1" ht="42" customHeight="1">
      <x:c r="A1" s="6" t="str">
        <x:v>事件编号</x:v>
      </x:c>
      <x:c r="B1" s="6" t="str">
        <x:v>案发日期</x:v>
      </x:c>
      <x:c r="C1" s="6" t="str">
        <x:v>日期精度</x:v>
      </x:c>
      <x:c r="D1" s="6" t="str">
        <x:v>线索发布日</x:v>
      </x:c>
      <x:c r="E1" s="6" t="str">
        <x:v>事件名称</x:v>
      </x:c>
      <x:c r="F1" s="6" t="str">
        <x:v>省级地区</x:v>
      </x:c>
      <x:c r="G1" s="6" t="str">
        <x:v>城市</x:v>
      </x:c>
      <x:c r="H1" s="6" t="str">
        <x:v>分类代码</x:v>
      </x:c>
      <x:c r="I1" s="6" t="str">
        <x:v>分类依据</x:v>
      </x:c>
      <x:c r="J1" s="6" t="str">
        <x:v>受害者死亡</x:v>
      </x:c>
      <x:c r="K1" s="6" t="str">
        <x:v>死亡保守下限</x:v>
      </x:c>
      <x:c r="L1" s="6" t="str">
        <x:v>受害者受伤</x:v>
      </x:c>
      <x:c r="M1" s="6" t="str">
        <x:v>受伤保守下限</x:v>
      </x:c>
      <x:c r="N1" s="6" t="str">
        <x:v>伤亡修订说明</x:v>
      </x:c>
      <x:c r="O1" s="6" t="str">
        <x:v>案发日期核验说明</x:v>
      </x:c>
      <x:c r="P1" s="6" t="str">
        <x:v>尚缺的核验要素</x:v>
      </x:c>
      <x:c r="Q1" s="6" t="str">
        <x:v>来源编号</x:v>
      </x:c>
      <x:c r="R1" s="6" t="str">
        <x:v>社交平台原帖链接</x:v>
      </x:c>
    </x:row>
    <x:row r="2" ht="38" customHeight="1">
      <x:c r="A2" s="2" t="str">
        <x:v>LX26A05</x:v>
      </x:c>
      <x:c r="B2" s="2"/>
      <x:c r="C2" s="2" t="str">
        <x:v>unknown</x:v>
      </x:c>
      <x:c r="D2" s="10" t="n">
        <x:v>46065</x:v>
      </x:c>
      <x:c r="E2" s="7" t="str">
        <x:v>网传郴州德润龙庭开发商车辆冲撞业主事件</x:v>
      </x:c>
      <x:c r="F2" s="2" t="str">
        <x:v>湖南</x:v>
      </x:c>
      <x:c r="G2" s="2" t="str">
        <x:v>郴州</x:v>
      </x:c>
      <x:c r="H2" s="2" t="str">
        <x:v>pending</x:v>
      </x:c>
      <x:c r="I2" s="7" t="str">
        <x:v>举报指向开发商与维权业主一家，尚无无关公众目标证据；事件细节、故意性、处罚决定未取得独立核实。</x:v>
      </x:c>
      <x:c r="J2" s="9"/>
      <x:c r="K2" s="9"/>
      <x:c r="L2" s="9"/>
      <x:c r="M2" s="9"/>
      <x:c r="N2" s="7"/>
      <x:c r="O2" s="7" t="str">
        <x:v>原帖为举报投稿，未写案发日；汇总把发帖日写成2月12日，不据此定年或月。</x:v>
      </x:c>
      <x:c r="P2" s="7" t="str">
        <x:v>举报指向开发商与维权业主一家，尚无无关公众目标证据；事件细节、故意性、处罚决定未取得独立核实。</x:v>
      </x:c>
      <x:c r="Q2" s="7" t="str">
        <x:v>LXS26A09；LXS26A10；LXS26A01</x:v>
      </x:c>
      <x:c r="R2" s="7" t="str">
        <x:v>https://x.com/whyyoutouzhele/status/2021957529614659891；https://x.com/whyyoutouzhele/status/2023245955009818757；https://x.com/whyyoutouzhele/status/2039625155404509246</x:v>
      </x:c>
    </x:row>
    <x:row r="3" ht="38" customHeight="1">
      <x:c r="A3" s="2" t="str">
        <x:v>LX26A06</x:v>
      </x:c>
      <x:c r="B3" s="2"/>
      <x:c r="C3" s="2" t="str">
        <x:v>unknown</x:v>
      </x:c>
      <x:c r="D3" s="10" t="n">
        <x:v>46074</x:v>
      </x:c>
      <x:c r="E3" s="7" t="str">
        <x:v>网传开封街头一男子遭持刀袭击</x:v>
      </x:c>
      <x:c r="F3" s="2" t="str">
        <x:v>河南</x:v>
      </x:c>
      <x:c r="G3" s="2" t="str">
        <x:v>开封</x:v>
      </x:c>
      <x:c r="H3" s="2" t="str">
        <x:v>pending</x:v>
      </x:c>
      <x:c r="I3" s="7" t="str">
        <x:v>原帖仅有近日的网络影像描述；日期、被害关系、死伤及故意袭击背景均未核实。</x:v>
      </x:c>
      <x:c r="J3" s="9"/>
      <x:c r="K3" s="9"/>
      <x:c r="L3" s="9"/>
      <x:c r="M3" s="9"/>
      <x:c r="N3" s="7" t="str">
        <x:v>投稿称1死与精神病，均不录为确认字段。</x:v>
      </x:c>
      <x:c r="O3" s="7" t="str">
        <x:v>原帖只写近日，汇总2月21日是发帖日而非已核案发日。</x:v>
      </x:c>
      <x:c r="P3" s="7" t="str">
        <x:v>原帖仅有近日的网络影像描述；日期、被害关系、死伤及故意袭击背景均未核实。</x:v>
      </x:c>
      <x:c r="Q3" s="7" t="str">
        <x:v>LXS26A11；LXS26A01</x:v>
      </x:c>
      <x:c r="R3" s="7" t="str">
        <x:v>https://x.com/whyyoutouzhele/status/2025057897718124649；https://x.com/whyyoutouzhele/status/2039625155404509246</x:v>
      </x:c>
    </x:row>
    <x:row r="4" ht="38" customHeight="1">
      <x:c r="A4" s="2" t="str">
        <x:v>LX26A17</x:v>
      </x:c>
      <x:c r="B4" s="2" t="str">
        <x:v>2026-01-07</x:v>
      </x:c>
      <x:c r="C4" s="2" t="str">
        <x:v>day</x:v>
      </x:c>
      <x:c r="D4" s="10"/>
      <x:c r="E4" s="7" t="str">
        <x:v>中山教培中心教师遭定向持刀报复案</x:v>
      </x:c>
      <x:c r="F4" s="2" t="str">
        <x:v>广东</x:v>
      </x:c>
      <x:c r="G4" s="2" t="str">
        <x:v>中山</x:v>
      </x:c>
      <x:c r="H4" s="2" t="str">
        <x:v>excluded</x:v>
      </x:c>
      <x:c r="I4" s="7" t="str">
        <x:v>官方称行凶者将特定教师叫出教室报复；未见攻击其他学生或无关制止者。</x:v>
      </x:c>
      <x:c r="J4" s="9"/>
      <x:c r="K4" s="9"/>
      <x:c r="L4" s="9"/>
      <x:c r="M4" s="9" t="n">
        <x:v>1</x:v>
      </x:c>
      <x:c r="N4" s="7" t="str">
        <x:v>官方事迹确认一名教师受伤；不是完整伤亡统计。</x:v>
      </x:c>
      <x:c r="O4" s="7"/>
      <x:c r="P4" s="7"/>
      <x:c r="Q4" s="7" t="str">
        <x:v>LXS26A22</x:v>
      </x:c>
      <x:c r="R4" s="7" t="str"/>
    </x:row>
    <x:row r="5" ht="38" customHeight="1">
      <x:c r="A5" s="2" t="str">
        <x:v>LX26A15</x:v>
      </x:c>
      <x:c r="B5" s="2" t="str">
        <x:v>2026-01-10</x:v>
      </x:c>
      <x:c r="C5" s="2" t="str">
        <x:v>day</x:v>
      </x:c>
      <x:c r="D5" s="10"/>
      <x:c r="E5" s="7" t="str">
        <x:v>南昌万象城女子遭刀划伤及制止过程</x:v>
      </x:c>
      <x:c r="F5" s="2" t="str">
        <x:v>江西</x:v>
      </x:c>
      <x:c r="G5" s="2" t="str">
        <x:v>南昌</x:v>
      </x:c>
      <x:c r="H5" s="2" t="str">
        <x:v>pending</x:v>
      </x:c>
      <x:c r="I5" s="7" t="str">
        <x:v>警方确认一名女子受伤，官方事迹确认店员遇袭及群众制止。媒体标题称安保遭推搡险坠扶梯，但正文没有独立调查该过程，初始双方关系也未明；事件发生已核实，公众目标或扩大攻击仍待核。</x:v>
      </x:c>
      <x:c r="J5" s="9"/>
      <x:c r="K5" s="9"/>
      <x:c r="L5" s="9" t="n">
        <x:v>1</x:v>
      </x:c>
      <x:c r="M5" s="9"/>
      <x:c r="N5" s="7" t="str">
        <x:v>警方仅确认女子表皮伤；不推定保安受伤。</x:v>
      </x:c>
      <x:c r="O5" s="7"/>
      <x:c r="P5" s="7" t="str">
        <x:v>警方确认一名女子受伤，官方事迹确认店员遇袭及群众制止。媒体标题称安保遭推搡险坠扶梯，但正文没有独立调查该过程，初始双方关系也未明；事件发生已核实，公众目标或扩大攻击仍待核。</x:v>
      </x:c>
      <x:c r="Q5" s="7" t="str">
        <x:v>LXS26A22；LXS26A23；LXS26A24</x:v>
      </x:c>
      <x:c r="R5" s="7" t="str"/>
    </x:row>
    <x:row r="6" ht="38" customHeight="1">
      <x:c r="A6" s="2" t="str">
        <x:v>LX26A16</x:v>
      </x:c>
      <x:c r="B6" s="2" t="str">
        <x:v>2026-01-11</x:v>
      </x:c>
      <x:c r="C6" s="2" t="str">
        <x:v>day</x:v>
      </x:c>
      <x:c r="D6" s="10"/>
      <x:c r="E6" s="7" t="str">
        <x:v>沈阳南顺城路女孩与救助者遭持刀袭击</x:v>
      </x:c>
      <x:c r="F6" s="2" t="str">
        <x:v>辽宁</x:v>
      </x:c>
      <x:c r="G6" s="2" t="str">
        <x:v>沈阳</x:v>
      </x:c>
      <x:c r="H6" s="2" t="str">
        <x:v>expanded</x:v>
      </x:c>
      <x:c r="I6" s="7" t="str">
        <x:v>官方明确先伤女孩，再向上前制止的路人挥刀致伤；原被害关系未知，无关救助者受袭已确认。</x:v>
      </x:c>
      <x:c r="J6" s="9"/>
      <x:c r="K6" s="9"/>
      <x:c r="L6" s="9"/>
      <x:c r="M6" s="9" t="n">
        <x:v>2</x:v>
      </x:c>
      <x:c r="N6" s="7"/>
      <x:c r="O6" s="7"/>
      <x:c r="P6" s="7"/>
      <x:c r="Q6" s="7" t="str">
        <x:v>LXS26A22</x:v>
      </x:c>
      <x:c r="R6" s="7" t="str"/>
    </x:row>
    <x:row r="7" ht="38" customHeight="1">
      <x:c r="A7" s="2" t="str">
        <x:v>LX26A12</x:v>
      </x:c>
      <x:c r="B7" s="2" t="str">
        <x:v>2026-01-15</x:v>
      </x:c>
      <x:c r="C7" s="2" t="str">
        <x:v>day</x:v>
      </x:c>
      <x:c r="D7" s="10"/>
      <x:c r="E7" s="7" t="str">
        <x:v>昆明五华区路人遭持刀袭击并索财案</x:v>
      </x:c>
      <x:c r="F7" s="2" t="str">
        <x:v>云南</x:v>
      </x:c>
      <x:c r="G7" s="2" t="str">
        <x:v>昆明</x:v>
      </x:c>
      <x:c r="H7" s="2" t="str">
        <x:v>core</x:v>
      </x:c>
      <x:c r="I7" s="7" t="str">
        <x:v>官方明确无故持刀伤害路人，倒地后继续勒颈索财，支持针对无关公众的主动袭击。</x:v>
      </x:c>
      <x:c r="J7" s="9"/>
      <x:c r="K7" s="9"/>
      <x:c r="L7" s="9"/>
      <x:c r="M7" s="9" t="n">
        <x:v>1</x:v>
      </x:c>
      <x:c r="N7" s="7" t="str">
        <x:v>事迹确认至少1名伤者，未披露全案伤亡总数。</x:v>
      </x:c>
      <x:c r="O7" s="7"/>
      <x:c r="P7" s="7"/>
      <x:c r="Q7" s="7" t="str">
        <x:v>LXS26A18</x:v>
      </x:c>
      <x:c r="R7" s="7" t="str"/>
    </x:row>
    <x:row r="8" ht="38" customHeight="1">
      <x:c r="A8" s="2" t="str">
        <x:v>LX26A01</x:v>
      </x:c>
      <x:c r="B8" s="2" t="str">
        <x:v>2026-01-19</x:v>
      </x:c>
      <x:c r="C8" s="2" t="str">
        <x:v>day</x:v>
      </x:c>
      <x:c r="D8" s="10"/>
      <x:c r="E8" s="7" t="str">
        <x:v>中山港口镇货车连续碰撞事件</x:v>
      </x:c>
      <x:c r="F8" s="2" t="str">
        <x:v>广东</x:v>
      </x:c>
      <x:c r="G8" s="2" t="str">
        <x:v>中山</x:v>
      </x:c>
      <x:c r="H8" s="2" t="str">
        <x:v>pending</x:v>
      </x:c>
      <x:c r="I8" s="7" t="str">
        <x:v>警方确认碰撞及2伤；重复碾压的社媒描述支持故意性疑点，但未取得可核验行车过程或独立事故调查。</x:v>
      </x:c>
      <x:c r="J8" s="9"/>
      <x:c r="K8" s="9"/>
      <x:c r="L8" s="9" t="n">
        <x:v>2</x:v>
      </x:c>
      <x:c r="M8" s="9"/>
      <x:c r="N8" s="7"/>
      <x:c r="O8" s="7"/>
      <x:c r="P8" s="7" t="str">
        <x:v>警方确认碰撞及2伤；重复碾压的社媒描述支持故意性疑点，但未取得可核验行车过程或独立事故调查。</x:v>
      </x:c>
      <x:c r="Q8" s="7" t="str">
        <x:v>LXS26A02；LXS26A03；LXS26A01</x:v>
      </x:c>
      <x:c r="R8" s="7" t="str">
        <x:v>https://x.com/whyyoutouzhele/status/2013240567606464850；https://x.com/whyyoutouzhele/status/2039625155404509246</x:v>
      </x:c>
    </x:row>
    <x:row r="9" ht="38" customHeight="1">
      <x:c r="A9" s="2" t="str">
        <x:v>LX26A02</x:v>
      </x:c>
      <x:c r="B9" s="2" t="str">
        <x:v>2026-01-26</x:v>
      </x:c>
      <x:c r="C9" s="2" t="str">
        <x:v>day</x:v>
      </x:c>
      <x:c r="D9" s="10"/>
      <x:c r="E9" s="7" t="str">
        <x:v>网传广州太和镇街头夫妻遭持刀袭击</x:v>
      </x:c>
      <x:c r="F9" s="2" t="str">
        <x:v>广东</x:v>
      </x:c>
      <x:c r="G9" s="2" t="str">
        <x:v>广州</x:v>
      </x:c>
      <x:c r="H9" s="2" t="str">
        <x:v>pending</x:v>
      </x:c>
      <x:c r="I9" s="7" t="str">
        <x:v>原帖及媒体转述均指向突然袭击过路夫妻，但来源同为未核监控及匿名投稿；缺独立现场核实。</x:v>
      </x:c>
      <x:c r="J9" s="9"/>
      <x:c r="K9" s="9"/>
      <x:c r="L9" s="9"/>
      <x:c r="M9" s="9"/>
      <x:c r="N9" s="7" t="str">
        <x:v>网传夫妻受伤未获可靠完整确认，精确人数留空。</x:v>
      </x:c>
      <x:c r="O9" s="7" t="str">
        <x:v>按同期原帖1月26日；4月汇总误写1月27日。</x:v>
      </x:c>
      <x:c r="P9" s="7" t="str">
        <x:v>原帖及媒体转述均指向突然袭击过路夫妻，但来源同为未核监控及匿名投稿；缺独立现场核实。</x:v>
      </x:c>
      <x:c r="Q9" s="7" t="str">
        <x:v>LXS26A04；LXS26A05；LXS26A01</x:v>
      </x:c>
      <x:c r="R9" s="7" t="str">
        <x:v>https://x.com/whyyoutouzhele/status/2016096346025939186；https://x.com/whyyoutouzhele/status/2039625155404509246</x:v>
      </x:c>
    </x:row>
    <x:row r="10" ht="38" customHeight="1">
      <x:c r="A10" s="2" t="str">
        <x:v>LX26A18</x:v>
      </x:c>
      <x:c r="B10" s="2" t="str">
        <x:v>2026-01-27</x:v>
      </x:c>
      <x:c r="C10" s="2" t="str">
        <x:v>day</x:v>
      </x:c>
      <x:c r="D10" s="10"/>
      <x:c r="E10" s="7" t="str">
        <x:v>重庆凤鸣山陌生女子及救助者遇袭案</x:v>
      </x:c>
      <x:c r="F10" s="2" t="str">
        <x:v>重庆</x:v>
      </x:c>
      <x:c r="G10" s="2" t="str">
        <x:v>重庆</x:v>
      </x:c>
      <x:c r="H10" s="2" t="str">
        <x:v>core</x:v>
      </x:c>
      <x:c r="I10" s="7" t="str">
        <x:v>文明办原文明确女孩遭陌生男子尾随勒颈；其脱身求救后男子继续追踪并持刀伤女孩和无关救助者。</x:v>
      </x:c>
      <x:c r="J10" s="9" t="n">
        <x:v>0</x:v>
      </x:c>
      <x:c r="K10" s="9"/>
      <x:c r="L10" s="9" t="n">
        <x:v>2</x:v>
      </x:c>
      <x:c r="M10" s="9"/>
      <x:c r="N10" s="7"/>
      <x:c r="O10" s="7"/>
      <x:c r="P10" s="7"/>
      <x:c r="Q10" s="7" t="str">
        <x:v>LXS26A22；LXS26A27</x:v>
      </x:c>
      <x:c r="R10" s="7" t="str"/>
    </x:row>
    <x:row r="11" ht="38" customHeight="1">
      <x:c r="A11" s="2" t="str">
        <x:v>LX26A03</x:v>
      </x:c>
      <x:c r="B11" s="2" t="str">
        <x:v>2026-01-31</x:v>
      </x:c>
      <x:c r="C11" s="2" t="str">
        <x:v>day</x:v>
      </x:c>
      <x:c r="D11" s="10"/>
      <x:c r="E11" s="7" t="str">
        <x:v>银川朝阳巷约见争执持刀杀人案</x:v>
      </x:c>
      <x:c r="F11" s="2" t="str">
        <x:v>宁夏</x:v>
      </x:c>
      <x:c r="G11" s="2" t="str">
        <x:v>银川</x:v>
      </x:c>
      <x:c r="H11" s="2" t="str">
        <x:v>excluded</x:v>
      </x:c>
      <x:c r="I11" s="7" t="str">
        <x:v>警方明确两名同小区居民因群内争执约见后冲突，未披露扩大伤害无关者。</x:v>
      </x:c>
      <x:c r="J11" s="9" t="n">
        <x:v>1</x:v>
      </x:c>
      <x:c r="K11" s="9"/>
      <x:c r="L11" s="9"/>
      <x:c r="M11" s="9"/>
      <x:c r="N11" s="7"/>
      <x:c r="O11" s="7"/>
      <x:c r="P11" s="7"/>
      <x:c r="Q11" s="7" t="str">
        <x:v>LXS26A06；LXS26A07；LXS26A01</x:v>
      </x:c>
      <x:c r="R11" s="7" t="str">
        <x:v>https://x.com/whyyoutouzhele/status/2017756836741468453；https://x.com/whyyoutouzhele/status/2039625155404509246</x:v>
      </x:c>
    </x:row>
    <x:row r="12" ht="38" customHeight="1">
      <x:c r="A12" s="2" t="str">
        <x:v>LX26A20</x:v>
      </x:c>
      <x:c r="B12" s="2" t="str">
        <x:v>2026-02-02</x:v>
      </x:c>
      <x:c r="C12" s="2" t="str">
        <x:v>day</x:v>
      </x:c>
      <x:c r="D12" s="10"/>
      <x:c r="E12" s="7" t="str">
        <x:v>网传江苏扬州街头喷火伤人事件</x:v>
      </x:c>
      <x:c r="F12" s="2" t="str">
        <x:v>江苏</x:v>
      </x:c>
      <x:c r="G12" s="2" t="str">
        <x:v>扬州</x:v>
      </x:c>
      <x:c r="H12" s="2" t="str">
        <x:v>pending</x:v>
      </x:c>
      <x:c r="I12" s="7" t="str">
        <x:v>网络视频与转述称因私人关系定向袭击，地点、年月日和动机均待核；尚无充分证据认定事件全貌或无关者受袭。</x:v>
      </x:c>
      <x:c r="J12" s="9"/>
      <x:c r="K12" s="9"/>
      <x:c r="L12" s="9"/>
      <x:c r="M12" s="9"/>
      <x:c r="N12" s="7" t="str">
        <x:v>传1死或2死互异，不计入精确值。</x:v>
      </x:c>
      <x:c r="O12" s="7" t="str">
        <x:v>2月2日由网传知情者指称，亦为视频流传日，未得到独立案发日确认。</x:v>
      </x:c>
      <x:c r="P12" s="7" t="str">
        <x:v>网络视频与转述称因私人关系定向袭击，地点、年月日和动机均待核；尚无充分证据认定事件全貌或无关者受袭。</x:v>
      </x:c>
      <x:c r="Q12" s="7" t="str">
        <x:v>LXS26A25；LXS26A26</x:v>
      </x:c>
      <x:c r="R12" s="7" t="str">
        <x:v>https://x.com/whyyoutouzhele/status/2018814351998918831</x:v>
      </x:c>
    </x:row>
    <x:row r="13" ht="38" customHeight="1">
      <x:c r="A13" s="2" t="str">
        <x:v>LX26A04</x:v>
      </x:c>
      <x:c r="B13" s="2" t="str">
        <x:v>2026-02-03</x:v>
      </x:c>
      <x:c r="C13" s="2" t="str">
        <x:v>day</x:v>
      </x:c>
      <x:c r="D13" s="10"/>
      <x:c r="E13" s="7" t="str">
        <x:v>网传深圳万丰海岸城持刀伤人事件</x:v>
      </x:c>
      <x:c r="F13" s="2" t="str">
        <x:v>广东</x:v>
      </x:c>
      <x:c r="G13" s="2" t="str">
        <x:v>深圳</x:v>
      </x:c>
      <x:c r="H13" s="2" t="str">
        <x:v>pending</x:v>
      </x:c>
      <x:c r="I13" s="7" t="str">
        <x:v>仅单源投稿及同素材转发，缺警方事实确认，未说明双方关系和最初冲突。</x:v>
      </x:c>
      <x:c r="J13" s="9"/>
      <x:c r="K13" s="9"/>
      <x:c r="L13" s="9"/>
      <x:c r="M13" s="9"/>
      <x:c r="N13" s="7" t="str">
        <x:v>女子倒地不等于死亡；数量不录入精确字段。</x:v>
      </x:c>
      <x:c r="O13" s="7"/>
      <x:c r="P13" s="7" t="str">
        <x:v>仅单源投稿及同素材转发，缺警方事实确认，未说明双方关系和最初冲突。</x:v>
      </x:c>
      <x:c r="Q13" s="7" t="str">
        <x:v>LXS26A08；LXS26A01</x:v>
      </x:c>
      <x:c r="R13" s="7" t="str">
        <x:v>https://x.com/whyyoutouzhele/status/2018738337733914646；https://x.com/whyyoutouzhele/status/2039625155404509246</x:v>
      </x:c>
    </x:row>
    <x:row r="14" ht="38" customHeight="1">
      <x:c r="A14" s="2" t="str">
        <x:v>LX26A13</x:v>
      </x:c>
      <x:c r="B14" s="2" t="str">
        <x:v>2026-02-04</x:v>
      </x:c>
      <x:c r="C14" s="2" t="str">
        <x:v>day</x:v>
      </x:c>
      <x:c r="D14" s="10"/>
      <x:c r="E14" s="7" t="str">
        <x:v>海南白沙七坊KTV持刀袭击及救助者受伤案</x:v>
      </x:c>
      <x:c r="F14" s="2" t="str">
        <x:v>海南</x:v>
      </x:c>
      <x:c r="G14" s="2" t="str">
        <x:v>白沙黎族自治县</x:v>
      </x:c>
      <x:c r="H14" s="2" t="str">
        <x:v>expanded</x:v>
      </x:c>
      <x:c r="I14" s="7" t="str">
        <x:v>官方确认因感情纠纷持刀追逼工作人员，转而挥刀对抗无关救助者并伤其手，扩大到原纠纷无关者。</x:v>
      </x:c>
      <x:c r="J14" s="9"/>
      <x:c r="K14" s="9"/>
      <x:c r="L14" s="9"/>
      <x:c r="M14" s="9" t="n">
        <x:v>1</x:v>
      </x:c>
      <x:c r="N14" s="7" t="str">
        <x:v>救助者手部伤已确认；工作人员是否受伤及总数未明。</x:v>
      </x:c>
      <x:c r="O14" s="7"/>
      <x:c r="P14" s="7"/>
      <x:c r="Q14" s="7" t="str">
        <x:v>LXS26A18</x:v>
      </x:c>
      <x:c r="R14" s="7" t="str"/>
    </x:row>
    <x:row r="15" ht="38" customHeight="1">
      <x:c r="A15" s="2" t="str">
        <x:v>LX26A19</x:v>
      </x:c>
      <x:c r="B15" s="2" t="str">
        <x:v>2026-02-15</x:v>
      </x:c>
      <x:c r="C15" s="2" t="str">
        <x:v>day</x:v>
      </x:c>
      <x:c r="D15" s="10"/>
      <x:c r="E15" s="7" t="str">
        <x:v>云南巧家邱家屿社区持刀追砍群众事件</x:v>
      </x:c>
      <x:c r="F15" s="2" t="str">
        <x:v>云南</x:v>
      </x:c>
      <x:c r="G15" s="2" t="str">
        <x:v>昭通</x:v>
      </x:c>
      <x:c r="H15" s="2" t="str">
        <x:v>core</x:v>
      </x:c>
      <x:c r="I15" s="7" t="str">
        <x:v>官方记录作案者先持斧破坏车辆，再出车库持刀追砍社区群众并转向制止者，支持面向在场公众持续攻击，非仅凭受伤人数归类。</x:v>
      </x:c>
      <x:c r="J15" s="9"/>
      <x:c r="K15" s="9"/>
      <x:c r="L15" s="9"/>
      <x:c r="M15" s="9" t="n">
        <x:v>1</x:v>
      </x:c>
      <x:c r="N15" s="7" t="str">
        <x:v>至少1名头部伤者，非完整伤亡统计。</x:v>
      </x:c>
      <x:c r="O15" s="7"/>
      <x:c r="P15" s="7"/>
      <x:c r="Q15" s="7" t="str">
        <x:v>LXS26A22</x:v>
      </x:c>
      <x:c r="R15" s="7" t="str"/>
    </x:row>
    <x:row r="16" ht="38" customHeight="1">
      <x:c r="A16" s="2" t="str">
        <x:v>LX26A21</x:v>
      </x:c>
      <x:c r="B16" s="2" t="str">
        <x:v>2026-03-11</x:v>
      </x:c>
      <x:c r="C16" s="2" t="str">
        <x:v>day</x:v>
      </x:c>
      <x:c r="D16" s="10"/>
      <x:c r="E16" s="7" t="str">
        <x:v>武汉汉阳火锅店与广场舞冲突伤人线索</x:v>
      </x:c>
      <x:c r="F16" s="2" t="str">
        <x:v>湖北</x:v>
      </x:c>
      <x:c r="G16" s="2" t="str">
        <x:v>武汉</x:v>
      </x:c>
      <x:c r="H16" s="2" t="str">
        <x:v>pending</x:v>
      </x:c>
      <x:c r="I16" s="7" t="str">
        <x:v>记者采访商户及社区称争执伤及舞者和无关劝架人，具expanded特征；尚缺正式通报或第二独立采集确认发生全貌。</x:v>
      </x:c>
      <x:c r="J16" s="9"/>
      <x:c r="K16" s="9"/>
      <x:c r="L16" s="9"/>
      <x:c r="M16" s="9"/>
      <x:c r="N16" s="7" t="str">
        <x:v>单一报道2伤，暂不写入精确数字。</x:v>
      </x:c>
      <x:c r="O16" s="7"/>
      <x:c r="P16" s="7" t="str">
        <x:v>记者采访商户及社区称争执伤及舞者和无关劝架人，具expanded特征；尚缺正式通报或第二独立采集确认发生全貌。</x:v>
      </x:c>
      <x:c r="Q16" s="7" t="str">
        <x:v>LXS26A28</x:v>
      </x:c>
      <x:c r="R16" s="7" t="str"/>
    </x:row>
    <x:row r="17" ht="38" customHeight="1">
      <x:c r="A17" s="2" t="str">
        <x:v>LX26A22</x:v>
      </x:c>
      <x:c r="B17" s="2" t="str">
        <x:v>2026-03-19</x:v>
      </x:c>
      <x:c r="C17" s="2" t="str">
        <x:v>day</x:v>
      </x:c>
      <x:c r="D17" s="10"/>
      <x:c r="E17" s="7" t="str">
        <x:v>重庆朝阳中学同学冲突及持刀说法争议</x:v>
      </x:c>
      <x:c r="F17" s="2" t="str">
        <x:v>重庆</x:v>
      </x:c>
      <x:c r="G17" s="2" t="str">
        <x:v>重庆</x:v>
      </x:c>
      <x:c r="H17" s="2" t="str">
        <x:v>excluded</x:v>
      </x:c>
      <x:c r="I17" s="7" t="str">
        <x:v>家长与校方对持刀、伤情存在矛盾，但各版本均为同班同学日常矛盾，未见主动袭击无关者；制止学生被称未受伤。</x:v>
      </x:c>
      <x:c r="J17" s="9"/>
      <x:c r="K17" s="9"/>
      <x:c r="L17" s="9"/>
      <x:c r="M17" s="9"/>
      <x:c r="N17" s="7" t="str">
        <x:v>学校否认持刀伤人，家长称手部手术，不据争议报道填确定死伤。</x:v>
      </x:c>
      <x:c r="O17" s="7"/>
      <x:c r="P17" s="7"/>
      <x:c r="Q17" s="7" t="str">
        <x:v>LXS26A29</x:v>
      </x:c>
      <x:c r="R17" s="7" t="str"/>
    </x:row>
    <x:row r="18" ht="38" customHeight="1">
      <x:c r="A18" s="2" t="str">
        <x:v>LX26A07</x:v>
      </x:c>
      <x:c r="B18" s="2" t="str">
        <x:v>2026-03-20</x:v>
      </x:c>
      <x:c r="C18" s="2" t="str">
        <x:v>day</x:v>
      </x:c>
      <x:c r="D18" s="10"/>
      <x:c r="E18" s="7" t="str">
        <x:v>横琴小区抢劫致死案</x:v>
      </x:c>
      <x:c r="F18" s="2" t="str">
        <x:v>广东</x:v>
      </x:c>
      <x:c r="G18" s="2" t="str">
        <x:v>珠海</x:v>
      </x:c>
      <x:c r="H18" s="2" t="str">
        <x:v>pending</x:v>
      </x:c>
      <x:c r="I18" s="7" t="str">
        <x:v>警方证实入小区抢劫两人、1死；抢劫不自动排除，但未披露选择对象过程、先前关系及攻击方式，暂不能确认为随机侵害。</x:v>
      </x:c>
      <x:c r="J18" s="9" t="n">
        <x:v>1</x:v>
      </x:c>
      <x:c r="K18" s="9"/>
      <x:c r="L18" s="9"/>
      <x:c r="M18" s="9"/>
      <x:c r="N18" s="7"/>
      <x:c r="O18" s="7" t="str">
        <x:v>按警方3月20日晚；社媒初报3月22日及后续3月21日均非案发日。</x:v>
      </x:c>
      <x:c r="P18" s="7" t="str">
        <x:v>警方证实入小区抢劫两人、1死；抢劫不自动排除，但未披露选择对象过程、先前关系及攻击方式，暂不能确认为随机侵害。</x:v>
      </x:c>
      <x:c r="Q18" s="7" t="str">
        <x:v>LXS26A12；LXS26A13；LXS26A01</x:v>
      </x:c>
      <x:c r="R18" s="7" t="str">
        <x:v>https://x.com/whyyoutouzhele/status/2035510951944819083；https://x.com/whyyoutouzhele/status/2039625155404509246</x:v>
      </x:c>
    </x:row>
    <x:row r="19" ht="38" customHeight="1">
      <x:c r="A19" s="2" t="str">
        <x:v>LX26A08</x:v>
      </x:c>
      <x:c r="B19" s="2" t="str">
        <x:v>2026-03-22</x:v>
      </x:c>
      <x:c r="C19" s="2" t="str">
        <x:v>day</x:v>
      </x:c>
      <x:c r="D19" s="10"/>
      <x:c r="E19" s="7" t="str">
        <x:v>重庆观音桥司机疑发病车辆失控事故</x:v>
      </x:c>
      <x:c r="F19" s="2" t="str">
        <x:v>重庆</x:v>
      </x:c>
      <x:c r="G19" s="2" t="str">
        <x:v>重庆</x:v>
      </x:c>
      <x:c r="H19" s="2" t="str">
        <x:v>excluded</x:v>
      </x:c>
      <x:c r="I19" s="7" t="str">
        <x:v>完整警方通报初查司机疑似突发疾病后车辆失控；现场报道未提供反复选择目标等足以证明主动袭击的证据。</x:v>
      </x:c>
      <x:c r="J19" s="9" t="n">
        <x:v>0</x:v>
      </x:c>
      <x:c r="K19" s="9"/>
      <x:c r="L19" s="9" t="n">
        <x:v>3</x:v>
      </x:c>
      <x:c r="M19" s="9"/>
      <x:c r="N19" s="7" t="str">
        <x:v>通报1死3伤中的死者为司机，另3人为受伤行人；死亡司机单列driver_deaths，不计受害者或作案者死亡。</x:v>
      </x:c>
      <x:c r="O19" s="7"/>
      <x:c r="P19" s="7"/>
      <x:c r="Q19" s="7" t="str">
        <x:v>LXS26A14；LXS26A15；LXS26A01</x:v>
      </x:c>
      <x:c r="R19" s="7" t="str">
        <x:v>https://x.com/whyyoutouzhele/status/2035710493772382393；https://x.com/whyyoutouzhele/status/2039625155404509246</x:v>
      </x:c>
    </x:row>
    <x:row r="20" ht="38" customHeight="1">
      <x:c r="A20" s="2" t="str">
        <x:v>LX26A14</x:v>
      </x:c>
      <x:c r="B20" s="2" t="str">
        <x:v>2026-03-24</x:v>
      </x:c>
      <x:c r="C20" s="2" t="str">
        <x:v>day</x:v>
      </x:c>
      <x:c r="D20" s="10"/>
      <x:c r="E20" s="7" t="str">
        <x:v>上海平凉路男子持刀伤妻案</x:v>
      </x:c>
      <x:c r="F20" s="2" t="str">
        <x:v>上海</x:v>
      </x:c>
      <x:c r="G20" s="2" t="str">
        <x:v>上海</x:v>
      </x:c>
      <x:c r="H20" s="2" t="str">
        <x:v>excluded</x:v>
      </x:c>
      <x:c r="I20" s="7" t="str">
        <x:v>官方明确家庭纠纷后持刀伤妻；他人制止成功，未披露对无关者继续攻击。</x:v>
      </x:c>
      <x:c r="J20" s="9"/>
      <x:c r="K20" s="9"/>
      <x:c r="L20" s="9"/>
      <x:c r="M20" s="9" t="n">
        <x:v>1</x:v>
      </x:c>
      <x:c r="N20" s="7" t="str">
        <x:v>官方事迹确认妻子被刀伤；不是完整伤亡统计。</x:v>
      </x:c>
      <x:c r="O20" s="7"/>
      <x:c r="P20" s="7"/>
      <x:c r="Q20" s="7" t="str">
        <x:v>LXS26A18</x:v>
      </x:c>
      <x:c r="R20" s="7" t="str"/>
    </x:row>
    <x:row r="21" ht="38" customHeight="1">
      <x:c r="A21" s="2" t="str">
        <x:v>LX26A09</x:v>
      </x:c>
      <x:c r="B21" s="2" t="str">
        <x:v>2026-03-26</x:v>
      </x:c>
      <x:c r="C21" s="2" t="str">
        <x:v>day</x:v>
      </x:c>
      <x:c r="D21" s="10"/>
      <x:c r="E21" s="7" t="str">
        <x:v>网传深圳龙城街道爱联市场持刀伤人事件</x:v>
      </x:c>
      <x:c r="F21" s="2" t="str">
        <x:v>广东</x:v>
      </x:c>
      <x:c r="G21" s="2" t="str">
        <x:v>深圳</x:v>
      </x:c>
      <x:c r="H21" s="2" t="str">
        <x:v>pending</x:v>
      </x:c>
      <x:c r="I21" s="7" t="str">
        <x:v>晚间龙岗线索尚无独立采集或正式通报；网传冲突起因、快递员身份和学生死亡人数互相矛盾。</x:v>
      </x:c>
      <x:c r="J21" s="9"/>
      <x:c r="K21" s="9"/>
      <x:c r="L21" s="9"/>
      <x:c r="M21" s="9"/>
      <x:c r="N21" s="7" t="str">
        <x:v>网传两死或两伤等不同说法不录精确值。</x:v>
      </x:c>
      <x:c r="O21" s="7"/>
      <x:c r="P21" s="7" t="str">
        <x:v>晚间龙岗线索尚无独立采集或正式通报；网传冲突起因、快递员身份和学生死亡人数互相矛盾。</x:v>
      </x:c>
      <x:c r="Q21" s="7" t="str">
        <x:v>LXS26A16；LXS26A31；LXS26A01</x:v>
      </x:c>
      <x:c r="R21" s="7" t="str">
        <x:v>https://x.com/whyyoutouzhele/status/2037212487309742093；https://x.com/whyyoutouzhele/status/2039625155404509246</x:v>
      </x:c>
    </x:row>
    <x:row r="22" ht="38" customHeight="1">
      <x:c r="A22" s="2" t="str">
        <x:v>LX26A10</x:v>
      </x:c>
      <x:c r="B22" s="2" t="str">
        <x:v>2026-03-26</x:v>
      </x:c>
      <x:c r="C22" s="2" t="str">
        <x:v>day</x:v>
      </x:c>
      <x:c r="D22" s="10"/>
      <x:c r="E22" s="7" t="str">
        <x:v>深圳罗湖东门女学生及救助者遭持刀袭击</x:v>
      </x:c>
      <x:c r="F22" s="2" t="str">
        <x:v>广东</x:v>
      </x:c>
      <x:c r="G22" s="2" t="str">
        <x:v>深圳</x:v>
      </x:c>
      <x:c r="H22" s="2" t="str">
        <x:v>expanded</x:v>
      </x:c>
      <x:c r="I22" s="7" t="str">
        <x:v>官方确认先对女学生行凶，随后刺伤原袭击无关的路过救助者并致其死亡；按扩大至无关救助者记录，最初学生是否随机目标仍未知。</x:v>
      </x:c>
      <x:c r="J22" s="9"/>
      <x:c r="K22" s="9" t="n">
        <x:v>1</x:v>
      </x:c>
      <x:c r="L22" s="9"/>
      <x:c r="M22" s="9"/>
      <x:c r="N22" s="7" t="str">
        <x:v>只确认救助者1人死亡，不据网传填入学生伤亡；全案最终伤亡总数未见披露。</x:v>
      </x:c>
      <x:c r="O22" s="7" t="str">
        <x:v>官方明确3月26日6时许。</x:v>
      </x:c>
      <x:c r="P22" s="7"/>
      <x:c r="Q22" s="7" t="str">
        <x:v>LXS26A17；LXS26A18；LXS26A01</x:v>
      </x:c>
      <x:c r="R22" s="7" t="str">
        <x:v>https://x.com/whyyoutouzhele/status/2037239673907535998；https://x.com/whyyoutouzhele/status/2039625155404509246</x:v>
      </x:c>
    </x:row>
    <x:row r="23" ht="38" customHeight="1">
      <x:c r="A23" s="2" t="str">
        <x:v>LX26A23</x:v>
      </x:c>
      <x:c r="B23" s="2" t="str">
        <x:v>2026-03-26</x:v>
      </x:c>
      <x:c r="C23" s="2" t="str">
        <x:v>day</x:v>
      </x:c>
      <x:c r="D23" s="10"/>
      <x:c r="E23" s="7" t="str">
        <x:v>锡林浩特8路公交乘客攻击司机事件</x:v>
      </x:c>
      <x:c r="F23" s="2" t="str">
        <x:v>内蒙古</x:v>
      </x:c>
      <x:c r="G23" s="2" t="str">
        <x:v>锡林郭勒盟</x:v>
      </x:c>
      <x:c r="H23" s="2" t="str">
        <x:v>pending</x:v>
      </x:c>
      <x:c r="I23" s="7" t="str">
        <x:v>官方表彰事迹确认乘客冲向驾驶区攻击司机，但将行为归因于疾病发作，未披露医学诊断、行为意识或袭击动机。发生已核实，是否符合有意识主动袭击及无关公众目标口径仍待核。</x:v>
      </x:c>
      <x:c r="J23" s="9"/>
      <x:c r="K23" s="9"/>
      <x:c r="L23" s="9"/>
      <x:c r="M23" s="9"/>
      <x:c r="N23" s="7" t="str">
        <x:v>官方事迹未披露伤亡；没有伤亡通报不等于零伤亡。</x:v>
      </x:c>
      <x:c r="O23" s="7"/>
      <x:c r="P23" s="7" t="str">
        <x:v>缺医学或调查资料确认行为意识、发作情况、对象关系及伤亡。</x:v>
      </x:c>
      <x:c r="Q23" s="7" t="str">
        <x:v>LXS26A18</x:v>
      </x:c>
      <x:c r="R23" s="7" t="str"/>
    </x:row>
    <x:row r="24" ht="38" customHeight="1">
      <x:c r="A24" s="2" t="str">
        <x:v>C034</x:v>
      </x:c>
      <x:c r="B24" s="2" t="str">
        <x:v>2026-03-29</x:v>
      </x:c>
      <x:c r="C24" s="2" t="str">
        <x:v>day</x:v>
      </x:c>
      <x:c r="D24" s="10"/>
      <x:c r="E24" s="7" t="str">
        <x:v>网传北京房山大韩继集市铲车冲撞事件</x:v>
      </x:c>
      <x:c r="F24" s="2" t="str">
        <x:v>北京</x:v>
      </x:c>
      <x:c r="G24" s="2" t="str">
        <x:v>北京</x:v>
      </x:c>
      <x:c r="H24" s="2" t="str">
        <x:v>pending</x:v>
      </x:c>
      <x:c r="I24" s="7" t="str">
        <x:v>报道主要来自网络影像，无官方确认或独立可靠实地核实；发生细节、意图及伤亡均待核。</x:v>
      </x:c>
      <x:c r="J24" s="9"/>
      <x:c r="K24" s="9"/>
      <x:c r="L24" s="9"/>
      <x:c r="M24" s="9"/>
      <x:c r="N24" s="7" t="str">
        <x:v>网络死亡人数多版本冲突，全部不计入精确字段。</x:v>
      </x:c>
      <x:c r="O24" s="7"/>
      <x:c r="P24" s="7" t="str">
        <x:v>报道主要来自网络影像，无官方确认或独立可靠实地核实；发生细节、意图及伤亡均待核。</x:v>
      </x:c>
      <x:c r="Q24" s="7" t="str">
        <x:v>CS045；LXS26A01；LXS26A20</x:v>
      </x:c>
      <x:c r="R24" s="7" t="str">
        <x:v>https://x.com/whyyoutouzhele/status/2039625155404509246；https://x.com/whyyoutouzhele/status/2038169287744229772</x:v>
      </x:c>
    </x:row>
    <x:row r="25" ht="38" customHeight="1">
      <x:c r="A25" s="2" t="str">
        <x:v>C027</x:v>
      </x:c>
      <x:c r="B25" s="2" t="str">
        <x:v>2026-03-31</x:v>
      </x:c>
      <x:c r="C25" s="2" t="str">
        <x:v>day</x:v>
      </x:c>
      <x:c r="D25" s="10"/>
      <x:c r="E25" s="7" t="str">
        <x:v>武汉青松路持刀伤人案</x:v>
      </x:c>
      <x:c r="F25" s="2" t="str">
        <x:v>湖北</x:v>
      </x:c>
      <x:c r="G25" s="2" t="str">
        <x:v>武汉</x:v>
      </x:c>
      <x:c r="H25" s="2" t="str">
        <x:v>pending</x:v>
      </x:c>
      <x:c r="I25" s="7" t="str">
        <x:v>警方确认4伤；新增网传连续影像的媒体文字描述显示先后攻击摊贩、路中男子、路过女子，支持公众目标，但未独立核验原视频连续性及拍摄时地。现场记者未目击起因，暂保留待核并明确证据缺口。</x:v>
      </x:c>
      <x:c r="J25" s="9" t="n">
        <x:v>0</x:v>
      </x:c>
      <x:c r="K25" s="9"/>
      <x:c r="L25" s="9" t="n">
        <x:v>4</x:v>
      </x:c>
      <x:c r="M25" s="9"/>
      <x:c r="N25" s="7"/>
      <x:c r="O25" s="7"/>
      <x:c r="P25" s="7" t="str">
        <x:v>警方确认4伤；新增网传连续影像的媒体文字描述显示先后攻击摊贩、路中男子、路过女子，支持公众目标，但未独立核验原视频连续性及拍摄时地。现场记者未目击起因，暂保留待核并明确证据缺口。</x:v>
      </x:c>
      <x:c r="Q25" s="7" t="str">
        <x:v>CS037；RCS004；LXS26A01；LXS26A21；LXS26A30</x:v>
      </x:c>
      <x:c r="R25" s="7" t="str">
        <x:v>https://x.com/whyyoutouzhele/status/2039625155404509246；https://x.com/whyyoutouzhele/status/2039111132950962182</x:v>
      </x:c>
    </x:row>
    <x:row r="26" ht="38" customHeight="1">
      <x:c r="A26" s="2" t="str">
        <x:v>LX26A11</x:v>
      </x:c>
      <x:c r="B26" s="2" t="str">
        <x:v>2026-03-31</x:v>
      </x:c>
      <x:c r="C26" s="2" t="str">
        <x:v>day</x:v>
      </x:c>
      <x:c r="D26" s="10"/>
      <x:c r="E26" s="7" t="str">
        <x:v>网传杭州世嘉铭座入室持刀伤人事件</x:v>
      </x:c>
      <x:c r="F26" s="2" t="str">
        <x:v>浙江</x:v>
      </x:c>
      <x:c r="G26" s="2" t="str">
        <x:v>杭州</x:v>
      </x:c>
      <x:c r="H26" s="2" t="str">
        <x:v>pending</x:v>
      </x:c>
      <x:c r="I26" s="7" t="str">
        <x:v>单源投稿描绘敲陌生住户门后行凶，但尚未取得发生细节、关系及现场来源的独立核验。</x:v>
      </x:c>
      <x:c r="J26" s="9"/>
      <x:c r="K26" s="9"/>
      <x:c r="L26" s="9"/>
      <x:c r="M26" s="9"/>
      <x:c r="N26" s="7" t="str">
        <x:v>女伤者及施害者跳楼的说法未核；年龄和精神疾病传闻不填确认字段。</x:v>
      </x:c>
      <x:c r="O26" s="7"/>
      <x:c r="P26" s="7" t="str">
        <x:v>单源投稿描绘敲陌生住户门后行凶，但尚未取得发生细节、关系及现场来源的独立核验。</x:v>
      </x:c>
      <x:c r="Q26" s="7" t="str">
        <x:v>LXS26A19；LXS26A01</x:v>
      </x:c>
      <x:c r="R26" s="7" t="str">
        <x:v>https://x.com/whyyoutouzhele/status/2038959494865313931；https://x.com/whyyoutouzhele/status/2039625155404509246</x:v>
      </x:c>
    </x:row>
    <x:row r="27" ht="38" customHeight="1">
      <x:c r="A27" s="2" t="str">
        <x:v>LX26B05</x:v>
      </x:c>
      <x:c r="B27" s="2" t="str">
        <x:v>2026-04</x:v>
      </x:c>
      <x:c r="C27" s="2" t="str">
        <x:v>month</x:v>
      </x:c>
      <x:c r="D27" s="10"/>
      <x:c r="E27" s="7" t="str">
        <x:v>网传惠州博罗酒店门前持刀伤人线索</x:v>
      </x:c>
      <x:c r="F27" s="2" t="str">
        <x:v>广东</x:v>
      </x:c>
      <x:c r="G27" s="2" t="str">
        <x:v>惠州</x:v>
      </x:c>
      <x:c r="H27" s="2" t="str">
        <x:v>pending</x:v>
      </x:c>
      <x:c r="I27" s="7" t="str">
        <x:v>同一受访者在4月22日谈及前几天酒店门前另有持刀事件；缺独立发生证据、确切日期、受害关系及作案过程。</x:v>
      </x:c>
      <x:c r="J27" s="9"/>
      <x:c r="K27" s="9"/>
      <x:c r="L27" s="9"/>
      <x:c r="M27" s="9"/>
      <x:c r="N27" s="7"/>
      <x:c r="O27" s="7"/>
      <x:c r="P27" s="7" t="str">
        <x:v>同一受访者在4月22日谈及前几天酒店门前另有持刀事件；缺独立发生证据、确切日期、受害关系及作案过程。</x:v>
      </x:c>
      <x:c r="Q27" s="7" t="str">
        <x:v>LXS26B05</x:v>
      </x:c>
      <x:c r="R27" s="7" t="str"/>
    </x:row>
    <x:row r="28" ht="38" customHeight="1">
      <x:c r="A28" s="2" t="str">
        <x:v>LX26B02</x:v>
      </x:c>
      <x:c r="B28" s="2" t="str">
        <x:v>2026-04-02</x:v>
      </x:c>
      <x:c r="C28" s="2" t="str">
        <x:v>day</x:v>
      </x:c>
      <x:c r="D28" s="10"/>
      <x:c r="E28" s="7" t="str">
        <x:v>湖州菱湖镇公司持刀纠纷扩大至救援员工案</x:v>
      </x:c>
      <x:c r="F28" s="2" t="str">
        <x:v>浙江</x:v>
      </x:c>
      <x:c r="G28" s="2" t="str">
        <x:v>湖州</x:v>
      </x:c>
      <x:c r="H28" s="2" t="str">
        <x:v>expanded</x:v>
      </x:c>
      <x:c r="I28" s="7" t="str">
        <x:v>官方案例记述员工因既往纠纷刺伤老板，另一员工制止时遭连续刺击；后者属于原纠纷之外的救援人员，符合定向纠纷扩及旁人。</x:v>
      </x:c>
      <x:c r="J28" s="9"/>
      <x:c r="K28" s="9"/>
      <x:c r="L28" s="9" t="n">
        <x:v>2</x:v>
      </x:c>
      <x:c r="M28" s="9"/>
      <x:c r="N28" s="7" t="str">
        <x:v>官方材料记载老板被刺伤、施救员工重伤二级；未提供全案死亡人数，不据此填零。</x:v>
      </x:c>
      <x:c r="O28" s="7"/>
      <x:c r="P28" s="7"/>
      <x:c r="Q28" s="7" t="str">
        <x:v>LXS26B01</x:v>
      </x:c>
      <x:c r="R28" s="7" t="str"/>
    </x:row>
    <x:row r="29" ht="38" customHeight="1">
      <x:c r="A29" s="2" t="str">
        <x:v>C037</x:v>
      </x:c>
      <x:c r="B29" s="2" t="str">
        <x:v>2026-04-04</x:v>
      </x:c>
      <x:c r="C29" s="2" t="str">
        <x:v>day</x:v>
      </x:c>
      <x:c r="D29" s="10"/>
      <x:c r="E29" s="7" t="str">
        <x:v>网传沈阳太原街持刀伤人事件</x:v>
      </x:c>
      <x:c r="F29" s="2" t="str">
        <x:v>辽宁</x:v>
      </x:c>
      <x:c r="G29" s="2" t="str">
        <x:v>沈阳</x:v>
      </x:c>
      <x:c r="H29" s="2" t="str">
        <x:v>pending</x:v>
      </x:c>
      <x:c r="I29" s="7" t="str">
        <x:v>新增早报、无忧等仍主要依赖同一批网络影像及转述，未找到官方或两个独立现场采集来源。影像不能建立袭击者与伤者关系，网传随机行凶与伤亡规模均待核。</x:v>
      </x:c>
      <x:c r="J29" s="9"/>
      <x:c r="K29" s="9"/>
      <x:c r="L29" s="9"/>
      <x:c r="M29" s="9"/>
      <x:c r="N29" s="7" t="str">
        <x:v>传2或4死、6人被砍及嫌犯坠亡均未核，不录入精确伤亡。</x:v>
      </x:c>
      <x:c r="O29" s="7"/>
      <x:c r="P29" s="7" t="str">
        <x:v>新增早报、无忧等仍主要依赖同一批网络影像及转述，未找到官方或两个独立现场采集来源。影像不能建立袭击者与伤者关系，网传随机行凶与伤亡规模均待核。</x:v>
      </x:c>
      <x:c r="Q29" s="7" t="str">
        <x:v>CS048；LXS26B20；LXS26B21；LXS26B22</x:v>
      </x:c>
      <x:c r="R29" s="7" t="str">
        <x:v>https://x.com/whyyoutouzhele/status/2040449312027480228</x:v>
      </x:c>
    </x:row>
    <x:row r="30" ht="38" customHeight="1">
      <x:c r="A30" s="2" t="str">
        <x:v>LX26B14</x:v>
      </x:c>
      <x:c r="B30" s="2" t="str">
        <x:v>2026-04-07</x:v>
      </x:c>
      <x:c r="C30" s="2" t="str">
        <x:v>day</x:v>
      </x:c>
      <x:c r="D30" s="10"/>
      <x:c r="E30" s="7" t="str">
        <x:v>网传儋州未成年人驾车连续碰撞线索</x:v>
      </x:c>
      <x:c r="F30" s="2" t="str">
        <x:v>海南</x:v>
      </x:c>
      <x:c r="G30" s="2" t="str">
        <x:v>儋州</x:v>
      </x:c>
      <x:c r="H30" s="2" t="str">
        <x:v>pending</x:v>
      </x:c>
      <x:c r="I30" s="7" t="str">
        <x:v>Telegram及论坛为未经独立核实的转述，尚无原始公安材料或可靠媒体调查；驾车者年龄、连续碰撞过程和故意性均待核。</x:v>
      </x:c>
      <x:c r="J30" s="9"/>
      <x:c r="K30" s="9"/>
      <x:c r="L30" s="9"/>
      <x:c r="M30" s="9"/>
      <x:c r="N30" s="7"/>
      <x:c r="O30" s="7"/>
      <x:c r="P30" s="7" t="str">
        <x:v>Telegram及论坛为未经独立核实的转述，尚无原始公安材料或可靠媒体调查；驾车者年龄、连续碰撞过程和故意性均待核。</x:v>
      </x:c>
      <x:c r="Q30" s="7" t="str">
        <x:v>LXS26B17；LXS26B18</x:v>
      </x:c>
      <x:c r="R30" s="7" t="str"/>
    </x:row>
    <x:row r="31" ht="38" customHeight="1">
      <x:c r="A31" s="2" t="str">
        <x:v>LX26B25</x:v>
      </x:c>
      <x:c r="B31" s="2" t="str">
        <x:v>2026-04-07</x:v>
      </x:c>
      <x:c r="C31" s="2" t="str">
        <x:v>day</x:v>
      </x:c>
      <x:c r="D31" s="10"/>
      <x:c r="E31" s="7" t="str">
        <x:v>山西供电公司职工追捕盗窃车辆受伤事件</x:v>
      </x:c>
      <x:c r="F31" s="2" t="str">
        <x:v>山西</x:v>
      </x:c>
      <x:c r="G31" s="2"/>
      <x:c r="H31" s="2" t="str">
        <x:v>pending</x:v>
      </x:c>
      <x:c r="I31" s="7" t="str">
        <x:v>官方确认盗窃嫌疑人逃车多次急刹变道、强行掉头，追击车随后碰撞；未明确嫌疑人是否主动以追捕者或其他人员为撞击目标，不能仅据追捕中受伤定为扩展袭击。</x:v>
      </x:c>
      <x:c r="J31" s="9"/>
      <x:c r="K31" s="9"/>
      <x:c r="L31" s="9"/>
      <x:c r="M31" s="9" t="n">
        <x:v>1</x:v>
      </x:c>
      <x:c r="N31" s="7" t="str">
        <x:v>官方事迹记述1名协助追捕的供电公司职工受伤，未公布全案总伤亡。</x:v>
      </x:c>
      <x:c r="O31" s="7"/>
      <x:c r="P31" s="7" t="str">
        <x:v>官方确认盗窃嫌疑人逃车多次急刹变道、强行掉头，追击车随后碰撞；未明确嫌疑人是否主动以追捕者或其他人员为撞击目标，不能仅据追捕中受伤定为扩展袭击。</x:v>
      </x:c>
      <x:c r="Q31" s="7" t="str">
        <x:v>LXS26B01</x:v>
      </x:c>
      <x:c r="R31" s="7" t="str"/>
    </x:row>
    <x:row r="32" ht="38" customHeight="1">
      <x:c r="A32" s="2" t="str">
        <x:v>LX26B01</x:v>
      </x:c>
      <x:c r="B32" s="2" t="str">
        <x:v>2026-04-11</x:v>
      </x:c>
      <x:c r="C32" s="2" t="str">
        <x:v>day</x:v>
      </x:c>
      <x:c r="D32" s="10"/>
      <x:c r="E32" s="7" t="str">
        <x:v>嘉禾曾家村陌生男子连续袭击村民和过路女子案</x:v>
      </x:c>
      <x:c r="F32" s="2" t="str">
        <x:v>湖南</x:v>
      </x:c>
      <x:c r="G32" s="2" t="str">
        <x:v>郴州</x:v>
      </x:c>
      <x:c r="H32" s="2" t="str">
        <x:v>core</x:v>
      </x:c>
      <x:c r="I32" s="7" t="str">
        <x:v>中央政法委公开材料记载男子无端殴打多名村民并扼住过路女子；记者采访补充其见人追打和拦截车辆，目标包括与其无原纠纷关系的公众。</x:v>
      </x:c>
      <x:c r="J32" s="9"/>
      <x:c r="K32" s="9"/>
      <x:c r="L32" s="9"/>
      <x:c r="M32" s="9" t="n">
        <x:v>4</x:v>
      </x:c>
      <x:c r="N32" s="7" t="str">
        <x:v>采访记述先遭袭的一家3人擦伤，随后救援者受伤，故可确认至少4名伤者；被扼女子伤情与完整总数未明，重伤医学描述不代替司法鉴定。</x:v>
      </x:c>
      <x:c r="O32" s="7"/>
      <x:c r="P32" s="7"/>
      <x:c r="Q32" s="7" t="str">
        <x:v>LXS26B01；LXS26B27</x:v>
      </x:c>
      <x:c r="R32" s="7" t="str"/>
    </x:row>
    <x:row r="33" ht="38" customHeight="1">
      <x:c r="A33" s="2" t="str">
        <x:v>LX26B12</x:v>
      </x:c>
      <x:c r="B33" s="2" t="str">
        <x:v>2026-04-13</x:v>
      </x:c>
      <x:c r="C33" s="2" t="str">
        <x:v>day</x:v>
      </x:c>
      <x:c r="D33" s="10"/>
      <x:c r="E33" s="7" t="str">
        <x:v>衢州百汇路SUV连续碰撞车辆事件</x:v>
      </x:c>
      <x:c r="F33" s="2" t="str">
        <x:v>浙江</x:v>
      </x:c>
      <x:c r="G33" s="2" t="str">
        <x:v>衢州</x:v>
      </x:c>
      <x:c r="H33" s="2" t="str">
        <x:v>pending</x:v>
      </x:c>
      <x:c r="I33" s="7" t="str">
        <x:v>警方确认车辆碰撞并刑拘司机；媒体描述来回顶撞停放车辆，故意性仍需调查。尚无证据证明主动攻击无关人员，刑拘也不能单独证明无差别袭击。</x:v>
      </x:c>
      <x:c r="J33" s="9"/>
      <x:c r="K33" s="9"/>
      <x:c r="L33" s="9" t="n">
        <x:v>2</x:v>
      </x:c>
      <x:c r="M33" s="9"/>
      <x:c r="N33" s="7" t="str">
        <x:v>通报确认2人受伤、无生命危险；未另列死亡人数，不根据沉默填零。</x:v>
      </x:c>
      <x:c r="O33" s="7"/>
      <x:c r="P33" s="7" t="str">
        <x:v>警方确认车辆碰撞并刑拘司机；媒体描述来回顶撞停放车辆，故意性仍需调查。尚无证据证明主动攻击无关人员，刑拘也不能单独证明无差别袭击。</x:v>
      </x:c>
      <x:c r="Q33" s="7" t="str">
        <x:v>LXS26B15；LXS26B18</x:v>
      </x:c>
      <x:c r="R33" s="7" t="str"/>
    </x:row>
    <x:row r="34" ht="38" customHeight="1">
      <x:c r="A34" s="2" t="str">
        <x:v>LX26B18</x:v>
      </x:c>
      <x:c r="B34" s="2" t="str">
        <x:v>2026-04-13</x:v>
      </x:c>
      <x:c r="C34" s="2" t="str">
        <x:v>day</x:v>
      </x:c>
      <x:c r="D34" s="10"/>
      <x:c r="E34" s="7" t="str">
        <x:v>宁波奉化工业园厂房火灾及纵火传闻核查</x:v>
      </x:c>
      <x:c r="F34" s="2" t="str">
        <x:v>浙江</x:v>
      </x:c>
      <x:c r="G34" s="2" t="str">
        <x:v>宁波</x:v>
      </x:c>
      <x:c r="H34" s="2" t="str">
        <x:v>excluded</x:v>
      </x:c>
      <x:c r="I34" s="7" t="str">
        <x:v>已核实材料仅确认厂房火灾；传称纵火的报道自己指出企业名称误传并引述焊接起火说法，未找到主动袭击人的证据，按非袭击火灾线索排除。</x:v>
      </x:c>
      <x:c r="J34" s="9" t="n">
        <x:v>0</x:v>
      </x:c>
      <x:c r="K34" s="9"/>
      <x:c r="L34" s="9" t="n">
        <x:v>0</x:v>
      </x:c>
      <x:c r="M34" s="9"/>
      <x:c r="N34" s="7" t="str">
        <x:v>当地政府通报无人员伤亡。</x:v>
      </x:c>
      <x:c r="O34" s="7"/>
      <x:c r="P34" s="7"/>
      <x:c r="Q34" s="7" t="str">
        <x:v>LXS26B25；LXS26B26</x:v>
      </x:c>
      <x:c r="R34" s="7" t="str"/>
    </x:row>
    <x:row r="35" ht="38" customHeight="1">
      <x:c r="A35" s="2" t="str">
        <x:v>LX26B15</x:v>
      </x:c>
      <x:c r="B35" s="2" t="str">
        <x:v>2026-04-17</x:v>
      </x:c>
      <x:c r="C35" s="2" t="str">
        <x:v>day</x:v>
      </x:c>
      <x:c r="D35" s="10"/>
      <x:c r="E35" s="7" t="str">
        <x:v>网传临沂面粉厂纵火线索</x:v>
      </x:c>
      <x:c r="F35" s="2" t="str">
        <x:v>山东</x:v>
      </x:c>
      <x:c r="G35" s="2" t="str">
        <x:v>临沂</x:v>
      </x:c>
      <x:c r="H35" s="2" t="str">
        <x:v>pending</x:v>
      </x:c>
      <x:c r="I35" s="7" t="str">
        <x:v>目前只有论坛评论列举日期和地点，未找到能定位工厂、确认起火原因与受害对象的原始来源。</x:v>
      </x:c>
      <x:c r="J35" s="9"/>
      <x:c r="K35" s="9"/>
      <x:c r="L35" s="9"/>
      <x:c r="M35" s="9"/>
      <x:c r="N35" s="7"/>
      <x:c r="O35" s="7"/>
      <x:c r="P35" s="7" t="str">
        <x:v>目前只有论坛评论列举日期和地点，未找到能定位工厂、确认起火原因与受害对象的原始来源。</x:v>
      </x:c>
      <x:c r="Q35" s="7" t="str">
        <x:v>LXS26B18</x:v>
      </x:c>
      <x:c r="R35" s="7" t="str"/>
    </x:row>
    <x:row r="36" ht="38" customHeight="1">
      <x:c r="A36" s="2" t="str">
        <x:v>LX26B13</x:v>
      </x:c>
      <x:c r="B36" s="2" t="str">
        <x:v>2026-04-19</x:v>
      </x:c>
      <x:c r="C36" s="2" t="str">
        <x:v>day</x:v>
      </x:c>
      <x:c r="D36" s="10"/>
      <x:c r="E36" s="7" t="str">
        <x:v>南安水头镇车辆逆行撞人事件</x:v>
      </x:c>
      <x:c r="F36" s="2" t="str">
        <x:v>福建</x:v>
      </x:c>
      <x:c r="G36" s="2" t="str">
        <x:v>泉州</x:v>
      </x:c>
      <x:c r="H36" s="2" t="str">
        <x:v>pending</x:v>
      </x:c>
      <x:c r="I36" s="7" t="str">
        <x:v>南方+记者获有关部门确认逆行车祸及死伤，具体原因仍在调查；网帖所谓主动冲撞没有独立依据，须进一步区分事故与故意攻击。</x:v>
      </x:c>
      <x:c r="J36" s="9" t="n">
        <x:v>2</x:v>
      </x:c>
      <x:c r="K36" s="9"/>
      <x:c r="L36" s="9" t="n">
        <x:v>1</x:v>
      </x:c>
      <x:c r="M36" s="9"/>
      <x:c r="N36" s="7"/>
      <x:c r="O36" s="7"/>
      <x:c r="P36" s="7" t="str">
        <x:v>南方+记者获有关部门确认逆行车祸及死伤，具体原因仍在调查；网帖所谓主动冲撞没有独立依据，须进一步区分事故与故意攻击。</x:v>
      </x:c>
      <x:c r="Q36" s="7" t="str">
        <x:v>LXS26B16；LXS26B18</x:v>
      </x:c>
      <x:c r="R36" s="7" t="str"/>
    </x:row>
    <x:row r="37" ht="38" customHeight="1">
      <x:c r="A37" s="2" t="str">
        <x:v>LX26B04</x:v>
      </x:c>
      <x:c r="B37" s="2" t="str">
        <x:v>2026-04-22</x:v>
      </x:c>
      <x:c r="C37" s="2" t="str">
        <x:v>day</x:v>
      </x:c>
      <x:c r="D37" s="10"/>
      <x:c r="E37" s="7" t="str">
        <x:v>网传惠州博罗中园休闲广场持刀伤人事件</x:v>
      </x:c>
      <x:c r="F37" s="2" t="str">
        <x:v>广东</x:v>
      </x:c>
      <x:c r="G37" s="2" t="str">
        <x:v>惠州</x:v>
      </x:c>
      <x:c r="H37" s="2" t="str">
        <x:v>pending</x:v>
      </x:c>
      <x:c r="I37" s="7" t="str">
        <x:v>目前为一家媒体引述本地居民及网络影像，伤亡与受害关系没有独立采集的第二来源或官方材料；不能由多人遇袭传言推断随机性。</x:v>
      </x:c>
      <x:c r="J37" s="9"/>
      <x:c r="K37" s="9"/>
      <x:c r="L37" s="9"/>
      <x:c r="M37" s="9"/>
      <x:c r="N37" s="7" t="str">
        <x:v>媒体转述死亡及多人重伤说法未经独立核实，数值留空。</x:v>
      </x:c>
      <x:c r="O37" s="7"/>
      <x:c r="P37" s="7" t="str">
        <x:v>目前为一家媒体引述本地居民及网络影像，伤亡与受害关系没有独立采集的第二来源或官方材料；不能由多人遇袭传言推断随机性。</x:v>
      </x:c>
      <x:c r="Q37" s="7" t="str">
        <x:v>LXS26B05</x:v>
      </x:c>
      <x:c r="R37" s="7" t="str"/>
    </x:row>
    <x:row r="38" ht="38" customHeight="1">
      <x:c r="A38" s="2" t="str">
        <x:v>LX26B19</x:v>
      </x:c>
      <x:c r="B38" s="2" t="str">
        <x:v>2026-04-29</x:v>
      </x:c>
      <x:c r="C38" s="2" t="str">
        <x:v>day</x:v>
      </x:c>
      <x:c r="D38" s="10"/>
      <x:c r="E38" s="7" t="str">
        <x:v>网传泰安住宅楼遭爆炸袭击线索</x:v>
      </x:c>
      <x:c r="F38" s="2" t="str">
        <x:v>山东</x:v>
      </x:c>
      <x:c r="G38" s="2" t="str">
        <x:v>泰安</x:v>
      </x:c>
      <x:c r="H38" s="2" t="str">
        <x:v>pending</x:v>
      </x:c>
      <x:c r="I38" s="7" t="str">
        <x:v>现有页面只转载匿名X投稿，连准确楼宇位置、爆炸是否发生都未得到核实；所谓特定干部目标及大规模伤亡亦无可核来源。</x:v>
      </x:c>
      <x:c r="J38" s="9"/>
      <x:c r="K38" s="9"/>
      <x:c r="L38" s="9"/>
      <x:c r="M38" s="9"/>
      <x:c r="N38" s="7"/>
      <x:c r="O38" s="7"/>
      <x:c r="P38" s="7" t="str">
        <x:v>现有页面只转载匿名X投稿，连准确楼宇位置、爆炸是否发生都未得到核实；所谓特定干部目标及大规模伤亡亦无可核来源。</x:v>
      </x:c>
      <x:c r="Q38" s="7" t="str">
        <x:v>LXS26B28</x:v>
      </x:c>
      <x:c r="R38" s="7" t="str">
        <x:v>https://x.com/LUOXIANG_PMTQ/status/2049510723479335144</x:v>
      </x:c>
    </x:row>
    <x:row r="39" ht="38" customHeight="1">
      <x:c r="A39" s="2" t="str">
        <x:v>LX26B03</x:v>
      </x:c>
      <x:c r="B39" s="2" t="str">
        <x:v>2026-04-30</x:v>
      </x:c>
      <x:c r="C39" s="2" t="str">
        <x:v>day</x:v>
      </x:c>
      <x:c r="D39" s="10"/>
      <x:c r="E39" s="7" t="str">
        <x:v>广州地铁三号线男子向周围乘客喷辣椒水事件</x:v>
      </x:c>
      <x:c r="F39" s="2" t="str">
        <x:v>广东</x:v>
      </x:c>
      <x:c r="G39" s="2" t="str">
        <x:v>广州</x:v>
      </x:c>
      <x:c r="H39" s="2" t="str">
        <x:v>core</x:v>
      </x:c>
      <x:c r="I39" s="7" t="str">
        <x:v>媒体描述的现场影像显示向周边乘客持续喷洒，潇湘晨报、荔枝新闻及广东台亲历者采访相互补充，警方受访人员确认喷辣椒水且人已抓获；实际目标覆盖无关车厢乘客。</x:v>
      </x:c>
      <x:c r="J39" s="9"/>
      <x:c r="K39" s="9"/>
      <x:c r="L39" s="9"/>
      <x:c r="M39" s="9"/>
      <x:c r="N39" s="7" t="str">
        <x:v>采访反映多名乘客咳嗽、流泪或呕吐；人数与诊断未公布，不将症状描述转成精确伤者数。</x:v>
      </x:c>
      <x:c r="O39" s="7"/>
      <x:c r="P39" s="7"/>
      <x:c r="Q39" s="7" t="str">
        <x:v>LXS26B02；LXS26B03；LXS26B04</x:v>
      </x:c>
      <x:c r="R39" s="7" t="str"/>
    </x:row>
    <x:row r="40" ht="38" customHeight="1">
      <x:c r="A40" s="2" t="str">
        <x:v>C044</x:v>
      </x:c>
      <x:c r="B40" s="2" t="str">
        <x:v>2026-05-01</x:v>
      </x:c>
      <x:c r="C40" s="2" t="str">
        <x:v>day</x:v>
      </x:c>
      <x:c r="D40" s="10"/>
      <x:c r="E40" s="7" t="str">
        <x:v>成都剑南大道车辆连续碰撞事件</x:v>
      </x:c>
      <x:c r="F40" s="2" t="str">
        <x:v>四川</x:v>
      </x:c>
      <x:c r="G40" s="2" t="str">
        <x:v>成都</x:v>
      </x:c>
      <x:c r="H40" s="2" t="str">
        <x:v>pending</x:v>
      </x:c>
      <x:c r="I40" s="7" t="str">
        <x:v>警方初查称转弯事故后逃逸；另有原始目击者采访与中央社影像分析描述加速撞击多个路段的公众、倒车后再撞及取刀。两类证据对故意性存在冲突，不能仅凭事故标签排除；在完整轨迹、调查结果及动机关系未厘清前列待核。</x:v>
      </x:c>
      <x:c r="J40" s="9" t="n">
        <x:v>1</x:v>
      </x:c>
      <x:c r="K40" s="9"/>
      <x:c r="L40" s="9" t="n">
        <x:v>11</x:v>
      </x:c>
      <x:c r="M40" s="9"/>
      <x:c r="N40" s="7"/>
      <x:c r="O40" s="7"/>
      <x:c r="P40" s="7" t="str">
        <x:v>警方初查称转弯事故后逃逸；另有原始目击者采访与中央社影像分析描述加速撞击多个路段的公众、倒车后再撞及取刀。两类证据对故意性存在冲突，不能仅凭事故标签排除；在完整轨迹、调查结果及动机关系未厘清前列待核。</x:v>
      </x:c>
      <x:c r="Q40" s="7" t="str">
        <x:v>CS055；LXS26B23；LXS26B24；LXS26B31；LXS26B32</x:v>
      </x:c>
      <x:c r="R40" s="7" t="str">
        <x:v>https://x.com/whyyoutouzhele/status/2050186973680463941</x:v>
      </x:c>
    </x:row>
    <x:row r="41" ht="38" customHeight="1">
      <x:c r="A41" s="2" t="str">
        <x:v>C038</x:v>
      </x:c>
      <x:c r="B41" s="2" t="str">
        <x:v>2026-05-02</x:v>
      </x:c>
      <x:c r="C41" s="2" t="str">
        <x:v>day</x:v>
      </x:c>
      <x:c r="D41" s="10"/>
      <x:c r="E41" s="7" t="str">
        <x:v>柳州高新南路小区刑事案件</x:v>
      </x:c>
      <x:c r="F41" s="2" t="str">
        <x:v>广西</x:v>
      </x:c>
      <x:c r="G41" s="2" t="str">
        <x:v>柳州</x:v>
      </x:c>
      <x:c r="H41" s="2" t="str">
        <x:v>pending</x:v>
      </x:c>
      <x:c r="I41" s="7" t="str">
        <x:v>警方已确认刑案与死伤；新增记者访问居民仅有楼内发生及邻里纠纷的传闻，未核实具体被害关系和作案目标，无法判断定向案是否扩及无关者。</x:v>
      </x:c>
      <x:c r="J41" s="9" t="n">
        <x:v>3</x:v>
      </x:c>
      <x:c r="K41" s="9"/>
      <x:c r="L41" s="9" t="n">
        <x:v>1</x:v>
      </x:c>
      <x:c r="M41" s="9"/>
      <x:c r="N41" s="7" t="str">
        <x:v>通报4死中1人为有重大嫌疑者；暂单列嫌疑人死亡，非最终法院认定。</x:v>
      </x:c>
      <x:c r="O41" s="7"/>
      <x:c r="P41" s="7" t="str">
        <x:v>警方已确认刑案与死伤；新增记者访问居民仅有楼内发生及邻里纠纷的传闻，未核实具体被害关系和作案目标，无法判断定向案是否扩及无关者。</x:v>
      </x:c>
      <x:c r="Q41" s="7" t="str">
        <x:v>CS049；LXS26B14</x:v>
      </x:c>
      <x:c r="R41" s="7" t="str"/>
    </x:row>
    <x:row r="42" ht="38" customHeight="1">
      <x:c r="A42" s="2" t="str">
        <x:v>LX26B11</x:v>
      </x:c>
      <x:c r="B42" s="2" t="str">
        <x:v>2026-05-03</x:v>
      </x:c>
      <x:c r="C42" s="2" t="str">
        <x:v>day</x:v>
      </x:c>
      <x:c r="D42" s="10"/>
      <x:c r="E42" s="7" t="str">
        <x:v>网传平阳昆阳菜市场路段车辆碰撞多人事件</x:v>
      </x:c>
      <x:c r="F42" s="2" t="str">
        <x:v>浙江</x:v>
      </x:c>
      <x:c r="G42" s="2" t="str">
        <x:v>温州</x:v>
      </x:c>
      <x:c r="H42" s="2" t="str">
        <x:v>pending</x:v>
      </x:c>
      <x:c r="I42" s="7" t="str">
        <x:v>单一媒体记者访谈与网络视频可提供车辆碰撞线索；盗窃逃跑、失控事故及主动撞人说法未分清，缺官方结果及独立调查。</x:v>
      </x:c>
      <x:c r="J42" s="9"/>
      <x:c r="K42" s="9"/>
      <x:c r="L42" s="9"/>
      <x:c r="M42" s="9"/>
      <x:c r="N42" s="7"/>
      <x:c r="O42" s="7"/>
      <x:c r="P42" s="7" t="str">
        <x:v>单一媒体记者访谈与网络视频可提供车辆碰撞线索；盗窃逃跑、失控事故及主动撞人说法未分清，缺官方结果及独立调查。</x:v>
      </x:c>
      <x:c r="Q42" s="7" t="str">
        <x:v>LXS26B14</x:v>
      </x:c>
      <x:c r="R42" s="7" t="str"/>
    </x:row>
    <x:row r="43" ht="38" customHeight="1">
      <x:c r="A43" s="2" t="str">
        <x:v>C029</x:v>
      </x:c>
      <x:c r="B43" s="2" t="str">
        <x:v>2026-05-19</x:v>
      </x:c>
      <x:c r="C43" s="2" t="str">
        <x:v>day</x:v>
      </x:c>
      <x:c r="D43" s="10"/>
      <x:c r="E43" s="7" t="str">
        <x:v>上海环球金融中心日本料理店持刀伤人案</x:v>
      </x:c>
      <x:c r="F43" s="2" t="str">
        <x:v>上海</x:v>
      </x:c>
      <x:c r="G43" s="2" t="str">
        <x:v>上海</x:v>
      </x:c>
      <x:c r="H43" s="2" t="str">
        <x:v>pending</x:v>
      </x:c>
      <x:c r="I43" s="7" t="str">
        <x:v>官方确认男子闯入餐厅持刀伤3人；尚缺其与伤者是否认识、是否因特定纠纷以及选择对象过程的材料。公开餐厅场景与精神障碍史不能单独证明随机性。</x:v>
      </x:c>
      <x:c r="J43" s="9" t="n">
        <x:v>0</x:v>
      </x:c>
      <x:c r="K43" s="9"/>
      <x:c r="L43" s="9" t="n">
        <x:v>3</x:v>
      </x:c>
      <x:c r="M43" s="9"/>
      <x:c r="N43" s="7"/>
      <x:c r="O43" s="7"/>
      <x:c r="P43" s="7" t="str">
        <x:v>官方确认男子闯入餐厅持刀伤3人；尚缺其与伤者是否认识、是否因特定纠纷以及选择对象过程的材料。公开餐厅场景与精神障碍史不能单独证明随机性。</x:v>
      </x:c>
      <x:c r="Q43" s="7" t="str">
        <x:v>CS039；CS040</x:v>
      </x:c>
      <x:c r="R43" s="7" t="str"/>
    </x:row>
    <x:row r="44" ht="38" customHeight="1">
      <x:c r="A44" s="2" t="str">
        <x:v>LX26B16</x:v>
      </x:c>
      <x:c r="B44" s="2" t="str">
        <x:v>2026-06</x:v>
      </x:c>
      <x:c r="C44" s="2" t="str">
        <x:v>month</x:v>
      </x:c>
      <x:c r="D44" s="10"/>
      <x:c r="E44" s="7" t="str">
        <x:v>网传随州大润发路段车辆冲撞线索</x:v>
      </x:c>
      <x:c r="F44" s="2" t="str">
        <x:v>湖北</x:v>
      </x:c>
      <x:c r="G44" s="2" t="str">
        <x:v>随州</x:v>
      </x:c>
      <x:c r="H44" s="2" t="str">
        <x:v>pending</x:v>
      </x:c>
      <x:c r="I44" s="7" t="str">
        <x:v>8月评论文章回顾6月事件时仅作简短提及，没有具体日期、采访或原始帖文；发生及主动性都未核实。</x:v>
      </x:c>
      <x:c r="J44" s="9"/>
      <x:c r="K44" s="9"/>
      <x:c r="L44" s="9"/>
      <x:c r="M44" s="9"/>
      <x:c r="N44" s="7"/>
      <x:c r="O44" s="7"/>
      <x:c r="P44" s="7" t="str">
        <x:v>8月评论文章回顾6月事件时仅作简短提及，没有具体日期、采访或原始帖文；发生及主动性都未核实。</x:v>
      </x:c>
      <x:c r="Q44" s="7" t="str">
        <x:v>LXS26B19</x:v>
      </x:c>
      <x:c r="R44" s="7" t="str"/>
    </x:row>
    <x:row r="45" ht="38" customHeight="1">
      <x:c r="A45" s="2" t="str">
        <x:v>LX26B17</x:v>
      </x:c>
      <x:c r="B45" s="2" t="str">
        <x:v>2026-06</x:v>
      </x:c>
      <x:c r="C45" s="2" t="str">
        <x:v>month</x:v>
      </x:c>
      <x:c r="D45" s="10"/>
      <x:c r="E45" s="7" t="str">
        <x:v>网传漯河车辆连续碰撞线索</x:v>
      </x:c>
      <x:c r="F45" s="2" t="str">
        <x:v>河南</x:v>
      </x:c>
      <x:c r="G45" s="2" t="str">
        <x:v>漯河</x:v>
      </x:c>
      <x:c r="H45" s="2" t="str">
        <x:v>pending</x:v>
      </x:c>
      <x:c r="I45" s="7" t="str">
        <x:v>仅一篇评论文章笼统回顾6月漯河连环撞击，缺地点、具体日期及可验证的原始记录；不足以认定主动袭击。</x:v>
      </x:c>
      <x:c r="J45" s="9"/>
      <x:c r="K45" s="9"/>
      <x:c r="L45" s="9"/>
      <x:c r="M45" s="9"/>
      <x:c r="N45" s="7"/>
      <x:c r="O45" s="7"/>
      <x:c r="P45" s="7" t="str">
        <x:v>仅一篇评论文章笼统回顾6月漯河连环撞击，缺地点、具体日期及可验证的原始记录；不足以认定主动袭击。</x:v>
      </x:c>
      <x:c r="Q45" s="7" t="str">
        <x:v>LXS26B19</x:v>
      </x:c>
      <x:c r="R45" s="7" t="str"/>
    </x:row>
    <x:row r="46" ht="38" customHeight="1">
      <x:c r="A46" s="2" t="str">
        <x:v>LX26B08</x:v>
      </x:c>
      <x:c r="B46" s="2" t="str">
        <x:v>2026-06-05</x:v>
      </x:c>
      <x:c r="C46" s="2" t="str">
        <x:v>day</x:v>
      </x:c>
      <x:c r="D46" s="10"/>
      <x:c r="E46" s="7" t="str">
        <x:v>重庆巴南高校同事矛盾定向持刀杀人案</x:v>
      </x:c>
      <x:c r="F46" s="2" t="str">
        <x:v>重庆</x:v>
      </x:c>
      <x:c r="G46" s="2" t="str">
        <x:v>重庆</x:v>
      </x:c>
      <x:c r="H46" s="2" t="str">
        <x:v>excluded</x:v>
      </x:c>
      <x:c r="I46" s="7" t="str">
        <x:v>警方通报经媒体完整转述，认定同事矛盾引发特定对象袭击；没有向其他无关人员扩展的证据。</x:v>
      </x:c>
      <x:c r="J46" s="9" t="n">
        <x:v>1</x:v>
      </x:c>
      <x:c r="K46" s="9"/>
      <x:c r="L46" s="9"/>
      <x:c r="M46" s="9"/>
      <x:c r="N46" s="7"/>
      <x:c r="O46" s="7"/>
      <x:c r="P46" s="7"/>
      <x:c r="Q46" s="7" t="str">
        <x:v>LXS26B09</x:v>
      </x:c>
      <x:c r="R46" s="7" t="str"/>
    </x:row>
    <x:row r="47" ht="38" customHeight="1">
      <x:c r="A47" s="2" t="str">
        <x:v>LX26B09</x:v>
      </x:c>
      <x:c r="B47" s="2" t="str">
        <x:v>2026-06-11</x:v>
      </x:c>
      <x:c r="C47" s="2" t="str">
        <x:v>day</x:v>
      </x:c>
      <x:c r="D47" s="10"/>
      <x:c r="E47" s="7" t="str">
        <x:v>兴安灵湘路爆炸事件</x:v>
      </x:c>
      <x:c r="F47" s="2" t="str">
        <x:v>广西</x:v>
      </x:c>
      <x:c r="G47" s="2" t="str">
        <x:v>桂林</x:v>
      </x:c>
      <x:c r="H47" s="2" t="str">
        <x:v>pending</x:v>
      </x:c>
      <x:c r="I47" s="7" t="str">
        <x:v>官方确认爆炸和死伤，但未公布爆炸成因、是否人为及目标选择；商铺纠纷或报复社会等互相冲突的网传动机均未核实。</x:v>
      </x:c>
      <x:c r="J47" s="9" t="n">
        <x:v>7</x:v>
      </x:c>
      <x:c r="K47" s="9"/>
      <x:c r="L47" s="9"/>
      <x:c r="M47" s="9" t="n">
        <x:v>17</x:v>
      </x:c>
      <x:c r="N47" s="7" t="str">
        <x:v>官方称7人死亡、17人送医；另有未计数轻伤人员，故17仅作为伤者下限，不写成完整受伤总数。</x:v>
      </x:c>
      <x:c r="O47" s="7"/>
      <x:c r="P47" s="7" t="str">
        <x:v>官方确认爆炸和死伤，但未公布爆炸成因、是否人为及目标选择；商铺纠纷或报复社会等互相冲突的网传动机均未核实。</x:v>
      </x:c>
      <x:c r="Q47" s="7" t="str">
        <x:v>LXS26B10；LXS26B11</x:v>
      </x:c>
      <x:c r="R47" s="7" t="str"/>
    </x:row>
    <x:row r="48" ht="38" customHeight="1">
      <x:c r="A48" s="2" t="str">
        <x:v>LX26B20</x:v>
      </x:c>
      <x:c r="B48" s="2" t="str">
        <x:v>2026-06-15</x:v>
      </x:c>
      <x:c r="C48" s="2" t="str">
        <x:v>day</x:v>
      </x:c>
      <x:c r="D48" s="10"/>
      <x:c r="E48" s="7" t="str">
        <x:v>如东倒车操作不当冲撞丧事现场事故</x:v>
      </x:c>
      <x:c r="F48" s="2" t="str">
        <x:v>江苏</x:v>
      </x:c>
      <x:c r="G48" s="2" t="str">
        <x:v>南通</x:v>
      </x:c>
      <x:c r="H48" s="2" t="str">
        <x:v>excluded</x:v>
      </x:c>
      <x:c r="I48" s="7" t="str">
        <x:v>政府通报明确系倒车操作不当造成，未有主动攻击人群证据。</x:v>
      </x:c>
      <x:c r="J48" s="9" t="n">
        <x:v>1</x:v>
      </x:c>
      <x:c r="K48" s="9"/>
      <x:c r="L48" s="9" t="n">
        <x:v>7</x:v>
      </x:c>
      <x:c r="M48" s="9"/>
      <x:c r="N48" s="7" t="str">
        <x:v>截至当日18时1死7伤，其中1人伤势较重；未将伤势较重当作重伤鉴定。</x:v>
      </x:c>
      <x:c r="O48" s="7"/>
      <x:c r="P48" s="7"/>
      <x:c r="Q48" s="7" t="str">
        <x:v>LXS26B29</x:v>
      </x:c>
      <x:c r="R48" s="7" t="str"/>
    </x:row>
    <x:row r="49" ht="38" customHeight="1">
      <x:c r="A49" s="2" t="str">
        <x:v>LX26B21</x:v>
      </x:c>
      <x:c r="B49" s="2" t="str">
        <x:v>2026-06-15</x:v>
      </x:c>
      <x:c r="C49" s="2" t="str">
        <x:v>day</x:v>
      </x:c>
      <x:c r="D49" s="10"/>
      <x:c r="E49" s="7" t="str">
        <x:v>灌南醉驾碰撞环卫工人交通事故</x:v>
      </x:c>
      <x:c r="F49" s="2" t="str">
        <x:v>江苏</x:v>
      </x:c>
      <x:c r="G49" s="2" t="str">
        <x:v>连云港</x:v>
      </x:c>
      <x:c r="H49" s="2" t="str">
        <x:v>excluded</x:v>
      </x:c>
      <x:c r="I49" s="7" t="str">
        <x:v>警方通报为醉酒驾驶导致道路交通事故，未见蓄意袭击公众的证据。</x:v>
      </x:c>
      <x:c r="J49" s="9" t="n">
        <x:v>2</x:v>
      </x:c>
      <x:c r="K49" s="9"/>
      <x:c r="L49" s="9" t="n">
        <x:v>1</x:v>
      </x:c>
      <x:c r="M49" s="9"/>
      <x:c r="N49" s="7" t="str">
        <x:v>两名环卫工死亡，受伤1人为肇事车辆同车人员；分别说明身份以免误当行人伤者。</x:v>
      </x:c>
      <x:c r="O49" s="7"/>
      <x:c r="P49" s="7"/>
      <x:c r="Q49" s="7" t="str">
        <x:v>LXS26B30</x:v>
      </x:c>
      <x:c r="R49" s="7" t="str"/>
    </x:row>
    <x:row r="50" ht="38" customHeight="1">
      <x:c r="A50" s="2" t="str">
        <x:v>LX26B06</x:v>
      </x:c>
      <x:c r="B50" s="2" t="str">
        <x:v>2026-06-19</x:v>
      </x:c>
      <x:c r="C50" s="2" t="str">
        <x:v>day</x:v>
      </x:c>
      <x:c r="D50" s="10"/>
      <x:c r="E50" s="7" t="str">
        <x:v>网传无锡车展模特遭持刀袭击事件</x:v>
      </x:c>
      <x:c r="F50" s="2" t="str">
        <x:v>江苏</x:v>
      </x:c>
      <x:c r="G50" s="2" t="str">
        <x:v>无锡</x:v>
      </x:c>
      <x:c r="H50" s="2" t="str">
        <x:v>pending</x:v>
      </x:c>
      <x:c r="I50" s="7" t="str">
        <x:v>可检出的李老师帖文镜像摘要称车展发生持刀袭击，但原帖不可读、镜像正文访问失败，尚缺独立发生验证和袭击者与受害者关系。</x:v>
      </x:c>
      <x:c r="J50" s="9"/>
      <x:c r="K50" s="9"/>
      <x:c r="L50" s="9"/>
      <x:c r="M50" s="9"/>
      <x:c r="N50" s="7"/>
      <x:c r="O50" s="7"/>
      <x:c r="P50" s="7" t="str">
        <x:v>可检出的李老师帖文镜像摘要称车展发生持刀袭击，但原帖不可读、镜像正文访问失败，尚缺独立发生验证和袭击者与受害者关系。</x:v>
      </x:c>
      <x:c r="Q50" s="7" t="str">
        <x:v>LXS26B06；LXS26B07</x:v>
      </x:c>
      <x:c r="R50" s="7" t="str">
        <x:v>https://x.com/whyyoutouzhele/status/2068635036157644991</x:v>
      </x:c>
    </x:row>
    <x:row r="51" ht="38" customHeight="1">
      <x:c r="A51" s="2" t="str">
        <x:v>LX26B10</x:v>
      </x:c>
      <x:c r="B51" s="2" t="str">
        <x:v>2026-06-19</x:v>
      </x:c>
      <x:c r="C51" s="2" t="str">
        <x:v>day</x:v>
      </x:c>
      <x:c r="D51" s="10"/>
      <x:c r="E51" s="7" t="str">
        <x:v>郑州宏达国际车业广场经营纠纷放火案</x:v>
      </x:c>
      <x:c r="F51" s="2" t="str">
        <x:v>河南</x:v>
      </x:c>
      <x:c r="G51" s="2" t="str">
        <x:v>郑州</x:v>
      </x:c>
      <x:c r="H51" s="2" t="str">
        <x:v>pending</x:v>
      </x:c>
      <x:c r="I51" s="7" t="str">
        <x:v>7月22日警方确认因经营纠纷纵火，但未披露死伤者与嫌疑人关系、原纠纷目标和起火时人员分布；商场受损及多人死伤本身不足以证明攻击无关公众。</x:v>
      </x:c>
      <x:c r="J51" s="9" t="n">
        <x:v>2</x:v>
      </x:c>
      <x:c r="K51" s="9"/>
      <x:c r="L51" s="9" t="n">
        <x:v>2</x:v>
      </x:c>
      <x:c r="M51" s="9"/>
      <x:c r="N51" s="7"/>
      <x:c r="O51" s="7"/>
      <x:c r="P51" s="7" t="str">
        <x:v>7月22日警方确认因经营纠纷纵火，但未披露死伤者与嫌疑人关系、原纠纷目标和起火时人员分布；商场受损及多人死伤本身不足以证明攻击无关公众。</x:v>
      </x:c>
      <x:c r="Q51" s="7" t="str">
        <x:v>LXS26B12；LXS26B13</x:v>
      </x:c>
      <x:c r="R51" s="7" t="str"/>
    </x:row>
    <x:row r="52" ht="38" customHeight="1">
      <x:c r="A52" s="2" t="str">
        <x:v>LX26B22</x:v>
      </x:c>
      <x:c r="B52" s="2" t="str">
        <x:v>2026-06-26</x:v>
      </x:c>
      <x:c r="C52" s="2" t="str">
        <x:v>day</x:v>
      </x:c>
      <x:c r="D52" s="10"/>
      <x:c r="E52" s="7" t="str">
        <x:v>网传天津津南广场附近持刀斗殴线索</x:v>
      </x:c>
      <x:c r="F52" s="2" t="str">
        <x:v>天津</x:v>
      </x:c>
      <x:c r="G52" s="2" t="str">
        <x:v>天津</x:v>
      </x:c>
      <x:c r="H52" s="2" t="str">
        <x:v>pending</x:v>
      </x:c>
      <x:c r="I52" s="7" t="str">
        <x:v>单一社媒帖文描述多人相互冲突及疑似持刀，没有独立发生验证，也未说明是否涉及原纠纷之外的旁人。</x:v>
      </x:c>
      <x:c r="J52" s="9"/>
      <x:c r="K52" s="9"/>
      <x:c r="L52" s="9"/>
      <x:c r="M52" s="9"/>
      <x:c r="N52" s="7"/>
      <x:c r="O52" s="7"/>
      <x:c r="P52" s="7" t="str">
        <x:v>单一社媒帖文描述多人相互冲突及疑似持刀，没有独立发生验证，也未说明是否涉及原纠纷之外的旁人。</x:v>
      </x:c>
      <x:c r="Q52" s="7" t="str">
        <x:v>LXS26B33</x:v>
      </x:c>
      <x:c r="R52" s="7" t="str">
        <x:v>https://x.com/whyyoutouzhele/status/2070839570053095833</x:v>
      </x:c>
    </x:row>
    <x:row r="53" ht="38" customHeight="1">
      <x:c r="A53" s="2" t="str">
        <x:v>LX26B23</x:v>
      </x:c>
      <x:c r="B53" s="2" t="str">
        <x:v>2026-06-26</x:v>
      </x:c>
      <x:c r="C53" s="2" t="str">
        <x:v>day</x:v>
      </x:c>
      <x:c r="D53" s="10"/>
      <x:c r="E53" s="7" t="str">
        <x:v>北京中信大厦轻型飞机撞楼事件</x:v>
      </x:c>
      <x:c r="F53" s="2" t="str">
        <x:v>北京</x:v>
      </x:c>
      <x:c r="G53" s="2" t="str">
        <x:v>北京</x:v>
      </x:c>
      <x:c r="H53" s="2" t="str">
        <x:v>pending</x:v>
      </x:c>
      <x:c r="I53" s="7" t="str">
        <x:v>官方确认危害公共安全案件并披露自杀意念，未充分说明驾驶者是否主动以楼内公众为攻击对象。自杀故意不等于伤人故意，保留待核。</x:v>
      </x:c>
      <x:c r="J53" s="9" t="n">
        <x:v>0</x:v>
      </x:c>
      <x:c r="K53" s="9"/>
      <x:c r="L53" s="9" t="n">
        <x:v>13</x:v>
      </x:c>
      <x:c r="M53" s="9"/>
      <x:c r="N53" s="7" t="str">
        <x:v>官方公布唯一死亡者为驾驶员，单列在行为人死亡字段；其余现场13人受伤。行为人是否构成主动袭击者仍待分类核实。</x:v>
      </x:c>
      <x:c r="O53" s="7"/>
      <x:c r="P53" s="7" t="str">
        <x:v>官方确认危害公共安全案件并披露自杀意念，未充分说明驾驶者是否主动以楼内公众为攻击对象。自杀故意不等于伤人故意，保留待核。</x:v>
      </x:c>
      <x:c r="Q53" s="7" t="str">
        <x:v>LXS26B34；LXS26B35；LXS26B36</x:v>
      </x:c>
      <x:c r="R53" s="7" t="str">
        <x:v>https://x.com/whyyoutouzhele/status/2070491014016520660</x:v>
      </x:c>
    </x:row>
    <x:row r="54" ht="38" customHeight="1">
      <x:c r="A54" s="2" t="str">
        <x:v>LX26B24</x:v>
      </x:c>
      <x:c r="B54" s="2" t="str">
        <x:v>2026-06-27</x:v>
      </x:c>
      <x:c r="C54" s="2" t="str">
        <x:v>day</x:v>
      </x:c>
      <x:c r="D54" s="10"/>
      <x:c r="E54" s="7" t="str">
        <x:v>网传寿县京师幼儿园遭袭线索</x:v>
      </x:c>
      <x:c r="F54" s="2" t="str">
        <x:v>安徽</x:v>
      </x:c>
      <x:c r="G54" s="2" t="str">
        <x:v>淮南</x:v>
      </x:c>
      <x:c r="H54" s="2" t="str">
        <x:v>pending</x:v>
      </x:c>
      <x:c r="I54" s="7" t="str">
        <x:v>只检出论坛标题，发生本身、作案方式、伤亡和受害对象均不可核实；学校名称不能代替发生或随机性证据。</x:v>
      </x:c>
      <x:c r="J54" s="9"/>
      <x:c r="K54" s="9"/>
      <x:c r="L54" s="9"/>
      <x:c r="M54" s="9"/>
      <x:c r="N54" s="7"/>
      <x:c r="O54" s="7"/>
      <x:c r="P54" s="7" t="str">
        <x:v>只检出论坛标题，发生本身、作案方式、伤亡和受害对象均不可核实；学校名称不能代替发生或随机性证据。</x:v>
      </x:c>
      <x:c r="Q54" s="7" t="str">
        <x:v>LXS26B37</x:v>
      </x:c>
      <x:c r="R54" s="7" t="str"/>
    </x:row>
    <x:row r="55" ht="38" customHeight="1">
      <x:c r="A55" s="2" t="str">
        <x:v>LX26B07</x:v>
      </x:c>
      <x:c r="B55" s="2" t="str">
        <x:v>2026-06-28</x:v>
      </x:c>
      <x:c r="C55" s="2" t="str">
        <x:v>day</x:v>
      </x:c>
      <x:c r="D55" s="10"/>
      <x:c r="E55" s="7" t="str">
        <x:v>网传滕州和馨园及世茂商城附近持刀伤人线索</x:v>
      </x:c>
      <x:c r="F55" s="2" t="str">
        <x:v>山东</x:v>
      </x:c>
      <x:c r="G55" s="2" t="str">
        <x:v>枣庄</x:v>
      </x:c>
      <x:c r="H55" s="2" t="str">
        <x:v>pending</x:v>
      </x:c>
      <x:c r="I55" s="7" t="str">
        <x:v>报道仅汇总网传影像和说法，家庭纠纷、继续攻击街头旁人及伤亡均没有独立证实；缺足以确定是否同一连续案件的证据。</x:v>
      </x:c>
      <x:c r="J55" s="9"/>
      <x:c r="K55" s="9"/>
      <x:c r="L55" s="9"/>
      <x:c r="M55" s="9"/>
      <x:c r="N55" s="7"/>
      <x:c r="O55" s="7"/>
      <x:c r="P55" s="7" t="str">
        <x:v>报道仅汇总网传影像和说法，家庭纠纷、继续攻击街头旁人及伤亡均没有独立证实；缺足以确定是否同一连续案件的证据。</x:v>
      </x:c>
      <x:c r="Q55" s="7" t="str">
        <x:v>LXS26B08</x:v>
      </x:c>
      <x:c r="R55" s="7" t="str"/>
    </x:row>
    <x:row r="56" ht="38" customHeight="1">
      <x:c r="A56" s="2" t="str">
        <x:v>LX26C08</x:v>
      </x:c>
      <x:c r="B56" s="2" t="str">
        <x:v>2026-07-09</x:v>
      </x:c>
      <x:c r="C56" s="2" t="str">
        <x:v>day</x:v>
      </x:c>
      <x:c r="D56" s="10"/>
      <x:c r="E56" s="7" t="str">
        <x:v>晋江辉腾鞋业厂房火灾及纵火传言</x:v>
      </x:c>
      <x:c r="F56" s="2" t="str">
        <x:v>福建</x:v>
      </x:c>
      <x:c r="G56" s="2" t="str">
        <x:v>泉州</x:v>
      </x:c>
      <x:c r="H56" s="2" t="str">
        <x:v>pending</x:v>
      </x:c>
      <x:c r="I56" s="7" t="str">
        <x:v>政府发布会确认重大厂房火灾及伤亡，但起火原因尚未查清；网上纵火／报复说法缺少可验证行为人、起火过程或调查结论。只列待核火灾线索。</x:v>
      </x:c>
      <x:c r="J56" s="9" t="n">
        <x:v>28</x:v>
      </x:c>
      <x:c r="K56" s="9"/>
      <x:c r="L56" s="9"/>
      <x:c r="M56" s="9"/>
      <x:c r="N56" s="7" t="str">
        <x:v>28名死者包含送医后不治的2人，未另列受伤存活者人数；不采用社媒夸大数字。</x:v>
      </x:c>
      <x:c r="O56" s="7"/>
      <x:c r="P56" s="7" t="str">
        <x:v>政府发布会确认重大厂房火灾及伤亡，但起火原因尚未查清；网上纵火／报复说法缺少可验证行为人、起火过程或调查结论。只列待核火灾线索。</x:v>
      </x:c>
      <x:c r="Q56" s="7" t="str">
        <x:v>LXS26C18；LXS26C20</x:v>
      </x:c>
      <x:c r="R56" s="7" t="str"/>
    </x:row>
    <x:row r="57" ht="38" customHeight="1">
      <x:c r="A57" s="2" t="str">
        <x:v>LX26C01</x:v>
      </x:c>
      <x:c r="B57" s="2" t="str">
        <x:v>2026-07-11</x:v>
      </x:c>
      <x:c r="C57" s="2" t="str">
        <x:v>day</x:v>
      </x:c>
      <x:c r="D57" s="10"/>
      <x:c r="E57" s="7" t="str">
        <x:v>网传厦门东浦路持刀伤人事件</x:v>
      </x:c>
      <x:c r="F57" s="2" t="str">
        <x:v>福建</x:v>
      </x:c>
      <x:c r="G57" s="2" t="str">
        <x:v>厦门</x:v>
      </x:c>
      <x:c r="H57" s="2" t="str">
        <x:v>pending</x:v>
      </x:c>
      <x:c r="I57" s="7" t="str">
        <x:v>只有网络影像汇编可见；影像拍摄日期、袭击经过、攻击对象关系和伤亡均无官方或独立采集材料印证。</x:v>
      </x:c>
      <x:c r="J57" s="9"/>
      <x:c r="K57" s="9"/>
      <x:c r="L57" s="9"/>
      <x:c r="M57" s="9"/>
      <x:c r="N57" s="7" t="str">
        <x:v>不采用网传死亡或多人行凶人数。</x:v>
      </x:c>
      <x:c r="O57" s="7"/>
      <x:c r="P57" s="7" t="str">
        <x:v>只有网络影像汇编可见；影像拍摄日期、袭击经过、攻击对象关系和伤亡均无官方或独立采集材料印证。</x:v>
      </x:c>
      <x:c r="Q57" s="7" t="str">
        <x:v>LXS26C08</x:v>
      </x:c>
      <x:c r="R57" s="7" t="str"/>
    </x:row>
    <x:row r="58" ht="38" customHeight="1">
      <x:c r="A58" s="2" t="str">
        <x:v>C028</x:v>
      </x:c>
      <x:c r="B58" s="2" t="str">
        <x:v>2026-07-13</x:v>
      </x:c>
      <x:c r="C58" s="2" t="str">
        <x:v>day</x:v>
      </x:c>
      <x:c r="D58" s="10"/>
      <x:c r="E58" s="7" t="str">
        <x:v>杭州钱塘甜品店门口持刀杀人案</x:v>
      </x:c>
      <x:c r="F58" s="2" t="str">
        <x:v>浙江</x:v>
      </x:c>
      <x:c r="G58" s="2" t="str">
        <x:v>杭州</x:v>
      </x:c>
      <x:c r="H58" s="2" t="str">
        <x:v>pending</x:v>
      </x:c>
      <x:c r="I58" s="7" t="str">
        <x:v>确认店主遇害，但双方关系与攻击选择机制未披露；暂不能认定随机或特定纠纷。</x:v>
      </x:c>
      <x:c r="J58" s="9" t="n">
        <x:v>1</x:v>
      </x:c>
      <x:c r="K58" s="9"/>
      <x:c r="L58" s="9"/>
      <x:c r="M58" s="9"/>
      <x:c r="N58" s="7" t="str">
        <x:v>警方确认甜品店店主死亡1人；未单列其他非致命伤人数，injured由0改为null。</x:v>
      </x:c>
      <x:c r="O58" s="7"/>
      <x:c r="P58" s="7" t="str">
        <x:v>确认店主遇害，但双方关系与攻击选择机制未披露；暂不能认定随机或特定纠纷。</x:v>
      </x:c>
      <x:c r="Q58" s="7" t="str">
        <x:v>CS038；LXS26C08</x:v>
      </x:c>
      <x:c r="R58" s="7" t="str"/>
    </x:row>
    <x:row r="59" ht="38" customHeight="1">
      <x:c r="A59" s="2" t="str">
        <x:v>LX26C15</x:v>
      </x:c>
      <x:c r="B59" s="2" t="str">
        <x:v>2026-07-14</x:v>
      </x:c>
      <x:c r="C59" s="2" t="str">
        <x:v>day</x:v>
      </x:c>
      <x:c r="D59" s="10"/>
      <x:c r="E59" s="7" t="str">
        <x:v>漳州古雷新港城拾荒老人被殴打案</x:v>
      </x:c>
      <x:c r="F59" s="2" t="str">
        <x:v>福建</x:v>
      </x:c>
      <x:c r="G59" s="2" t="str">
        <x:v>漳州</x:v>
      </x:c>
      <x:c r="H59" s="2" t="str">
        <x:v>pending</x:v>
      </x:c>
      <x:c r="I59" s="7" t="str">
        <x:v>警方确认殴打及一名伤者；尚无可读材料说明施暴者与老人此前关系、起因及选择机制，不能仅因老人弱势而认定随机。</x:v>
      </x:c>
      <x:c r="J59" s="9"/>
      <x:c r="K59" s="9"/>
      <x:c r="L59" s="9" t="n">
        <x:v>1</x:v>
      </x:c>
      <x:c r="M59" s="9"/>
      <x:c r="N59" s="7" t="str">
        <x:v>警方称伤情稳定，未给法定重伤鉴定。</x:v>
      </x:c>
      <x:c r="O59" s="7"/>
      <x:c r="P59" s="7" t="str">
        <x:v>警方确认殴打及一名伤者；尚无可读材料说明施暴者与老人此前关系、起因及选择机制，不能仅因老人弱势而认定随机。</x:v>
      </x:c>
      <x:c r="Q59" s="7" t="str">
        <x:v>LXS26C26</x:v>
      </x:c>
      <x:c r="R59" s="7" t="str"/>
    </x:row>
    <x:row r="60" ht="38" customHeight="1">
      <x:c r="A60" s="2" t="str">
        <x:v>LX26C10</x:v>
      </x:c>
      <x:c r="B60" s="2" t="str">
        <x:v>2026-07-15</x:v>
      </x:c>
      <x:c r="C60" s="2" t="str">
        <x:v>day</x:v>
      </x:c>
      <x:c r="D60" s="10"/>
      <x:c r="E60" s="7" t="str">
        <x:v>莆田灵川镇烟花爆竹仓库纵火线索</x:v>
      </x:c>
      <x:c r="F60" s="2" t="str">
        <x:v>福建</x:v>
      </x:c>
      <x:c r="G60" s="2" t="str">
        <x:v>莆田</x:v>
      </x:c>
      <x:c r="H60" s="2" t="str">
        <x:v>pending</x:v>
      </x:c>
      <x:c r="I60" s="7" t="str">
        <x:v>新京报采访部门称人为纵火，但本轮只读取到搜索缓存完整短稿，原文访问失败；是否以现场人员或无关公众为攻击对象亦不明，暂列待核。</x:v>
      </x:c>
      <x:c r="J60" s="9" t="n">
        <x:v>0</x:v>
      </x:c>
      <x:c r="K60" s="9"/>
      <x:c r="L60" s="9" t="n">
        <x:v>0</x:v>
      </x:c>
      <x:c r="M60" s="9"/>
      <x:c r="N60" s="7" t="str">
        <x:v>缓存稿引当地政府称无人员伤亡；需在可访问正文再次核对。</x:v>
      </x:c>
      <x:c r="O60" s="7"/>
      <x:c r="P60" s="7" t="str">
        <x:v>新京报采访部门称人为纵火，但本轮只读取到搜索缓存完整短稿，原文访问失败；是否以现场人员或无关公众为攻击对象亦不明，暂列待核。</x:v>
      </x:c>
      <x:c r="Q60" s="7" t="str">
        <x:v>LXS26C21</x:v>
      </x:c>
      <x:c r="R60" s="7" t="str"/>
    </x:row>
    <x:row r="61" ht="38" customHeight="1">
      <x:c r="A61" s="2" t="str">
        <x:v>LX26C09</x:v>
      </x:c>
      <x:c r="B61" s="2" t="str">
        <x:v>2026-07-16</x:v>
      </x:c>
      <x:c r="C61" s="2" t="str">
        <x:v>day</x:v>
      </x:c>
      <x:c r="D61" s="10"/>
      <x:c r="E61" s="7" t="str">
        <x:v>晋江池店唐厝废品收购站火灾及纵火传言</x:v>
      </x:c>
      <x:c r="F61" s="2" t="str">
        <x:v>福建</x:v>
      </x:c>
      <x:c r="G61" s="2" t="str">
        <x:v>泉州</x:v>
      </x:c>
      <x:c r="H61" s="2" t="str">
        <x:v>pending</x:v>
      </x:c>
      <x:c r="I61" s="7" t="str">
        <x:v>官方可确认废品站火灾；将其称工厂遭报复的社交说法未给可查证纵火证据，主动袭击性质未知。</x:v>
      </x:c>
      <x:c r="J61" s="9" t="n">
        <x:v>0</x:v>
      </x:c>
      <x:c r="K61" s="9"/>
      <x:c r="L61" s="9" t="n">
        <x:v>0</x:v>
      </x:c>
      <x:c r="M61" s="9"/>
      <x:c r="N61" s="7" t="str">
        <x:v>仅初报“暂无人员被困或受伤”，非最终事故结案人数。</x:v>
      </x:c>
      <x:c r="O61" s="7"/>
      <x:c r="P61" s="7" t="str">
        <x:v>官方可确认废品站火灾；将其称工厂遭报复的社交说法未给可查证纵火证据，主动袭击性质未知。</x:v>
      </x:c>
      <x:c r="Q61" s="7" t="str">
        <x:v>LXS26C19；LXS26C20</x:v>
      </x:c>
      <x:c r="R61" s="7" t="str"/>
    </x:row>
    <x:row r="62" ht="38" customHeight="1">
      <x:c r="A62" s="2" t="str">
        <x:v>LX26C05</x:v>
      </x:c>
      <x:c r="B62" s="2" t="str">
        <x:v>2026-07-17</x:v>
      </x:c>
      <x:c r="C62" s="2" t="str">
        <x:v>day</x:v>
      </x:c>
      <x:c r="D62" s="10"/>
      <x:c r="E62" s="7" t="str">
        <x:v>湖南平江老城区店铺纵火案</x:v>
      </x:c>
      <x:c r="F62" s="2" t="str">
        <x:v>湖南</x:v>
      </x:c>
      <x:c r="G62" s="2" t="str">
        <x:v>岳阳</x:v>
      </x:c>
      <x:c r="H62" s="2" t="str">
        <x:v>pending</x:v>
      </x:c>
      <x:c r="I62" s="7" t="str">
        <x:v>警方确认店主纠纷引发纵火并造成店内两人死亡；通报未说明两人与原纠纷关系。儿女被害说法仅有网传，尚不足确认扩及无关人员。</x:v>
      </x:c>
      <x:c r="J62" s="9" t="n">
        <x:v>2</x:v>
      </x:c>
      <x:c r="K62" s="9"/>
      <x:c r="L62" s="9"/>
      <x:c r="M62" s="9"/>
      <x:c r="N62" s="7" t="str">
        <x:v>两名店内死者与一名纵火嫌疑人分列，不能把总死亡3人当作受害者死亡3人；未给非致命伤人数。</x:v>
      </x:c>
      <x:c r="O62" s="7"/>
      <x:c r="P62" s="7" t="str">
        <x:v>警方确认店主纠纷引发纵火并造成店内两人死亡；通报未说明两人与原纠纷关系。儿女被害说法仅有网传，尚不足确认扩及无关人员。</x:v>
      </x:c>
      <x:c r="Q62" s="7" t="str">
        <x:v>LXS26C14；LXS26C34</x:v>
      </x:c>
      <x:c r="R62" s="7" t="str"/>
    </x:row>
    <x:row r="63" ht="38" customHeight="1">
      <x:c r="A63" s="2" t="str">
        <x:v>LX26C18</x:v>
      </x:c>
      <x:c r="B63" s="2" t="str">
        <x:v>2026-07-26</x:v>
      </x:c>
      <x:c r="C63" s="2" t="str">
        <x:v>day</x:v>
      </x:c>
      <x:c r="D63" s="10"/>
      <x:c r="E63" s="7" t="str">
        <x:v>洪雅玉屏山森林火灾及讨薪纵火传言</x:v>
      </x:c>
      <x:c r="F63" s="2" t="str">
        <x:v>四川</x:v>
      </x:c>
      <x:c r="G63" s="2" t="str">
        <x:v>眉山</x:v>
      </x:c>
      <x:c r="H63" s="2" t="str">
        <x:v>pending</x:v>
      </x:c>
      <x:c r="I63" s="7" t="str">
        <x:v>媒体缓存转述管护站火情通报，但原文访问失败；网传欠薪聊天截图不能独立确认行为人、纵火行为或对公众攻击目标。</x:v>
      </x:c>
      <x:c r="J63" s="9" t="n">
        <x:v>0</x:v>
      </x:c>
      <x:c r="K63" s="9"/>
      <x:c r="L63" s="9" t="n">
        <x:v>0</x:v>
      </x:c>
      <x:c r="M63" s="9"/>
      <x:c r="N63" s="7" t="str">
        <x:v>数字来自媒体搜索缓存转述无人员被困伤亡，标记原文待复核。</x:v>
      </x:c>
      <x:c r="O63" s="7"/>
      <x:c r="P63" s="7" t="str">
        <x:v>媒体缓存转述管护站火情通报，但原文访问失败；网传欠薪聊天截图不能独立确认行为人、纵火行为或对公众攻击目标。</x:v>
      </x:c>
      <x:c r="Q63" s="7" t="str">
        <x:v>LXS26C27；LXS26C30</x:v>
      </x:c>
      <x:c r="R63" s="7" t="str"/>
    </x:row>
    <x:row r="64" ht="38" customHeight="1">
      <x:c r="A64" s="2" t="str">
        <x:v>LX26C13</x:v>
      </x:c>
      <x:c r="B64" s="2" t="str">
        <x:v>2026-07-27</x:v>
      </x:c>
      <x:c r="C64" s="2" t="str">
        <x:v>day</x:v>
      </x:c>
      <x:c r="D64" s="10"/>
      <x:c r="E64" s="7" t="str">
        <x:v>江苏青少年乒乓球选拔赛赛后殴打对手线索</x:v>
      </x:c>
      <x:c r="F64" s="2" t="str">
        <x:v>江苏</x:v>
      </x:c>
      <x:c r="G64" s="2"/>
      <x:c r="H64" s="2" t="str">
        <x:v>excluded</x:v>
      </x:c>
      <x:c r="I64" s="7" t="str">
        <x:v>可读转载描述赛后失利选手攻击获胜对手，属于特定比赛冲突，没有伤及无关人员线索。</x:v>
      </x:c>
      <x:c r="J64" s="9"/>
      <x:c r="K64" s="9"/>
      <x:c r="L64" s="9"/>
      <x:c r="M64" s="9"/>
      <x:c r="N64" s="7"/>
      <x:c r="O64" s="7"/>
      <x:c r="P64" s="7"/>
      <x:c r="Q64" s="7" t="str">
        <x:v>LXS26C24</x:v>
      </x:c>
      <x:c r="R64" s="7" t="str"/>
    </x:row>
    <x:row r="65" ht="38" customHeight="1">
      <x:c r="A65" s="2" t="str">
        <x:v>LX26C06</x:v>
      </x:c>
      <x:c r="B65" s="2" t="str">
        <x:v>2026-07-30</x:v>
      </x:c>
      <x:c r="C65" s="2" t="str">
        <x:v>day</x:v>
      </x:c>
      <x:c r="D65" s="10"/>
      <x:c r="E65" s="7" t="str">
        <x:v>河南西平西关社区邻里纠纷持刀案</x:v>
      </x:c>
      <x:c r="F65" s="2" t="str">
        <x:v>河南</x:v>
      </x:c>
      <x:c r="G65" s="2" t="str">
        <x:v>驻马店</x:v>
      </x:c>
      <x:c r="H65" s="2" t="str">
        <x:v>excluded</x:v>
      </x:c>
      <x:c r="I65" s="7" t="str">
        <x:v>警方描述因邻里矛盾针对邻居及其亲属，现有材料未显示攻击与该纠纷无关公众。</x:v>
      </x:c>
      <x:c r="J65" s="9" t="n">
        <x:v>1</x:v>
      </x:c>
      <x:c r="K65" s="9"/>
      <x:c r="L65" s="9"/>
      <x:c r="M65" s="9"/>
      <x:c r="N65" s="7" t="str">
        <x:v>警方称邻居死亡、亲属伤情稳定，未给受伤亲属人数，故injured留空。</x:v>
      </x:c>
      <x:c r="O65" s="7"/>
      <x:c r="P65" s="7"/>
      <x:c r="Q65" s="7" t="str">
        <x:v>LXS26C15；LXS26C16</x:v>
      </x:c>
      <x:c r="R65" s="7" t="str"/>
    </x:row>
    <x:row r="66" ht="38" customHeight="1">
      <x:c r="A66" s="2" t="str">
        <x:v>LX26C19</x:v>
      </x:c>
      <x:c r="B66" s="2" t="str">
        <x:v>2026-08-02</x:v>
      </x:c>
      <x:c r="C66" s="2" t="str">
        <x:v>day</x:v>
      </x:c>
      <x:c r="D66" s="10"/>
      <x:c r="E66" s="7" t="str">
        <x:v>青岛象屿速传仓库火灾及讨薪纵火传言</x:v>
      </x:c>
      <x:c r="F66" s="2" t="str">
        <x:v>山东</x:v>
      </x:c>
      <x:c r="G66" s="2" t="str">
        <x:v>青岛</x:v>
      </x:c>
      <x:c r="H66" s="2" t="str">
        <x:v>pending</x:v>
      </x:c>
      <x:c r="I66" s="7" t="str">
        <x:v>地方发布通报确认仓库火灾且原因调查中；员工讨薪纵火传言无独立核实，不以燃烧规模或爆燃声推定主动袭击。</x:v>
      </x:c>
      <x:c r="J66" s="9" t="n">
        <x:v>0</x:v>
      </x:c>
      <x:c r="K66" s="9"/>
      <x:c r="L66" s="9" t="n">
        <x:v>0</x:v>
      </x:c>
      <x:c r="M66" s="9"/>
      <x:c r="N66" s="7"/>
      <x:c r="O66" s="7"/>
      <x:c r="P66" s="7" t="str">
        <x:v>地方发布通报确认仓库火灾且原因调查中；员工讨薪纵火传言无独立核实，不以燃烧规模或爆燃声推定主动袭击。</x:v>
      </x:c>
      <x:c r="Q66" s="7" t="str">
        <x:v>LXS26C27；LXS26C31</x:v>
      </x:c>
      <x:c r="R66" s="7" t="str"/>
    </x:row>
    <x:row r="67" ht="38" customHeight="1">
      <x:c r="A67" s="2" t="str">
        <x:v>LX26C04</x:v>
      </x:c>
      <x:c r="B67" s="2" t="str">
        <x:v>2026-08-10</x:v>
      </x:c>
      <x:c r="C67" s="2" t="str">
        <x:v>day</x:v>
      </x:c>
      <x:c r="D67" s="10"/>
      <x:c r="E67" s="7" t="str">
        <x:v>南宁民族大道商场旁纠纷持刀伤人案</x:v>
      </x:c>
      <x:c r="F67" s="2" t="str">
        <x:v>广西</x:v>
      </x:c>
      <x:c r="G67" s="2" t="str">
        <x:v>南宁</x:v>
      </x:c>
      <x:c r="H67" s="2" t="str">
        <x:v>excluded</x:v>
      </x:c>
      <x:c r="I67" s="7" t="str">
        <x:v>警方初查明确因纠纷针对一名特定女子，未披露扩大到无关旁人的伤害。</x:v>
      </x:c>
      <x:c r="J67" s="9"/>
      <x:c r="K67" s="9"/>
      <x:c r="L67" s="9" t="n">
        <x:v>1</x:v>
      </x:c>
      <x:c r="M67" s="9"/>
      <x:c r="N67" s="7" t="str">
        <x:v>伤者当时暂无生命危险；未报最终伤情。</x:v>
      </x:c>
      <x:c r="O67" s="7"/>
      <x:c r="P67" s="7"/>
      <x:c r="Q67" s="7" t="str">
        <x:v>LXS26C13</x:v>
      </x:c>
      <x:c r="R67" s="7" t="str"/>
    </x:row>
    <x:row r="68" ht="38" customHeight="1">
      <x:c r="A68" s="2" t="str">
        <x:v>LX26C11</x:v>
      </x:c>
      <x:c r="B68" s="2" t="str">
        <x:v>2026-08-16</x:v>
      </x:c>
      <x:c r="C68" s="2" t="str">
        <x:v>day</x:v>
      </x:c>
      <x:c r="D68" s="10"/>
      <x:c r="E68" s="7" t="str">
        <x:v>网传南京地铁3号线男子拉制动及威胁事件</x:v>
      </x:c>
      <x:c r="F68" s="2" t="str">
        <x:v>江苏</x:v>
      </x:c>
      <x:c r="G68" s="2" t="str">
        <x:v>南京</x:v>
      </x:c>
      <x:c r="H68" s="2" t="str">
        <x:v>excluded</x:v>
      </x:c>
      <x:c r="I68" s="7" t="str">
        <x:v>现有网传内容为拉紧急制动、踹门及威胁喊话，没有已实施针对他人的主动袭击；按未实施伤人威胁排除，保留来源供后续修订。</x:v>
      </x:c>
      <x:c r="J68" s="9"/>
      <x:c r="K68" s="9"/>
      <x:c r="L68" s="9"/>
      <x:c r="M68" s="9"/>
      <x:c r="N68" s="7"/>
      <x:c r="O68" s="7"/>
      <x:c r="P68" s="7"/>
      <x:c r="Q68" s="7" t="str">
        <x:v>LXS26C22</x:v>
      </x:c>
      <x:c r="R68" s="7" t="str"/>
    </x:row>
    <x:row r="69" ht="38" customHeight="1">
      <x:c r="A69" s="2" t="str">
        <x:v>LX26C07</x:v>
      </x:c>
      <x:c r="B69" s="2" t="str">
        <x:v>2026-08-17</x:v>
      </x:c>
      <x:c r="C69" s="2" t="str">
        <x:v>day</x:v>
      </x:c>
      <x:c r="D69" s="10"/>
      <x:c r="E69" s="7" t="str">
        <x:v>贵州锦屏三江镇越野车失控伤人事故</x:v>
      </x:c>
      <x:c r="F69" s="2" t="str">
        <x:v>贵州</x:v>
      </x:c>
      <x:c r="G69" s="2" t="str">
        <x:v>黔东南</x:v>
      </x:c>
      <x:c r="H69" s="2" t="str">
        <x:v>excluded</x:v>
      </x:c>
      <x:c r="I69" s="7" t="str">
        <x:v>警方初步核查为车辆失控导致道路交通事故；未发现主动选择人群撞击的可靠证据，不能凭多人倒地影像认定故意袭击。</x:v>
      </x:c>
      <x:c r="J69" s="9"/>
      <x:c r="K69" s="9"/>
      <x:c r="L69" s="9"/>
      <x:c r="M69" s="9"/>
      <x:c r="N69" s="7" t="str">
        <x:v>仅通报伤者均送医且无生命危险，未公布人数。</x:v>
      </x:c>
      <x:c r="O69" s="7"/>
      <x:c r="P69" s="7"/>
      <x:c r="Q69" s="7" t="str">
        <x:v>LXS26C17</x:v>
      </x:c>
      <x:c r="R69" s="7" t="str"/>
    </x:row>
    <x:row r="70" ht="38" customHeight="1">
      <x:c r="A70" s="2" t="str">
        <x:v>C041</x:v>
      </x:c>
      <x:c r="B70" s="2" t="str">
        <x:v>2026-08-18</x:v>
      </x:c>
      <x:c r="C70" s="2" t="str">
        <x:v>day</x:v>
      </x:c>
      <x:c r="D70" s="10"/>
      <x:c r="E70" s="7" t="str">
        <x:v>西宁街头持刀伤人及群众制止事件</x:v>
      </x:c>
      <x:c r="F70" s="2" t="str">
        <x:v>青海</x:v>
      </x:c>
      <x:c r="G70" s="2" t="str">
        <x:v>西宁</x:v>
      </x:c>
      <x:c r="H70" s="2" t="str">
        <x:v>expanded</x:v>
      </x:c>
      <x:c r="I70" s="7" t="str">
        <x:v>华商报大风新闻采访多名目击者称，持刀者先与摊主冲突并将其刺伤，又刺伤随后前来劝架的人。人民日报、极目等对制止者的采访及新京报引警方资料核实该次持刀伤人；原纠纷扩大到劝架者，符合expanded。此为依据媒体调查的研究分类，非官方随机袭击定性。</x:v>
      </x:c>
      <x:c r="J70" s="9"/>
      <x:c r="K70" s="9"/>
      <x:c r="L70" s="9" t="n">
        <x:v>2</x:v>
      </x:c>
      <x:c r="M70" s="9"/>
      <x:c r="N70" s="7" t="str">
        <x:v>新京报报道两人被划伤；人数由可靠媒体转引警方处置报道，非完整最终伤情鉴定。死亡、重伤及嫌疑人是否受伤仍未知；网传十余或二十余伤未采用。</x:v>
      </x:c>
      <x:c r="O70" s="7" t="str">
        <x:v>当事人与目击者采访为2026-08-18约21时；不是精确时间。19日凌晨为视频上传时间。</x:v>
      </x:c>
      <x:c r="P70" s="7"/>
      <x:c r="Q70" s="7" t="str">
        <x:v>CS052；CS053；LXS26C04；LXS26C05；LXS26C06；LXS26C07；LXS26C33；LXS26C35</x:v>
      </x:c>
      <x:c r="R70" s="7" t="str">
        <x:v>https://x.com/MIYESAC/status/2089830704477548850</x:v>
      </x:c>
    </x:row>
    <x:row r="71" ht="38" customHeight="1">
      <x:c r="A71" s="2" t="str">
        <x:v>C042</x:v>
      </x:c>
      <x:c r="B71" s="2" t="str">
        <x:v>2026-08-18</x:v>
      </x:c>
      <x:c r="C71" s="2" t="str">
        <x:v>day</x:v>
      </x:c>
      <x:c r="D71" s="10"/>
      <x:c r="E71" s="7" t="str">
        <x:v>网传汕头陈厝合持刀伤人事件</x:v>
      </x:c>
      <x:c r="F71" s="2" t="str">
        <x:v>广东</x:v>
      </x:c>
      <x:c r="G71" s="2" t="str">
        <x:v>汕头</x:v>
      </x:c>
      <x:c r="H71" s="2" t="str">
        <x:v>pending</x:v>
      </x:c>
      <x:c r="I71" s="7" t="str">
        <x:v>现有材料仍为同一组社交视频及转载，可见有人受伤和现场处置的报道，但拍摄日期、被害关系及人数未独立确认；不采用十余伤传言。</x:v>
      </x:c>
      <x:c r="J71" s="9"/>
      <x:c r="K71" s="9"/>
      <x:c r="L71" s="9"/>
      <x:c r="M71" s="9"/>
      <x:c r="N71" s="7"/>
      <x:c r="O71" s="7"/>
      <x:c r="P71" s="7" t="str">
        <x:v>现有材料仍为同一组社交视频及转载，可见有人受伤和现场处置的报道，但拍摄日期、被害关系及人数未独立确认；不采用十余伤传言。</x:v>
      </x:c>
      <x:c r="Q71" s="7" t="str">
        <x:v>CS053；LXS26C32</x:v>
      </x:c>
      <x:c r="R71" s="7" t="str">
        <x:v>https://x.com/MKBKCOM/status/2090022453246382399</x:v>
      </x:c>
    </x:row>
    <x:row r="72" ht="38" customHeight="1">
      <x:c r="A72" s="2" t="str">
        <x:v>LX26C14</x:v>
      </x:c>
      <x:c r="B72" s="2" t="str">
        <x:v>2026-08-19</x:v>
      </x:c>
      <x:c r="C72" s="2" t="str">
        <x:v>day</x:v>
      </x:c>
      <x:c r="D72" s="10"/>
      <x:c r="E72" s="7" t="str">
        <x:v>网传茂名电城海景明珠持刀伤人事件</x:v>
      </x:c>
      <x:c r="F72" s="2" t="str">
        <x:v>广东</x:v>
      </x:c>
      <x:c r="G72" s="2" t="str">
        <x:v>茂名</x:v>
      </x:c>
      <x:c r="H72" s="2" t="str">
        <x:v>pending</x:v>
      </x:c>
      <x:c r="I72" s="7" t="str">
        <x:v>仅有网络影像及转述；一名男子攻击女子的日期、伤亡及双方关系未独立核实；情感纠纷传言不能直接作为排除或核心认定。</x:v>
      </x:c>
      <x:c r="J72" s="9"/>
      <x:c r="K72" s="9"/>
      <x:c r="L72" s="9"/>
      <x:c r="M72" s="9"/>
      <x:c r="N72" s="7"/>
      <x:c r="O72" s="7"/>
      <x:c r="P72" s="7" t="str">
        <x:v>仅有网络影像及转述；一名男子攻击女子的日期、伤亡及双方关系未独立核实；情感纠纷传言不能直接作为排除或核心认定。</x:v>
      </x:c>
      <x:c r="Q72" s="7" t="str">
        <x:v>LXS26C25；CS053</x:v>
      </x:c>
      <x:c r="R72" s="7" t="str">
        <x:v>https://x.com/newszg_official/status/2090085905876795776</x:v>
      </x:c>
    </x:row>
    <x:row r="73" ht="38" customHeight="1">
      <x:c r="A73" s="2" t="str">
        <x:v>LX26C03</x:v>
      </x:c>
      <x:c r="B73" s="2" t="str">
        <x:v>2026-08-20</x:v>
      </x:c>
      <x:c r="C73" s="2" t="str">
        <x:v>day</x:v>
      </x:c>
      <x:c r="D73" s="10"/>
      <x:c r="E73" s="7" t="str">
        <x:v>玉林玉州路女子遇袭案</x:v>
      </x:c>
      <x:c r="F73" s="2" t="str">
        <x:v>广西</x:v>
      </x:c>
      <x:c r="G73" s="2" t="str">
        <x:v>玉林</x:v>
      </x:c>
      <x:c r="H73" s="2" t="str">
        <x:v>pending</x:v>
      </x:c>
      <x:c r="I73" s="7" t="str">
        <x:v>警方确认故意伤害、一人受伤；社媒称从背后袭击扫车女子且双方不识，但材料为同一网民／截图链条，未核实身份关系及完整攻击前因。</x:v>
      </x:c>
      <x:c r="J73" s="9"/>
      <x:c r="K73" s="9"/>
      <x:c r="L73" s="9" t="n">
        <x:v>1</x:v>
      </x:c>
      <x:c r="M73" s="9"/>
      <x:c r="N73" s="7" t="str">
        <x:v>采用警方一人受伤、无生命危险口径；网传带孩子同行不等于儿童受伤。</x:v>
      </x:c>
      <x:c r="O73" s="7"/>
      <x:c r="P73" s="7" t="str">
        <x:v>警方确认故意伤害、一人受伤；社媒称从背后袭击扫车女子且双方不识，但材料为同一网民／截图链条，未核实身份关系及完整攻击前因。</x:v>
      </x:c>
      <x:c r="Q73" s="7" t="str">
        <x:v>LXS26C11；LXS26C12；LXS26C36</x:v>
      </x:c>
      <x:c r="R73" s="7" t="str"/>
    </x:row>
    <x:row r="74" ht="38" customHeight="1">
      <x:c r="A74" s="2" t="str">
        <x:v>LX26C02</x:v>
      </x:c>
      <x:c r="B74" s="2" t="str">
        <x:v>2026-09-04</x:v>
      </x:c>
      <x:c r="C74" s="2" t="str">
        <x:v>day</x:v>
      </x:c>
      <x:c r="D74" s="10"/>
      <x:c r="E74" s="7" t="str">
        <x:v>贵阳贵州中医大二附院红岩院区医生遇刺案</x:v>
      </x:c>
      <x:c r="F74" s="2" t="str">
        <x:v>贵州</x:v>
      </x:c>
      <x:c r="G74" s="2" t="str">
        <x:v>贵阳</x:v>
      </x:c>
      <x:c r="H74" s="2" t="str">
        <x:v>pending</x:v>
      </x:c>
      <x:c r="I74" s="7" t="str">
        <x:v>警方及记者联系院方、卫健委可确认伤医事件；患者找不到原诊疗医生转刺其他科医生的说法尚停留在稿件转引网传，未核实原医患关系和替代攻击经过，因此暂不升为expanded。</x:v>
      </x:c>
      <x:c r="J74" s="9"/>
      <x:c r="K74" s="9"/>
      <x:c r="L74" s="9" t="n">
        <x:v>1</x:v>
      </x:c>
      <x:c r="M74" s="9"/>
      <x:c r="N74" s="7" t="str">
        <x:v>警方称唯一公开伤者病情稳定、无生命危险；没有最终伤情鉴定。</x:v>
      </x:c>
      <x:c r="O74" s="7"/>
      <x:c r="P74" s="7" t="str">
        <x:v>警方及记者联系院方、卫健委可确认伤医事件；患者找不到原诊疗医生转刺其他科医生的说法尚停留在稿件转引网传，未核实原医患关系和替代攻击经过，因此暂不升为expanded。</x:v>
      </x:c>
      <x:c r="Q74" s="7" t="str">
        <x:v>LXS26C09；LXS26C10</x:v>
      </x:c>
      <x:c r="R74" s="7" t="str"/>
    </x:row>
    <x:row r="75" ht="38" customHeight="1">
      <x:c r="A75" s="2" t="str">
        <x:v>LX26C16</x:v>
      </x:c>
      <x:c r="B75" s="2" t="str">
        <x:v>2026-09-08</x:v>
      </x:c>
      <x:c r="C75" s="2" t="str">
        <x:v>day</x:v>
      </x:c>
      <x:c r="D75" s="10"/>
      <x:c r="E75" s="7" t="str">
        <x:v>合肥包河仓库火灾及报复纵火传言</x:v>
      </x:c>
      <x:c r="F75" s="2" t="str">
        <x:v>安徽</x:v>
      </x:c>
      <x:c r="G75" s="2" t="str">
        <x:v>合肥</x:v>
      </x:c>
      <x:c r="H75" s="2" t="str">
        <x:v>pending</x:v>
      </x:c>
      <x:c r="I75" s="7" t="str">
        <x:v>消防确认火灾，尚未披露起因；报复纵火说法来自未核实社媒，缺少行为人、行为及攻击目标证据。</x:v>
      </x:c>
      <x:c r="J75" s="9" t="n">
        <x:v>0</x:v>
      </x:c>
      <x:c r="K75" s="9"/>
      <x:c r="L75" s="9" t="n">
        <x:v>0</x:v>
      </x:c>
      <x:c r="M75" s="9"/>
      <x:c r="N75" s="7"/>
      <x:c r="O75" s="7"/>
      <x:c r="P75" s="7" t="str">
        <x:v>消防确认火灾，尚未披露起因；报复纵火说法来自未核实社媒，缺少行为人、行为及攻击目标证据。</x:v>
      </x:c>
      <x:c r="Q75" s="7" t="str">
        <x:v>LXS26C27；LXS26C28</x:v>
      </x:c>
      <x:c r="R75" s="7" t="str"/>
    </x:row>
    <x:row r="76" ht="38" customHeight="1">
      <x:c r="A76" s="2" t="str">
        <x:v>LX26C17</x:v>
      </x:c>
      <x:c r="B76" s="2" t="str">
        <x:v>2026-09-08</x:v>
      </x:c>
      <x:c r="C76" s="2" t="str">
        <x:v>day</x:v>
      </x:c>
      <x:c r="D76" s="10"/>
      <x:c r="E76" s="7" t="str">
        <x:v>蚌埠高华电子厂房火灾及讨薪纵火传言</x:v>
      </x:c>
      <x:c r="F76" s="2" t="str">
        <x:v>安徽</x:v>
      </x:c>
      <x:c r="G76" s="2" t="str">
        <x:v>蚌埠</x:v>
      </x:c>
      <x:c r="H76" s="2" t="str">
        <x:v>pending</x:v>
      </x:c>
      <x:c r="I76" s="7" t="str">
        <x:v>消防确认高新区厂房火灾，但原因未公布；讨薪员工纵火说法只在社媒汇编出现，无可核实行为人及调查结论。</x:v>
      </x:c>
      <x:c r="J76" s="9" t="n">
        <x:v>0</x:v>
      </x:c>
      <x:c r="K76" s="9"/>
      <x:c r="L76" s="9" t="n">
        <x:v>0</x:v>
      </x:c>
      <x:c r="M76" s="9"/>
      <x:c r="N76" s="7" t="str">
        <x:v>截至早间消防初报暂未发现人员伤亡，不能解释为最终结案统计。</x:v>
      </x:c>
      <x:c r="O76" s="7"/>
      <x:c r="P76" s="7" t="str">
        <x:v>消防确认高新区厂房火灾，但原因未公布；讨薪员工纵火说法只在社媒汇编出现，无可核实行为人及调查结论。</x:v>
      </x:c>
      <x:c r="Q76" s="7" t="str">
        <x:v>LXS26C27；LXS26C29</x:v>
      </x:c>
      <x:c r="R76" s="7" t="str"/>
    </x:row>
    <x:row r="77" ht="38" customHeight="1">
      <x:c r="A77" s="2" t="str">
        <x:v>LX26C12</x:v>
      </x:c>
      <x:c r="B77" s="2" t="str">
        <x:v>2026-09-13</x:v>
      </x:c>
      <x:c r="C77" s="2" t="str">
        <x:v>day</x:v>
      </x:c>
      <x:c r="D77" s="10"/>
      <x:c r="E77" s="7" t="str">
        <x:v>网传保定定兴火锅店外卖员持刀冲突</x:v>
      </x:c>
      <x:c r="F77" s="2" t="str">
        <x:v>河北</x:v>
      </x:c>
      <x:c r="G77" s="2" t="str">
        <x:v>保定</x:v>
      </x:c>
      <x:c r="H77" s="2" t="str">
        <x:v>pending</x:v>
      </x:c>
      <x:c r="I77" s="7" t="str">
        <x:v>镜像只描述持刀与店家冲突，未确认实施伤害，也未显示攻击无关旁人；发生细节、伤亡及对象关系待核。</x:v>
      </x:c>
      <x:c r="J77" s="9"/>
      <x:c r="K77" s="9"/>
      <x:c r="L77" s="9"/>
      <x:c r="M77" s="9"/>
      <x:c r="N77" s="7"/>
      <x:c r="O77" s="7"/>
      <x:c r="P77" s="7" t="str">
        <x:v>镜像只描述持刀与店家冲突，未确认实施伤害，也未显示攻击无关旁人；发生细节、伤亡及对象关系待核。</x:v>
      </x:c>
      <x:c r="Q77" s="7" t="str">
        <x:v>LXS26C23</x:v>
      </x:c>
      <x:c r="R77" s="7" t="str"/>
    </x:row>
    <x:row r="78" ht="38" customHeight="1">
      <x:c r="A78" s="2" t="str">
        <x:v>C024</x:v>
      </x:c>
      <x:c r="B78" s="2" t="str">
        <x:v>2026-09-14</x:v>
      </x:c>
      <x:c r="C78" s="2" t="str">
        <x:v>day</x:v>
      </x:c>
      <x:c r="D78" s="10"/>
      <x:c r="E78" s="7" t="str">
        <x:v>广州小谷围街火锅店门口持刀伤人案</x:v>
      </x:c>
      <x:c r="F78" s="2" t="str">
        <x:v>广东</x:v>
      </x:c>
      <x:c r="G78" s="2" t="str">
        <x:v>广州</x:v>
      </x:c>
      <x:c r="H78" s="2" t="str">
        <x:v>pending</x:v>
      </x:c>
      <x:c r="I78" s="7" t="str">
        <x:v>警方原文确认持刀伤人。多帖及网传图像指向在商业区袭击行人，但本轮未取得可验证连续攻击过程、被害人与行凶者关系的独立采访或现场原始证据；目前不足区分陌生公众袭击与定向纠纷。不是仅因通报未使用“随机”字样而待核。</x:v>
      </x:c>
      <x:c r="J78" s="9" t="n">
        <x:v>0</x:v>
      </x:c>
      <x:c r="K78" s="9"/>
      <x:c r="L78" s="9"/>
      <x:c r="M78" s="9"/>
      <x:c r="N78" s="7" t="str">
        <x:v>警方称所有伤者均无生命危险，未公开人数；不采用网传伤者人数、多人团伙或死亡说法。</x:v>
      </x:c>
      <x:c r="O78" s="7" t="str">
        <x:v>警方通报的17:20为110接报警时间，不是已核实的袭击发生时刻；案发日为2026-09-14。</x:v>
      </x:c>
      <x:c r="P78" s="7" t="str">
        <x:v>警方原文确认持刀伤人。多帖及网传图像指向在商业区袭击行人，但本轮未取得可验证连续攻击过程、被害人与行凶者关系的独立采访或现场原始证据；目前不足区分陌生公众袭击与定向纠纷。不是仅因通报未使用“随机”字样而待核。</x:v>
      </x:c>
      <x:c r="Q78" s="7" t="str">
        <x:v>CS034；LXS26C01；LXS26C02；LXS26C03</x:v>
      </x:c>
      <x:c r="R78" s="7" t="str"/>
    </x:row>
  </x:sheetData>
  <x:pageMargins left="0.7" right="0.7" top="0.75" bottom="0.75" header="0.3" footer="0.3"/>
  <x:tableParts count="1">
    <x:tablePart xmlns:r="http://schemas.openxmlformats.org/officeDocument/2006/relationships" r:id="R9e3a54a5115f46dc"/>
  </x:tableParts>
</x:worksheet>
</file>

<file path=xl/worksheets/sheet10.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55" hidden="0" customWidth="1"/>
    <x:col min="4" max="4" width="19" hidden="0" customWidth="1"/>
    <x:col min="5" max="5" width="19" hidden="0" customWidth="1"/>
    <x:col min="6" max="6" width="55" hidden="0" customWidth="1"/>
    <x:col min="7" max="7" width="19" hidden="0" customWidth="1"/>
    <x:col min="8" max="8" width="19" hidden="0" customWidth="1"/>
    <x:col min="9" max="9" width="55" hidden="0" customWidth="1"/>
    <x:col min="10" max="10" width="19" hidden="0" customWidth="1"/>
    <x:col min="11" max="11" width="30" hidden="0" customWidth="1"/>
    <x:col min="12" max="12" width="55" hidden="0" customWidth="1"/>
  </x:cols>
  <x:sheetData>
    <x:row r="1" ht="42" customHeight="1">
      <x:c r="A1" s="6" t="str">
        <x:v>事件编号</x:v>
      </x:c>
      <x:c r="B1" s="6" t="str">
        <x:v>案发日期</x:v>
      </x:c>
      <x:c r="C1" s="6" t="str">
        <x:v>事件名称</x:v>
      </x:c>
      <x:c r="D1" s="6" t="str">
        <x:v>省级地区</x:v>
      </x:c>
      <x:c r="E1" s="6" t="str">
        <x:v>分类代码</x:v>
      </x:c>
      <x:c r="F1" s="6" t="str">
        <x:v>分类依据</x:v>
      </x:c>
      <x:c r="G1" s="6" t="str">
        <x:v>受害者死亡</x:v>
      </x:c>
      <x:c r="H1" s="6" t="str">
        <x:v>受害者受伤</x:v>
      </x:c>
      <x:c r="I1" s="6" t="str">
        <x:v>伤亡修订说明</x:v>
      </x:c>
      <x:c r="J1" s="6" t="str">
        <x:v>事件证据等级</x:v>
      </x:c>
      <x:c r="K1" s="6" t="str">
        <x:v>来源编号</x:v>
      </x:c>
      <x:c r="L1" s="6" t="str">
        <x:v>补充说明</x:v>
      </x:c>
    </x:row>
    <x:row r="2" ht="38" customHeight="1">
      <x:c r="A2" s="2" t="str">
        <x:v>LX26A05</x:v>
      </x:c>
      <x:c r="B2" s="2"/>
      <x:c r="C2" s="7" t="str">
        <x:v>网传郴州德润龙庭开发商车辆冲撞业主事件</x:v>
      </x:c>
      <x:c r="D2" s="2" t="str">
        <x:v>湖南</x:v>
      </x:c>
      <x:c r="E2" s="2" t="str">
        <x:v>pending</x:v>
      </x:c>
      <x:c r="F2" s="7" t="str">
        <x:v>举报指向开发商与维权业主一家，尚无无关公众目标证据；事件细节、故意性、处罚决定未取得独立核实。</x:v>
      </x:c>
      <x:c r="G2" s="9"/>
      <x:c r="H2" s="9"/>
      <x:c r="I2" s="7"/>
      <x:c r="J2" s="2" t="str">
        <x:v>网传待核</x:v>
      </x:c>
      <x:c r="K2" s="7" t="str">
        <x:v>LXS26A09；LXS26A10；LXS26A01</x:v>
      </x:c>
      <x:c r="L2" s="7" t="str">
        <x:v>具名指控不转化为已认定犯罪；不保存私宅位置。</x:v>
      </x:c>
    </x:row>
    <x:row r="3" ht="38" customHeight="1">
      <x:c r="A3" s="2" t="str">
        <x:v>LX26A06</x:v>
      </x:c>
      <x:c r="B3" s="2"/>
      <x:c r="C3" s="7" t="str">
        <x:v>网传开封街头一男子遭持刀袭击</x:v>
      </x:c>
      <x:c r="D3" s="2" t="str">
        <x:v>河南</x:v>
      </x:c>
      <x:c r="E3" s="2" t="str">
        <x:v>pending</x:v>
      </x:c>
      <x:c r="F3" s="7" t="str">
        <x:v>原帖仅有近日的网络影像描述；日期、被害关系、死伤及故意袭击背景均未核实。</x:v>
      </x:c>
      <x:c r="G3" s="9"/>
      <x:c r="H3" s="9"/>
      <x:c r="I3" s="7" t="str">
        <x:v>投稿称1死与精神病，均不录为确认字段。</x:v>
      </x:c>
      <x:c r="J3" s="2" t="str">
        <x:v>网传待核</x:v>
      </x:c>
      <x:c r="K3" s="7" t="str">
        <x:v>LXS26A11；LXS26A01</x:v>
      </x:c>
      <x:c r="L3" s="7"/>
    </x:row>
    <x:row r="4" ht="38" customHeight="1">
      <x:c r="A4" s="2" t="str">
        <x:v>A043</x:v>
      </x:c>
      <x:c r="B4" s="2" t="str">
        <x:v>2018-03-20</x:v>
      </x:c>
      <x:c r="C4" s="7" t="str">
        <x:v>厦门王某定向袭击前女友及其姐姐（排除）</x:v>
      </x:c>
      <x:c r="D4" s="2" t="str">
        <x:v>福建</x:v>
      </x:c>
      <x:c r="E4" s="2" t="str">
        <x:v>excluded</x:v>
      </x:c>
      <x:c r="F4" s="7" t="str">
        <x:v>预先选择前女友和其孪生姐姐报复，非现场随机选择；即使法院称被害人无辜，也不等于对象不特定。</x:v>
      </x:c>
      <x:c r="G4" s="9" t="n">
        <x:v>1</x:v>
      </x:c>
      <x:c r="H4" s="9" t="n">
        <x:v>1</x:v>
      </x:c>
      <x:c r="I4" s="7"/>
      <x:c r="J4" s="2" t="str">
        <x:v>官方转载</x:v>
      </x:c>
      <x:c r="K4" s="7" t="str">
        <x:v>AS029</x:v>
      </x:c>
      <x:c r="L4" s="7"/>
    </x:row>
    <x:row r="5" ht="38" customHeight="1">
      <x:c r="A5" s="2" t="str">
        <x:v>A002</x:v>
      </x:c>
      <x:c r="B5" s="2" t="str">
        <x:v>2018-04-16</x:v>
      </x:c>
      <x:c r="C5" s="7" t="str">
        <x:v>南宁昆仑大道大乌村路口袭击</x:v>
      </x:c>
      <x:c r="D5" s="2" t="str">
        <x:v>广西</x:v>
      </x:c>
      <x:c r="E5" s="2" t="str">
        <x:v>pending</x:v>
      </x:c>
      <x:c r="F5" s="7" t="str">
        <x:v>警方证实事件和伤亡；无故袭击路过母婴的依据为广西新闻频道一次现场调查，两转载不作独立多源，待补裁判或第二独立报道。</x:v>
      </x:c>
      <x:c r="G5" s="9" t="n">
        <x:v>1</x:v>
      </x:c>
      <x:c r="H5" s="9" t="n">
        <x:v>3</x:v>
      </x:c>
      <x:c r="I5" s="7"/>
      <x:c r="J5" s="2" t="str">
        <x:v>单一媒体</x:v>
      </x:c>
      <x:c r="K5" s="7" t="str">
        <x:v>AS002；AS003</x:v>
      </x:c>
      <x:c r="L5" s="7" t="str">
        <x:v>未将目击者估计年龄和初步精神异常推测当作确证。</x:v>
      </x:c>
    </x:row>
    <x:row r="6" ht="38" customHeight="1">
      <x:c r="A6" s="2" t="str">
        <x:v>A005</x:v>
      </x:c>
      <x:c r="B6" s="2" t="str">
        <x:v>2018-05-13</x:v>
      </x:c>
      <x:c r="C6" s="7" t="str">
        <x:v>成都盐市口车辆冲撞</x:v>
      </x:c>
      <x:c r="D6" s="2" t="str">
        <x:v>四川</x:v>
      </x:c>
      <x:c r="E6" s="2" t="str">
        <x:v>pending</x:v>
      </x:c>
      <x:c r="F6" s="7" t="str">
        <x:v>已证实冲撞及涉嫌危害公共安全，但通报未明确主动以无关行人为攻击目标，不仅凭罪名纳入。</x:v>
      </x:c>
      <x:c r="G6" s="9" t="n">
        <x:v>0</x:v>
      </x:c>
      <x:c r="H6" s="9" t="n">
        <x:v>3</x:v>
      </x:c>
      <x:c r="I6" s="7" t="str">
        <x:v>3名伤者在通报时伤情稳定。</x:v>
      </x:c>
      <x:c r="J6" s="2" t="str">
        <x:v>官方转载</x:v>
      </x:c>
      <x:c r="K6" s="7" t="str">
        <x:v>AS007</x:v>
      </x:c>
      <x:c r="L6" s="7"/>
    </x:row>
    <x:row r="7" ht="38" customHeight="1">
      <x:c r="A7" s="2" t="str">
        <x:v>A045</x:v>
      </x:c>
      <x:c r="B7" s="2" t="str">
        <x:v>2018-07-05</x:v>
      </x:c>
      <x:c r="C7" s="7" t="str">
        <x:v>隆回南松村持刀伤人</x:v>
      </x:c>
      <x:c r="D7" s="2" t="str">
        <x:v>湖南</x:v>
      </x:c>
      <x:c r="E7" s="2" t="str">
        <x:v>pending</x:v>
      </x:c>
      <x:c r="F7" s="7" t="str">
        <x:v>官方通报多人伤亡但未明确动机及被害人与嫌疑人关系，不能仅以有儿童受害认定随机。</x:v>
      </x:c>
      <x:c r="G7" s="9" t="n">
        <x:v>1</x:v>
      </x:c>
      <x:c r="H7" s="9" t="n">
        <x:v>6</x:v>
      </x:c>
      <x:c r="I7" s="7" t="str">
        <x:v>通报7名被砍者中1名死亡，因此幸存受伤6人；不将7伤再加1死。</x:v>
      </x:c>
      <x:c r="J7" s="2" t="str">
        <x:v>官方转载</x:v>
      </x:c>
      <x:c r="K7" s="7" t="str">
        <x:v>AS049</x:v>
      </x:c>
      <x:c r="L7" s="7"/>
    </x:row>
    <x:row r="8" ht="38" customHeight="1">
      <x:c r="A8" s="2" t="str">
        <x:v>A014</x:v>
      </x:c>
      <x:c r="B8" s="2" t="str">
        <x:v>2018-10-28</x:v>
      </x:c>
      <x:c r="C8" s="7" t="str">
        <x:v>重庆万州公交车坠江（排除）</x:v>
      </x:c>
      <x:c r="D8" s="2" t="str">
        <x:v>重庆</x:v>
      </x:c>
      <x:c r="E8" s="2" t="str">
        <x:v>excluded</x:v>
      </x:c>
      <x:c r="F8" s="7" t="str">
        <x:v>官方查明由司机与乘客争执互殴导致车辆失控，缺少主动以无关乘客为攻击目标的证据。</x:v>
      </x:c>
      <x:c r="G8" s="9"/>
      <x:c r="H8" s="9"/>
      <x:c r="I8" s="7" t="str">
        <x:v>通报明确15名驾乘人员、打捞13名遗体；与随机袭击统计隔离，不把失联直接转换为精确死亡。</x:v>
      </x:c>
      <x:c r="J8" s="2" t="str">
        <x:v>官方转载</x:v>
      </x:c>
      <x:c r="K8" s="7" t="str">
        <x:v>AS017</x:v>
      </x:c>
      <x:c r="L8" s="7"/>
    </x:row>
    <x:row r="9" ht="38" customHeight="1">
      <x:c r="A9" s="2" t="str">
        <x:v>A019</x:v>
      </x:c>
      <x:c r="B9" s="2" t="str">
        <x:v>2019-01-14</x:v>
      </x:c>
      <x:c r="C9" s="7" t="str">
        <x:v>东莞虎门怀德社区持刀伤人</x:v>
      </x:c>
      <x:c r="D9" s="2" t="str">
        <x:v>广东</x:v>
      </x:c>
      <x:c r="E9" s="2" t="str">
        <x:v>pending</x:v>
      </x:c>
      <x:c r="F9" s="7" t="str">
        <x:v>警方确认发生，但本轮可靠资料未明确受害者与嫌疑人关系及选择目标方式。</x:v>
      </x:c>
      <x:c r="G9" s="9" t="n">
        <x:v>1</x:v>
      </x:c>
      <x:c r="H9" s="9" t="n">
        <x:v>8</x:v>
      </x:c>
      <x:c r="I9" s="7" t="str">
        <x:v>2人伤情较重、6人较轻为初报临床描述。</x:v>
      </x:c>
      <x:c r="J9" s="2" t="str">
        <x:v>官方转载</x:v>
      </x:c>
      <x:c r="K9" s="7" t="str">
        <x:v>AS022</x:v>
      </x:c>
      <x:c r="L9" s="7" t="str">
        <x:v>不因排除涉恐或多人受害自动认定随机。</x:v>
      </x:c>
    </x:row>
    <x:row r="10" ht="38" customHeight="1">
      <x:c r="A10" s="2" t="str">
        <x:v>A046</x:v>
      </x:c>
      <x:c r="B10" s="2" t="str">
        <x:v>2019-02-05</x:v>
      </x:c>
      <x:c r="C10" s="7" t="str">
        <x:v>会宁多户村民住宅伤人</x:v>
      </x:c>
      <x:c r="D10" s="2" t="str">
        <x:v>甘肃</x:v>
      </x:c>
      <x:c r="E10" s="2" t="str">
        <x:v>pending</x:v>
      </x:c>
      <x:c r="F10" s="7" t="str">
        <x:v>警方初报指婚姻猜疑下定向进入村民家报复；是否涉及无关对象未充分披露，不按多人伤亡认定随机，也不武断将全案排除。</x:v>
      </x:c>
      <x:c r="G10" s="9" t="n">
        <x:v>8</x:v>
      </x:c>
      <x:c r="H10" s="9" t="n">
        <x:v>7</x:v>
      </x:c>
      <x:c r="I10" s="7"/>
      <x:c r="J10" s="2" t="str">
        <x:v>官方转载</x:v>
      </x:c>
      <x:c r="K10" s="7" t="str">
        <x:v>AS050</x:v>
      </x:c>
      <x:c r="L10" s="7" t="str">
        <x:v>媒体转述的邻里纠纷、家暴、纵火需裁判佐证；不将其直接扩展为已查明案情。</x:v>
      </x:c>
    </x:row>
    <x:row r="11" ht="38" customHeight="1">
      <x:c r="A11" s="2" t="str">
        <x:v>A021</x:v>
      </x:c>
      <x:c r="B11" s="2" t="str">
        <x:v>2019-02-21</x:v>
      </x:c>
      <x:c r="C11" s="7" t="str">
        <x:v>吉安韶山西路学校周边持刀伤人</x:v>
      </x:c>
      <x:c r="D11" s="2" t="str">
        <x:v>江西</x:v>
      </x:c>
      <x:c r="E11" s="2" t="str">
        <x:v>pending</x:v>
      </x:c>
      <x:c r="F11" s="7" t="str">
        <x:v>警方确认事件及11伤；无关路人、随机选择方式主要见媒体叙述，尚未检出明确官方性质认定或两家独立原始调查。</x:v>
      </x:c>
      <x:c r="G11" s="9" t="n">
        <x:v>0</x:v>
      </x:c>
      <x:c r="H11" s="9" t="n">
        <x:v>11</x:v>
      </x:c>
      <x:c r="I11" s="7"/>
      <x:c r="J11" s="2" t="str">
        <x:v>官方转载</x:v>
      </x:c>
      <x:c r="K11" s="7" t="str">
        <x:v>AS024；AS025</x:v>
      </x:c>
      <x:c r="L11" s="7"/>
    </x:row>
    <x:row r="12" ht="38" customHeight="1">
      <x:c r="A12" s="2" t="str">
        <x:v>A047</x:v>
      </x:c>
      <x:c r="B12" s="2" t="str">
        <x:v>2019-02-26</x:v>
      </x:c>
      <x:c r="C12" s="7" t="str">
        <x:v>平顶山财经学校同学纠纷伤人（排除）</x:v>
      </x:c>
      <x:c r="D12" s="2" t="str">
        <x:v>河南</x:v>
      </x:c>
      <x:c r="E12" s="2" t="str">
        <x:v>excluded</x:v>
      </x:c>
      <x:c r="F12" s="7" t="str">
        <x:v>警方及采访表明系与特定同学的既有矛盾，未见扩大到无关学生证据。</x:v>
      </x:c>
      <x:c r="G12" s="9" t="n">
        <x:v>1</x:v>
      </x:c>
      <x:c r="H12" s="9" t="n">
        <x:v>3</x:v>
      </x:c>
      <x:c r="I12" s="7"/>
      <x:c r="J12" s="2" t="str">
        <x:v>官方转载</x:v>
      </x:c>
      <x:c r="K12" s="7" t="str">
        <x:v>AS051</x:v>
      </x:c>
      <x:c r="L12" s="7"/>
    </x:row>
    <x:row r="13" ht="38" customHeight="1">
      <x:c r="A13" s="2" t="str">
        <x:v>A022</x:v>
      </x:c>
      <x:c r="B13" s="2" t="str">
        <x:v>2019-03-14</x:v>
      </x:c>
      <x:c r="C13" s="7" t="str">
        <x:v>唐山丰润光华道小学周边伤害学生</x:v>
      </x:c>
      <x:c r="D13" s="2" t="str">
        <x:v>河北</x:v>
      </x:c>
      <x:c r="E13" s="2" t="str">
        <x:v>pending</x:v>
      </x:c>
      <x:c r="F13" s="7" t="str">
        <x:v>本轮仅获取媒体对通报的转述及网传人数，随机性和完整伤亡需再核，不把17人作为确数。</x:v>
      </x:c>
      <x:c r="G13" s="9"/>
      <x:c r="H13" s="9"/>
      <x:c r="I13" s="7"/>
      <x:c r="J13" s="2" t="str">
        <x:v>单一媒体</x:v>
      </x:c>
      <x:c r="K13" s="7" t="str">
        <x:v>AS026</x:v>
      </x:c>
      <x:c r="L13" s="7" t="str">
        <x:v>12月开庭存在二手汇编线索，尚未取得原法院公告，未记录判决。</x:v>
      </x:c>
    </x:row>
    <x:row r="14" ht="38" customHeight="1">
      <x:c r="A14" s="2" t="str">
        <x:v>A044</x:v>
      </x:c>
      <x:c r="B14" s="2" t="str">
        <x:v>2019-05-16</x:v>
      </x:c>
      <x:c r="C14" s="7" t="str">
        <x:v>深圳驾驶人癫痫发作车辆失控（排除）</x:v>
      </x:c>
      <x:c r="D14" s="2" t="str">
        <x:v>广东</x:v>
      </x:c>
      <x:c r="E14" s="2" t="str">
        <x:v>excluded</x:v>
      </x:c>
      <x:c r="F14" s="7" t="str">
        <x:v>法院明确疾病发作导致失控，虽罪名为危害公共安全且属间接故意，仍无主动随机攻击意图。</x:v>
      </x:c>
      <x:c r="G14" s="9" t="n">
        <x:v>3</x:v>
      </x:c>
      <x:c r="H14" s="9" t="n">
        <x:v>8</x:v>
      </x:c>
      <x:c r="I14" s="7" t="str">
        <x:v>1重伤5轻伤2轻微伤，法院精确8伤。</x:v>
      </x:c>
      <x:c r="J14" s="2" t="str">
        <x:v>官方转载</x:v>
      </x:c>
      <x:c r="K14" s="7" t="str">
        <x:v>AS048</x:v>
      </x:c>
      <x:c r="L14" s="7"/>
    </x:row>
    <x:row r="15" ht="38" customHeight="1">
      <x:c r="A15" s="2" t="str">
        <x:v>A048</x:v>
      </x:c>
      <x:c r="B15" s="2" t="str">
        <x:v>2019-06-21</x:v>
      </x:c>
      <x:c r="C15" s="7" t="str">
        <x:v>天门华泰中学早自习持刀伤人</x:v>
      </x:c>
      <x:c r="D15" s="2" t="str">
        <x:v>湖北</x:v>
      </x:c>
      <x:c r="E15" s="2" t="str">
        <x:v>pending</x:v>
      </x:c>
      <x:c r="F15" s="7" t="str">
        <x:v>同班多人被伤且有劝阻者受伤，但未披露初始关系、纠纷或目标选择，随机性不明。</x:v>
      </x:c>
      <x:c r="G15" s="9" t="n">
        <x:v>0</x:v>
      </x:c>
      <x:c r="H15" s="9" t="n">
        <x:v>8</x:v>
      </x:c>
      <x:c r="I15" s="7" t="str">
        <x:v>2人在ICU是临床观察，不自动记为2名司法重伤。</x:v>
      </x:c>
      <x:c r="J15" s="2" t="str">
        <x:v>官方转载</x:v>
      </x:c>
      <x:c r="K15" s="7" t="str">
        <x:v>AS052</x:v>
      </x:c>
      <x:c r="L15" s="7"/>
    </x:row>
    <x:row r="16" ht="38" customHeight="1">
      <x:c r="A16" s="2" t="str">
        <x:v>A030</x:v>
      </x:c>
      <x:c r="B16" s="2" t="str">
        <x:v>2019-12-06</x:v>
      </x:c>
      <x:c r="C16" s="7" t="str">
        <x:v>北京马家堡被盗车辆冲撞</x:v>
      </x:c>
      <x:c r="D16" s="2" t="str">
        <x:v>北京</x:v>
      </x:c>
      <x:c r="E16" s="2" t="str">
        <x:v>pending</x:v>
      </x:c>
      <x:c r="F16" s="7" t="str">
        <x:v>通报确认盗车及沿途碰撞，未明确撞人故意还是逃离中的肇事，随机主动袭击证据不足。</x:v>
      </x:c>
      <x:c r="G16" s="9" t="n">
        <x:v>2</x:v>
      </x:c>
      <x:c r="H16" s="9" t="n">
        <x:v>7</x:v>
      </x:c>
      <x:c r="I16" s="7"/>
      <x:c r="J16" s="2" t="str">
        <x:v>官方转载</x:v>
      </x:c>
      <x:c r="K16" s="7" t="str">
        <x:v>AS034</x:v>
      </x:c>
      <x:c r="L16" s="7"/>
    </x:row>
    <x:row r="17" ht="38" customHeight="1">
      <x:c r="A17" s="2" t="str">
        <x:v>A031</x:v>
      </x:c>
      <x:c r="B17" s="2" t="str">
        <x:v>2019-12-15</x:v>
      </x:c>
      <x:c r="C17" s="7" t="str">
        <x:v>上海静安持刀警情与警方开枪处置</x:v>
      </x:c>
      <x:c r="D17" s="2" t="str">
        <x:v>上海</x:v>
      </x:c>
      <x:c r="E17" s="2" t="str">
        <x:v>pending</x:v>
      </x:c>
      <x:c r="F17" s="7" t="str">
        <x:v>有持刀逼近他人的报道，但2名路人伤情来自警方枪弹；不能把此数作为嫌疑人随机砍伤人数。</x:v>
      </x:c>
      <x:c r="G17" s="9" t="n">
        <x:v>0</x:v>
      </x:c>
      <x:c r="H17" s="9"/>
      <x:c r="I17" s="7" t="str">
        <x:v>枪伤处置受害者独列response_injured=2，injured留空；不得计作2名刀伤。</x:v>
      </x:c>
      <x:c r="J17" s="2" t="str">
        <x:v>单一媒体</x:v>
      </x:c>
      <x:c r="K17" s="7" t="str">
        <x:v>AS035</x:v>
      </x:c>
      <x:c r="L17" s="7" t="str">
        <x:v>部分汇编案发日写12月19日，本调查报道明确12月15日。</x:v>
      </x:c>
    </x:row>
    <x:row r="18" ht="38" customHeight="1">
      <x:c r="A18" s="2" t="str">
        <x:v>A035</x:v>
      </x:c>
      <x:c r="B18" s="2" t="str">
        <x:v>2020-06-04</x:v>
      </x:c>
      <x:c r="C18" s="7" t="str">
        <x:v>仙游枫亭镇和平村超市外持刀伤人</x:v>
      </x:c>
      <x:c r="D18" s="2" t="str">
        <x:v>福建</x:v>
      </x:c>
      <x:c r="E18" s="2" t="str">
        <x:v>pending</x:v>
      </x:c>
      <x:c r="F18" s="7" t="str">
        <x:v>警方证实3死7伤；无差别行为主要来自一组红星新闻目击者采访，尚缺官方关系认定或第二独立调查。</x:v>
      </x:c>
      <x:c r="G18" s="9" t="n">
        <x:v>3</x:v>
      </x:c>
      <x:c r="H18" s="9" t="n">
        <x:v>7</x:v>
      </x:c>
      <x:c r="I18" s="7"/>
      <x:c r="J18" s="2" t="str">
        <x:v>单一媒体</x:v>
      </x:c>
      <x:c r="K18" s="7" t="str">
        <x:v>AS039</x:v>
      </x:c>
      <x:c r="L18" s="7"/>
    </x:row>
    <x:row r="19" ht="38" customHeight="1">
      <x:c r="A19" s="2" t="str">
        <x:v>A036</x:v>
      </x:c>
      <x:c r="B19" s="2" t="str">
        <x:v>2020-06-17</x:v>
      </x:c>
      <x:c r="C19" s="7" t="str">
        <x:v>上海徐汇建国西路持刀伤害路人</x:v>
      </x:c>
      <x:c r="D19" s="2" t="str">
        <x:v>上海</x:v>
      </x:c>
      <x:c r="E19" s="2" t="str">
        <x:v>pending</x:v>
      </x:c>
      <x:c r="F19" s="7" t="str">
        <x:v>持刀/徒手主动伤害7人已有警方确认；女友与路人同时受害，但原始目标、起因及攻击顺序未明，尚不能区分核心不特定袭击与特定纠纷扩大。原有碰撞3伤故意性另待核。</x:v>
      </x:c>
      <x:c r="G19" s="9" t="n">
        <x:v>0</x:v>
      </x:c>
      <x:c r="H19" s="9" t="n">
        <x:v>7</x:v>
      </x:c>
      <x:c r="I19" s="7" t="str">
        <x:v>主动持刀/拳击阶段7伤；另3名交通碰撞伤者，其故意性未查明，不并入injured；全事件送医10人。</x:v>
      </x:c>
      <x:c r="J19" s="2" t="str">
        <x:v>官方转载</x:v>
      </x:c>
      <x:c r="K19" s="7" t="str">
        <x:v>AS040</x:v>
      </x:c>
      <x:c r="L19" s="7"/>
    </x:row>
    <x:row r="20" ht="38" customHeight="1">
      <x:c r="A20" s="2" t="str">
        <x:v>A041</x:v>
      </x:c>
      <x:c r="B20" s="2" t="str">
        <x:v>2020-09-21</x:v>
      </x:c>
      <x:c r="C20" s="7" t="str">
        <x:v>广州番禺钟村骏兴路持刀伤人</x:v>
      </x:c>
      <x:c r="D20" s="2" t="str">
        <x:v>广东</x:v>
      </x:c>
      <x:c r="E20" s="2" t="str">
        <x:v>pending</x:v>
      </x:c>
      <x:c r="F20" s="7" t="str">
        <x:v>通报确认事件和伤亡，但未明确受害人关系及选择目标方式，随机性留待补核。</x:v>
      </x:c>
      <x:c r="G20" s="9" t="n">
        <x:v>2</x:v>
      </x:c>
      <x:c r="H20" s="9" t="n">
        <x:v>3</x:v>
      </x:c>
      <x:c r="I20" s="7" t="str">
        <x:v>受害人2死3伤，嫌疑人死亡单列；不把5名最初受伤者与2名死亡重复相加。</x:v>
      </x:c>
      <x:c r="J20" s="2" t="str">
        <x:v>官方转载</x:v>
      </x:c>
      <x:c r="K20" s="7" t="str">
        <x:v>AS046</x:v>
      </x:c>
      <x:c r="L20" s="7"/>
    </x:row>
    <x:row r="21" ht="38" customHeight="1">
      <x:c r="A21" s="2" t="str">
        <x:v>B05</x:v>
      </x:c>
      <x:c r="B21" s="2" t="str">
        <x:v>2021-01-22</x:v>
      </x:c>
      <x:c r="C21" s="7" t="str">
        <x:v>昆明云南师大实验中学门口持刀及劫持案</x:v>
      </x:c>
      <x:c r="D21" s="2" t="str">
        <x:v>云南</x:v>
      </x:c>
      <x:c r="E21" s="2" t="str">
        <x:v>pending</x:v>
      </x:c>
      <x:c r="F21" s="7" t="str">
        <x:v>警方证实校门口连续伤人及劫持学生，但本轮可靠正文未披露受害者与嫌疑人关系或随机选择的明确事实。</x:v>
      </x:c>
      <x:c r="G21" s="9" t="n">
        <x:v>1</x:v>
      </x:c>
      <x:c r="H21" s="9" t="n">
        <x:v>7</x:v>
      </x:c>
      <x:c r="I21" s="7" t="str">
        <x:v>采用警方1死7伤口径；未采信未经后续通报或双独立采集核实的更高死亡数字。</x:v>
      </x:c>
      <x:c r="J21" s="2" t="str">
        <x:v>官方转载</x:v>
      </x:c>
      <x:c r="K21" s="7" t="str">
        <x:v>BS06</x:v>
      </x:c>
      <x:c r="L21" s="7"/>
    </x:row>
    <x:row r="22" ht="38" customHeight="1">
      <x:c r="A22" s="2" t="str">
        <x:v>B50</x:v>
      </x:c>
      <x:c r="B22" s="2" t="str">
        <x:v>2021-03-22</x:v>
      </x:c>
      <x:c r="C22" s="7" t="str">
        <x:v>广州番禺明经村建筑内爆炸案</x:v>
      </x:c>
      <x:c r="D22" s="2" t="str">
        <x:v>广东</x:v>
      </x:c>
      <x:c r="E22" s="2" t="str">
        <x:v>pending</x:v>
      </x:c>
      <x:c r="F22" s="7" t="str">
        <x:v>官方确认人为引燃爆炸，但被害人与嫌疑人关系不明；媒体称村委会及土地纠纷，不足据此判断随机或定向。</x:v>
      </x:c>
      <x:c r="G22" s="9" t="n">
        <x:v>4</x:v>
      </x:c>
      <x:c r="H22" s="9" t="n">
        <x:v>5</x:v>
      </x:c>
      <x:c r="I22" s="7" t="str">
        <x:v>警方5死含嫌疑人，受害者死亡应为4人。</x:v>
      </x:c>
      <x:c r="J22" s="2" t="str">
        <x:v>官方转载</x:v>
      </x:c>
      <x:c r="K22" s="7" t="str">
        <x:v>BS55；BS58</x:v>
      </x:c>
      <x:c r="L22" s="7" t="str">
        <x:v>官方只称建筑内；村委会场景按多家媒体一致报道归类，具体动机留空。</x:v>
      </x:c>
    </x:row>
    <x:row r="23" ht="38" customHeight="1">
      <x:c r="A23" s="2" t="str">
        <x:v>B13</x:v>
      </x:c>
      <x:c r="B23" s="2" t="str">
        <x:v>2021-04-17</x:v>
      </x:c>
      <x:c r="C23" s="7" t="str">
        <x:v>成都华阳伏龙小区持刀伤人案</x:v>
      </x:c>
      <x:c r="D23" s="2" t="str">
        <x:v>四川</x:v>
      </x:c>
      <x:c r="E23" s="2" t="str">
        <x:v>pending</x:v>
      </x:c>
      <x:c r="F23" s="7" t="str">
        <x:v>警方确认母子争吵后伤害他人，但未交代4名伤者与嫌疑人关系，不能据人数认定随机。</x:v>
      </x:c>
      <x:c r="G23" s="9" t="n">
        <x:v>0</x:v>
      </x:c>
      <x:c r="H23" s="9" t="n">
        <x:v>4</x:v>
      </x:c>
      <x:c r="I23" s="7" t="str">
        <x:v>4名伤者均暂无生命危险。</x:v>
      </x:c>
      <x:c r="J23" s="2" t="str">
        <x:v>官方转载</x:v>
      </x:c>
      <x:c r="K23" s="7" t="str">
        <x:v>BS14</x:v>
      </x:c>
      <x:c r="L23" s="7"/>
    </x:row>
    <x:row r="24" ht="38" customHeight="1">
      <x:c r="A24" s="2" t="str">
        <x:v>B06</x:v>
      </x:c>
      <x:c r="B24" s="2" t="str">
        <x:v>2021-04-28</x:v>
      </x:c>
      <x:c r="C24" s="7" t="str">
        <x:v>广西北流新丰镇幼儿园持刀伤人案</x:v>
      </x:c>
      <x:c r="D24" s="2" t="str">
        <x:v>广西</x:v>
      </x:c>
      <x:c r="E24" s="2" t="str">
        <x:v>pending</x:v>
      </x:c>
      <x:c r="F24" s="7" t="str">
        <x:v>幼儿园师生遭袭已获官方证实；公开通报未交代具体对象选择及嫌疑人与园方关系，严格口径暂不直接认定随机。</x:v>
      </x:c>
      <x:c r="G24" s="9" t="n">
        <x:v>2</x:v>
      </x:c>
      <x:c r="H24" s="9" t="n">
        <x:v>16</x:v>
      </x:c>
      <x:c r="I24" s="7"/>
      <x:c r="J24" s="2" t="str">
        <x:v>官方转载</x:v>
      </x:c>
      <x:c r="K24" s="7" t="str">
        <x:v>BS05</x:v>
      </x:c>
      <x:c r="L24" s="7"/>
    </x:row>
    <x:row r="25" ht="38" customHeight="1">
      <x:c r="A25" s="2" t="str">
        <x:v>B09</x:v>
      </x:c>
      <x:c r="B25" s="2" t="str">
        <x:v>2021-05-24</x:v>
      </x:c>
      <x:c r="C25" s="7" t="str">
        <x:v>任丘华北油田采一中学伤人事件</x:v>
      </x:c>
      <x:c r="D25" s="2" t="str">
        <x:v>河北</x:v>
      </x:c>
      <x:c r="E25" s="2" t="str">
        <x:v>pending</x:v>
      </x:c>
      <x:c r="F25" s="7" t="str">
        <x:v>教育部门及医院向记者确认事件和学生受伤；未公开行凶对象关系、人数及动机，不能据网络汇编定为随机。</x:v>
      </x:c>
      <x:c r="G25" s="9"/>
      <x:c r="H25" s="9"/>
      <x:c r="I25" s="7"/>
      <x:c r="J25" s="2" t="str">
        <x:v>单一媒体</x:v>
      </x:c>
      <x:c r="K25" s="7" t="str">
        <x:v>BS09</x:v>
      </x:c>
      <x:c r="L25" s="7"/>
    </x:row>
    <x:row r="26" ht="38" customHeight="1">
      <x:c r="A26" s="2" t="str">
        <x:v>B08</x:v>
      </x:c>
      <x:c r="B26" s="2" t="str">
        <x:v>2021-05-28</x:v>
      </x:c>
      <x:c r="C26" s="7" t="str">
        <x:v>郴州白露塘地下通道学生遇袭案</x:v>
      </x:c>
      <x:c r="D26" s="2" t="str">
        <x:v>湖南</x:v>
      </x:c>
      <x:c r="E26" s="2" t="str">
        <x:v>pending</x:v>
      </x:c>
      <x:c r="F26" s="7" t="str">
        <x:v>单一独立媒体采访确认学生遇袭，未检出官方完整通报或第二独立采集资料，随机性与最终伤亡未充分核实。</x:v>
      </x:c>
      <x:c r="G26" s="9"/>
      <x:c r="H26" s="9"/>
      <x:c r="I26" s="7" t="str">
        <x:v>生活报称5名学生受袭，医院受访人员称至少1死；报道同时称伤亡不明，故不填写精确最终死伤。</x:v>
      </x:c>
      <x:c r="J26" s="2" t="str">
        <x:v>单一媒体</x:v>
      </x:c>
      <x:c r="K26" s="7" t="str">
        <x:v>BS08</x:v>
      </x:c>
      <x:c r="L26" s="7"/>
    </x:row>
    <x:row r="27" ht="38" customHeight="1">
      <x:c r="A27" s="2" t="str">
        <x:v>B14</x:v>
      </x:c>
      <x:c r="B27" s="2" t="str">
        <x:v>2021-07-15</x:v>
      </x:c>
      <x:c r="C27" s="7" t="str">
        <x:v>东莞清溪镇持刀伤人案</x:v>
      </x:c>
      <x:c r="D27" s="2" t="str">
        <x:v>广东</x:v>
      </x:c>
      <x:c r="E27" s="2" t="str">
        <x:v>pending</x:v>
      </x:c>
      <x:c r="F27" s="7" t="str">
        <x:v>通报未披露选择受害者方式、关系和起因。</x:v>
      </x:c>
      <x:c r="G27" s="9"/>
      <x:c r="H27" s="9" t="n">
        <x:v>6</x:v>
      </x:c>
      <x:c r="I27" s="7"/>
      <x:c r="J27" s="2" t="str">
        <x:v>官方转载</x:v>
      </x:c>
      <x:c r="K27" s="7" t="str">
        <x:v>BS15</x:v>
      </x:c>
      <x:c r="L27" s="7"/>
    </x:row>
    <x:row r="28" ht="38" customHeight="1">
      <x:c r="A28" s="2" t="str">
        <x:v>B15</x:v>
      </x:c>
      <x:c r="B28" s="2" t="str">
        <x:v>2021-08-16</x:v>
      </x:c>
      <x:c r="C28" s="7" t="str">
        <x:v>甘肃临洮洮阳镇未成年女孩遭袭案</x:v>
      </x:c>
      <x:c r="D28" s="2" t="str">
        <x:v>甘肃</x:v>
      </x:c>
      <x:c r="E28" s="2" t="str">
        <x:v>pending</x:v>
      </x:c>
      <x:c r="F28" s="7" t="str">
        <x:v>已证实刑案及伤亡，受害者为出门女孩；未查明双方是否相识或特定纠纷，保守待核。</x:v>
      </x:c>
      <x:c r="G28" s="9" t="n">
        <x:v>2</x:v>
      </x:c>
      <x:c r="H28" s="9" t="n">
        <x:v>1</x:v>
      </x:c>
      <x:c r="I28" s="7"/>
      <x:c r="J28" s="2" t="str">
        <x:v>官方转载</x:v>
      </x:c>
      <x:c r="K28" s="7" t="str">
        <x:v>BS16；BS17</x:v>
      </x:c>
      <x:c r="L28" s="7"/>
    </x:row>
    <x:row r="29" ht="38" customHeight="1">
      <x:c r="A29" s="2" t="str">
        <x:v>B16</x:v>
      </x:c>
      <x:c r="B29" s="2" t="str">
        <x:v>2021-08-28</x:v>
      </x:c>
      <x:c r="C29" s="7" t="str">
        <x:v>广州番禺清河中路持刀伤人案</x:v>
      </x:c>
      <x:c r="D29" s="2" t="str">
        <x:v>广东</x:v>
      </x:c>
      <x:c r="E29" s="2" t="str">
        <x:v>pending</x:v>
      </x:c>
      <x:c r="F29" s="7" t="str">
        <x:v>官方确认伤人，未披露目标关系，随机性不足。</x:v>
      </x:c>
      <x:c r="G29" s="9"/>
      <x:c r="H29" s="9" t="n">
        <x:v>3</x:v>
      </x:c>
      <x:c r="I29" s="7"/>
      <x:c r="J29" s="2" t="str">
        <x:v>官方转载</x:v>
      </x:c>
      <x:c r="K29" s="7" t="str">
        <x:v>BS18</x:v>
      </x:c>
      <x:c r="L29" s="7" t="str">
        <x:v>部分汇编将此案误标2019年；按当年警方通报纠正为2021年。</x:v>
      </x:c>
    </x:row>
    <x:row r="30" ht="38" customHeight="1">
      <x:c r="A30" s="2" t="str">
        <x:v>B48</x:v>
      </x:c>
      <x:c r="B30" s="2" t="str">
        <x:v>2021-12-29</x:v>
      </x:c>
      <x:c r="C30" s="7" t="str">
        <x:v>长沙望城企业工友持刀伤害案</x:v>
      </x:c>
      <x:c r="D30" s="2" t="str">
        <x:v>湖南</x:v>
      </x:c>
      <x:c r="E30" s="2" t="str">
        <x:v>excluded</x:v>
      </x:c>
      <x:c r="F30" s="7" t="str">
        <x:v>警方明确系与工友争执后刺伤工友，未发现攻击无关人的证据，按定向工作纠纷排除。</x:v>
      </x:c>
      <x:c r="G30" s="9" t="n">
        <x:v>3</x:v>
      </x:c>
      <x:c r="H30" s="9" t="n">
        <x:v>2</x:v>
      </x:c>
      <x:c r="I30" s="7" t="str">
        <x:v>两人伤势较重但无生命危险，不直接填司法重伤2人。</x:v>
      </x:c>
      <x:c r="J30" s="2" t="str">
        <x:v>官方转载</x:v>
      </x:c>
      <x:c r="K30" s="7" t="str">
        <x:v>BS51</x:v>
      </x:c>
      <x:c r="L30" s="7"/>
    </x:row>
    <x:row r="31" ht="38" customHeight="1">
      <x:c r="A31" s="2" t="str">
        <x:v>B18</x:v>
      </x:c>
      <x:c r="B31" s="2" t="str">
        <x:v>2022-02-12</x:v>
      </x:c>
      <x:c r="C31" s="7" t="str">
        <x:v>沈阳232路公交爆炸事件</x:v>
      </x:c>
      <x:c r="D31" s="2" t="str">
        <x:v>辽宁</x:v>
      </x:c>
      <x:c r="E31" s="2" t="str">
        <x:v>pending</x:v>
      </x:c>
      <x:c r="F31" s="7" t="str">
        <x:v>爆炸原因未公开核实，不能确认犯罪或故意袭击。</x:v>
      </x:c>
      <x:c r="G31" s="9" t="n">
        <x:v>1</x:v>
      </x:c>
      <x:c r="H31" s="9" t="n">
        <x:v>42</x:v>
      </x:c>
      <x:c r="I31" s="7" t="str">
        <x:v>警方初报1死2重伤40轻伤。</x:v>
      </x:c>
      <x:c r="J31" s="2" t="str">
        <x:v>官方转载</x:v>
      </x:c>
      <x:c r="K31" s="7" t="str">
        <x:v>BS20</x:v>
      </x:c>
      <x:c r="L31" s="7"/>
    </x:row>
    <x:row r="32" ht="38" customHeight="1">
      <x:c r="A32" s="2" t="str">
        <x:v>B19</x:v>
      </x:c>
      <x:c r="B32" s="2" t="str">
        <x:v>2022-02-14</x:v>
      </x:c>
      <x:c r="C32" s="7" t="str">
        <x:v>福建南靖山城镇货车撞人事件</x:v>
      </x:c>
      <x:c r="D32" s="2" t="str">
        <x:v>福建</x:v>
      </x:c>
      <x:c r="E32" s="2" t="str">
        <x:v>pending</x:v>
      </x:c>
      <x:c r="F32" s="7" t="str">
        <x:v>警方仅通报货车碰撞及调查，故意性和随机选择未证实。</x:v>
      </x:c>
      <x:c r="G32" s="9" t="n">
        <x:v>3</x:v>
      </x:c>
      <x:c r="H32" s="9" t="n">
        <x:v>9</x:v>
      </x:c>
      <x:c r="I32" s="7"/>
      <x:c r="J32" s="2" t="str">
        <x:v>官方转载</x:v>
      </x:c>
      <x:c r="K32" s="7" t="str">
        <x:v>BS21</x:v>
      </x:c>
      <x:c r="L32" s="7"/>
    </x:row>
    <x:row r="33" ht="38" customHeight="1">
      <x:c r="A33" s="2" t="str">
        <x:v>B20</x:v>
      </x:c>
      <x:c r="B33" s="2" t="str">
        <x:v>2022-03-20</x:v>
      </x:c>
      <x:c r="C33" s="7" t="str">
        <x:v>邯郸人民路车辆碰撞非机动车事件</x:v>
      </x:c>
      <x:c r="D33" s="2" t="str">
        <x:v>河北</x:v>
      </x:c>
      <x:c r="E33" s="2" t="str">
        <x:v>pending</x:v>
      </x:c>
      <x:c r="F33" s="7" t="str">
        <x:v>以危险方法危害公共安全罪刑拘不能单独证明随机袭击；警方初步归因超量服药，未检出后续故意性认定。</x:v>
      </x:c>
      <x:c r="G33" s="9" t="n">
        <x:v>4</x:v>
      </x:c>
      <x:c r="H33" s="9" t="n">
        <x:v>10</x:v>
      </x:c>
      <x:c r="I33" s="7" t="str">
        <x:v>初报14人受伤中4人死亡，幸存伤者10人。</x:v>
      </x:c>
      <x:c r="J33" s="2" t="str">
        <x:v>官方转载</x:v>
      </x:c>
      <x:c r="K33" s="7" t="str">
        <x:v>BS22</x:v>
      </x:c>
      <x:c r="L33" s="7"/>
    </x:row>
    <x:row r="34" ht="38" customHeight="1">
      <x:c r="A34" s="2" t="str">
        <x:v>B21</x:v>
      </x:c>
      <x:c r="B34" s="2" t="str">
        <x:v>2022-04-14</x:v>
      </x:c>
      <x:c r="C34" s="7" t="str">
        <x:v>甘肃岷县同院住户伤害案</x:v>
      </x:c>
      <x:c r="D34" s="2" t="str">
        <x:v>甘肃</x:v>
      </x:c>
      <x:c r="E34" s="2" t="str">
        <x:v>pending</x:v>
      </x:c>
      <x:c r="F34" s="7" t="str">
        <x:v>同院邻里纠纷；未交代伤者是否属于纠纷对方家庭，不能仅因有儿童就认定扩大伤害无关人员。</x:v>
      </x:c>
      <x:c r="G34" s="9" t="n">
        <x:v>0</x:v>
      </x:c>
      <x:c r="H34" s="9" t="n">
        <x:v>7</x:v>
      </x:c>
      <x:c r="I34" s="7" t="str">
        <x:v>1人出院，其余6人病情平稳。</x:v>
      </x:c>
      <x:c r="J34" s="2" t="str">
        <x:v>官方转载</x:v>
      </x:c>
      <x:c r="K34" s="7" t="str">
        <x:v>BS23</x:v>
      </x:c>
      <x:c r="L34" s="7" t="str">
        <x:v>汇编所称4月1日幼儿园案不符官方日期与地点；通报未写凶器，方法暂列其他。</x:v>
      </x:c>
    </x:row>
    <x:row r="35" ht="38" customHeight="1">
      <x:c r="A35" s="2" t="str">
        <x:v>B22</x:v>
      </x:c>
      <x:c r="B35" s="2" t="str">
        <x:v>2022-06-02</x:v>
      </x:c>
      <x:c r="C35" s="7" t="str">
        <x:v>东莞东城万达广场附近持刀伤人案</x:v>
      </x:c>
      <x:c r="D35" s="2" t="str">
        <x:v>广东</x:v>
      </x:c>
      <x:c r="E35" s="2" t="str">
        <x:v>pending</x:v>
      </x:c>
      <x:c r="F35" s="7" t="str">
        <x:v>官方证实6人受伤，但随机细节只有未独立核实视频和网述，保守待核。</x:v>
      </x:c>
      <x:c r="G35" s="9"/>
      <x:c r="H35" s="9" t="n">
        <x:v>6</x:v>
      </x:c>
      <x:c r="I35" s="7"/>
      <x:c r="J35" s="2" t="str">
        <x:v>官方转载</x:v>
      </x:c>
      <x:c r="K35" s="7" t="str">
        <x:v>BS24</x:v>
      </x:c>
      <x:c r="L35" s="7"/>
    </x:row>
    <x:row r="36" ht="38" customHeight="1">
      <x:c r="A36" s="2" t="str">
        <x:v>B24</x:v>
      </x:c>
      <x:c r="B36" s="2" t="str">
        <x:v>2022-07-26</x:v>
      </x:c>
      <x:c r="C36" s="7" t="str">
        <x:v>四川沐川警察枪击及杀人纵火案</x:v>
      </x:c>
      <x:c r="D36" s="2" t="str">
        <x:v>四川</x:v>
      </x:c>
      <x:c r="E36" s="2" t="str">
        <x:v>excluded</x:v>
      </x:c>
      <x:c r="F36" s="7" t="str">
        <x:v>可靠报道确认伤亡对象为同一家庭及亲属，没有随机袭击陌生人的证据，排除核心。</x:v>
      </x:c>
      <x:c r="G36" s="9" t="n">
        <x:v>3</x:v>
      </x:c>
      <x:c r="H36" s="9" t="n">
        <x:v>2</x:v>
      </x:c>
      <x:c r="I36" s="7" t="str">
        <x:v>嫌疑人逃匿后高坠死亡单列。</x:v>
      </x:c>
      <x:c r="J36" s="2" t="str">
        <x:v>官方转载</x:v>
      </x:c>
      <x:c r="K36" s="7" t="str">
        <x:v>BS26</x:v>
      </x:c>
      <x:c r="L36" s="7"/>
    </x:row>
    <x:row r="37" ht="38" customHeight="1">
      <x:c r="A37" s="2" t="str">
        <x:v>B25</x:v>
      </x:c>
      <x:c r="B37" s="2" t="str">
        <x:v>2022-07-28</x:v>
      </x:c>
      <x:c r="C37" s="7" t="str">
        <x:v>河南舞阳张家港路连续碰撞事件</x:v>
      </x:c>
      <x:c r="D37" s="2" t="str">
        <x:v>河南</x:v>
      </x:c>
      <x:c r="E37" s="2" t="str">
        <x:v>pending</x:v>
      </x:c>
      <x:c r="F37" s="7" t="str">
        <x:v>连续碰撞和媒体所称刑事案件不能替代主观故意与随机性的证据；官方当时称交通肇事逃逸。</x:v>
      </x:c>
      <x:c r="G37" s="9" t="n">
        <x:v>1</x:v>
      </x:c>
      <x:c r="H37" s="9" t="n">
        <x:v>28</x:v>
      </x:c>
      <x:c r="I37" s="7" t="str">
        <x:v>2人伤势较重，不将临床描述直接等同司法重伤。</x:v>
      </x:c>
      <x:c r="J37" s="2" t="str">
        <x:v>官方转载</x:v>
      </x:c>
      <x:c r="K37" s="7" t="str">
        <x:v>BS27</x:v>
      </x:c>
      <x:c r="L37" s="7"/>
    </x:row>
    <x:row r="38" ht="38" customHeight="1">
      <x:c r="A38" s="2" t="str">
        <x:v>B26</x:v>
      </x:c>
      <x:c r="B38" s="2" t="str">
        <x:v>2022-08-03</x:v>
      </x:c>
      <x:c r="C38" s="7" t="str">
        <x:v>江西安福幼儿园持刀伤人案</x:v>
      </x:c>
      <x:c r="D38" s="2" t="str">
        <x:v>江西</x:v>
      </x:c>
      <x:c r="E38" s="2" t="str">
        <x:v>pending</x:v>
      </x:c>
      <x:c r="F38" s="7" t="str">
        <x:v>已核实校园伤害及伤亡，但缺乏目标关系和选择方式的可靠说明，不仅因师生多人受害就认定随机。</x:v>
      </x:c>
      <x:c r="G38" s="9" t="n">
        <x:v>4</x:v>
      </x:c>
      <x:c r="H38" s="9" t="n">
        <x:v>5</x:v>
      </x:c>
      <x:c r="I38" s="7" t="str">
        <x:v>初报3死6伤，后续截至8月5日4死5伤；嫌疑人逃跑交通事故身亡单列。</x:v>
      </x:c>
      <x:c r="J38" s="2" t="str">
        <x:v>官方转载</x:v>
      </x:c>
      <x:c r="K38" s="7" t="str">
        <x:v>BS28；BS57</x:v>
      </x:c>
      <x:c r="L38" s="7"/>
    </x:row>
    <x:row r="39" ht="38" customHeight="1">
      <x:c r="A39" s="2" t="str">
        <x:v>B49</x:v>
      </x:c>
      <x:c r="B39" s="2" t="str">
        <x:v>2022-08-08</x:v>
      </x:c>
      <x:c r="C39" s="7" t="str">
        <x:v>河南郸城世纪广场持刀伤人案</x:v>
      </x:c>
      <x:c r="D39" s="2" t="str">
        <x:v>河南</x:v>
      </x:c>
      <x:c r="E39" s="2" t="str">
        <x:v>pending</x:v>
      </x:c>
      <x:c r="F39" s="7" t="str">
        <x:v>官方未说明双方关系或随机作案；不能采用网络汇编的无差别标签。</x:v>
      </x:c>
      <x:c r="G39" s="9" t="n">
        <x:v>0</x:v>
      </x:c>
      <x:c r="H39" s="9" t="n">
        <x:v>2</x:v>
      </x:c>
      <x:c r="I39" s="7"/>
      <x:c r="J39" s="2" t="str">
        <x:v>官方转载</x:v>
      </x:c>
      <x:c r="K39" s="7" t="str">
        <x:v>BS54</x:v>
      </x:c>
      <x:c r="L39" s="7"/>
    </x:row>
    <x:row r="40" ht="38" customHeight="1">
      <x:c r="A40" s="2" t="str">
        <x:v>B29</x:v>
      </x:c>
      <x:c r="B40" s="2" t="str">
        <x:v>2023-03-31</x:v>
      </x:c>
      <x:c r="C40" s="7" t="str">
        <x:v>邯郸中华北大街连续车辆碰撞事件</x:v>
      </x:c>
      <x:c r="D40" s="2" t="str">
        <x:v>河北</x:v>
      </x:c>
      <x:c r="E40" s="2" t="str">
        <x:v>pending</x:v>
      </x:c>
      <x:c r="F40" s="7" t="str">
        <x:v>部门确认事件存在，但伤亡和动机仍调查；网传爆炸物被否认，缺乏故意随机袭击正式认定。</x:v>
      </x:c>
      <x:c r="G40" s="9"/>
      <x:c r="H40" s="9"/>
      <x:c r="I40" s="7" t="str">
        <x:v>不能使用网传十余伤、一死等数值。</x:v>
      </x:c>
      <x:c r="J40" s="2" t="str">
        <x:v>单一媒体</x:v>
      </x:c>
      <x:c r="K40" s="7" t="str">
        <x:v>BS32</x:v>
      </x:c>
      <x:c r="L40" s="7" t="str">
        <x:v>不采用视频汇编中的手雷/爆炸定性。</x:v>
      </x:c>
    </x:row>
    <x:row r="41" ht="38" customHeight="1">
      <x:c r="A41" s="2" t="str">
        <x:v>B30</x:v>
      </x:c>
      <x:c r="B41" s="2" t="str">
        <x:v>2023-04-02</x:v>
      </x:c>
      <x:c r="C41" s="7" t="str">
        <x:v>重庆江北建新西路持刀袭击路人案</x:v>
      </x:c>
      <x:c r="D41" s="2" t="str">
        <x:v>重庆</x:v>
      </x:c>
      <x:c r="E41" s="2" t="str">
        <x:v>pending</x:v>
      </x:c>
      <x:c r="F41" s="7" t="str">
        <x:v>警方确认持刀行凶致4名路人受伤，但未披露起始对象关系及选择方式；补查现场采访仅能确认群众制止过程，尚不足排除定向纠纷或伴随伤害，保留待核。</x:v>
      </x:c>
      <x:c r="G41" s="9" t="n">
        <x:v>0</x:v>
      </x:c>
      <x:c r="H41" s="9" t="n">
        <x:v>4</x:v>
      </x:c>
      <x:c r="I41" s="7"/>
      <x:c r="J41" s="2" t="str">
        <x:v>官方转载</x:v>
      </x:c>
      <x:c r="K41" s="7" t="str">
        <x:v>BS33</x:v>
      </x:c>
      <x:c r="L41" s="7"/>
    </x:row>
    <x:row r="42" ht="38" customHeight="1">
      <x:c r="A42" s="2" t="str">
        <x:v>B31</x:v>
      </x:c>
      <x:c r="B42" s="2" t="str">
        <x:v>2023-04-08</x:v>
      </x:c>
      <x:c r="C42" s="7" t="str">
        <x:v>平顶山新兴路感情纠纷驾车冲撞案</x:v>
      </x:c>
      <x:c r="D42" s="2" t="str">
        <x:v>河南</x:v>
      </x:c>
      <x:c r="E42" s="2" t="str">
        <x:v>pending</x:v>
      </x:c>
      <x:c r="F42" s="7" t="str">
        <x:v>确认定向驾车冲撞女子后多人受害，但其余人的关系未说明，不能仅据人数认定无关者卷入。</x:v>
      </x:c>
      <x:c r="G42" s="9" t="n">
        <x:v>3</x:v>
      </x:c>
      <x:c r="H42" s="9"/>
      <x:c r="I42" s="7" t="str">
        <x:v>官方句式未明确7伤是否包含后续死亡3人，幸存伤者数不直接填7或4。</x:v>
      </x:c>
      <x:c r="J42" s="2" t="str">
        <x:v>官方转载</x:v>
      </x:c>
      <x:c r="K42" s="7" t="str">
        <x:v>BS34</x:v>
      </x:c>
      <x:c r="L42" s="7"/>
    </x:row>
    <x:row r="43" ht="38" customHeight="1">
      <x:c r="A43" s="2" t="str">
        <x:v>B33</x:v>
      </x:c>
      <x:c r="B43" s="2" t="str">
        <x:v>2023-05-12</x:v>
      </x:c>
      <x:c r="C43" s="7" t="str">
        <x:v>中山大涌镇装载作业车连续碰撞事件</x:v>
      </x:c>
      <x:c r="D43" s="2" t="str">
        <x:v>广东</x:v>
      </x:c>
      <x:c r="E43" s="2" t="str">
        <x:v>pending</x:v>
      </x:c>
      <x:c r="F43" s="7" t="str">
        <x:v>通报没有确认故意冲撞或随机选择对象；仅凭连续碰撞无法定性。</x:v>
      </x:c>
      <x:c r="G43" s="9" t="n">
        <x:v>0</x:v>
      </x:c>
      <x:c r="H43" s="9" t="n">
        <x:v>4</x:v>
      </x:c>
      <x:c r="I43" s="7"/>
      <x:c r="J43" s="2" t="str">
        <x:v>官方转载</x:v>
      </x:c>
      <x:c r="K43" s="7" t="str">
        <x:v>BS36</x:v>
      </x:c>
      <x:c r="L43" s="7"/>
    </x:row>
    <x:row r="44" ht="38" customHeight="1">
      <x:c r="A44" s="2" t="str">
        <x:v>B35</x:v>
      </x:c>
      <x:c r="B44" s="2" t="str">
        <x:v>2023-05-14</x:v>
      </x:c>
      <x:c r="C44" s="7" t="str">
        <x:v>贵阳云岩百草巷剪刀袭击行人案</x:v>
      </x:c>
      <x:c r="D44" s="2" t="str">
        <x:v>贵州</x:v>
      </x:c>
      <x:c r="E44" s="2" t="str">
        <x:v>pending</x:v>
      </x:c>
      <x:c r="F44" s="7" t="str">
        <x:v>警方确认剪刀伤及路过的几名行人，但未披露双方关系及选择目标过程；本轮补查未取得可靠随机性认定，不能仅凭多人或精神状态推定随机，保留待核。</x:v>
      </x:c>
      <x:c r="G44" s="9" t="n">
        <x:v>0</x:v>
      </x:c>
      <x:c r="H44" s="9"/>
      <x:c r="I44" s="7" t="str">
        <x:v>未发布确切受伤人数，不能用汇编数字替代。</x:v>
      </x:c>
      <x:c r="J44" s="2" t="str">
        <x:v>官方转载</x:v>
      </x:c>
      <x:c r="K44" s="7" t="str">
        <x:v>BS38</x:v>
      </x:c>
      <x:c r="L44" s="7" t="str">
        <x:v>案发为5月14日，5月15日系报道日。</x:v>
      </x:c>
    </x:row>
    <x:row r="45" ht="38" customHeight="1">
      <x:c r="A45" s="2" t="str">
        <x:v>B36</x:v>
      </x:c>
      <x:c r="B45" s="2" t="str">
        <x:v>2023-05-18</x:v>
      </x:c>
      <x:c r="C45" s="7" t="str">
        <x:v>四川南部桂博路持刀伤人案</x:v>
      </x:c>
      <x:c r="D45" s="2" t="str">
        <x:v>四川</x:v>
      </x:c>
      <x:c r="E45" s="2" t="str">
        <x:v>pending</x:v>
      </x:c>
      <x:c r="F45" s="7" t="str">
        <x:v>通报未说明受害者关系或随机选择，无充分独立材料证明随机性。</x:v>
      </x:c>
      <x:c r="G45" s="9" t="n">
        <x:v>0</x:v>
      </x:c>
      <x:c r="H45" s="9" t="n">
        <x:v>8</x:v>
      </x:c>
      <x:c r="I45" s="7"/>
      <x:c r="J45" s="2" t="str">
        <x:v>官方转载</x:v>
      </x:c>
      <x:c r="K45" s="7" t="str">
        <x:v>BS39</x:v>
      </x:c>
      <x:c r="L45" s="7"/>
    </x:row>
    <x:row r="46" ht="38" customHeight="1">
      <x:c r="A46" s="2" t="str">
        <x:v>B37</x:v>
      </x:c>
      <x:c r="B46" s="2" t="str">
        <x:v>2023-05-23</x:v>
      </x:c>
      <x:c r="C46" s="7" t="str">
        <x:v>天津和平山西路剪刀伤害路人案</x:v>
      </x:c>
      <x:c r="D46" s="2" t="str">
        <x:v>天津</x:v>
      </x:c>
      <x:c r="E46" s="2" t="str">
        <x:v>pending</x:v>
      </x:c>
      <x:c r="F46" s="7" t="str">
        <x:v>虽称路人，单一目标双方关系与选择原因未明，保守等待随机性证据。</x:v>
      </x:c>
      <x:c r="G46" s="9" t="n">
        <x:v>0</x:v>
      </x:c>
      <x:c r="H46" s="9" t="n">
        <x:v>1</x:v>
      </x:c>
      <x:c r="I46" s="7"/>
      <x:c r="J46" s="2" t="str">
        <x:v>官方转载</x:v>
      </x:c>
      <x:c r="K46" s="7" t="str">
        <x:v>BS40</x:v>
      </x:c>
      <x:c r="L46" s="7"/>
    </x:row>
    <x:row r="47" ht="38" customHeight="1">
      <x:c r="A47" s="2" t="str">
        <x:v>B38</x:v>
      </x:c>
      <x:c r="B47" s="2" t="str">
        <x:v>2023-06-06</x:v>
      </x:c>
      <x:c r="C47" s="7" t="str">
        <x:v>长沙开福滨河路面包车撞人事件</x:v>
      </x:c>
      <x:c r="D47" s="2" t="str">
        <x:v>湖南</x:v>
      </x:c>
      <x:c r="E47" s="2" t="str">
        <x:v>pending</x:v>
      </x:c>
      <x:c r="F47" s="7" t="str">
        <x:v>仅有撞人逃逸事实，未确立故意性和无差别袭击动机。</x:v>
      </x:c>
      <x:c r="G47" s="9" t="n">
        <x:v>0</x:v>
      </x:c>
      <x:c r="H47" s="9" t="n">
        <x:v>9</x:v>
      </x:c>
      <x:c r="I47" s="7" t="str">
        <x:v>一人伤势较重，8人稳定无生命危险；未给司法重伤等级。</x:v>
      </x:c>
      <x:c r="J47" s="2" t="str">
        <x:v>官方转载</x:v>
      </x:c>
      <x:c r="K47" s="7" t="str">
        <x:v>BS41</x:v>
      </x:c>
      <x:c r="L47" s="7"/>
    </x:row>
    <x:row r="48" ht="38" customHeight="1">
      <x:c r="A48" s="2" t="str">
        <x:v>B39</x:v>
      </x:c>
      <x:c r="B48" s="2" t="str">
        <x:v>2023-06-16</x:v>
      </x:c>
      <x:c r="C48" s="7" t="str">
        <x:v>秦皇岛建国路持刀伤人事件</x:v>
      </x:c>
      <x:c r="D48" s="2" t="str">
        <x:v>河北</x:v>
      </x:c>
      <x:c r="E48" s="2" t="str">
        <x:v>pending</x:v>
      </x:c>
      <x:c r="F48" s="7" t="str">
        <x:v>已采访警方确认事件，但人数、对象关系与随机性未明确。</x:v>
      </x:c>
      <x:c r="G48" s="9"/>
      <x:c r="H48" s="9"/>
      <x:c r="I48" s="7" t="str">
        <x:v>网传十余人受伤没有官方确认，死亡和受伤人数均留空。</x:v>
      </x:c>
      <x:c r="J48" s="2" t="str">
        <x:v>单一媒体</x:v>
      </x:c>
      <x:c r="K48" s="7" t="str">
        <x:v>BS42</x:v>
      </x:c>
      <x:c r="L48" s="7"/>
    </x:row>
    <x:row r="49" ht="38" customHeight="1">
      <x:c r="A49" s="2" t="str">
        <x:v>B42</x:v>
      </x:c>
      <x:c r="B49" s="2" t="str">
        <x:v>2023-06-30</x:v>
      </x:c>
      <x:c r="C49" s="7" t="str">
        <x:v>海南临高临城镇二环路持刀伤人案</x:v>
      </x:c>
      <x:c r="D49" s="2" t="str">
        <x:v>海南</x:v>
      </x:c>
      <x:c r="E49" s="2" t="str">
        <x:v>pending</x:v>
      </x:c>
      <x:c r="F49" s="7" t="str">
        <x:v>官方证实伤人，未披露人数、目标关系或选择方式。</x:v>
      </x:c>
      <x:c r="G49" s="9" t="n">
        <x:v>0</x:v>
      </x:c>
      <x:c r="H49" s="9"/>
      <x:c r="I49" s="7" t="str">
        <x:v>通报称伤者均无生命危险，网传具体人数不采用。</x:v>
      </x:c>
      <x:c r="J49" s="2" t="str">
        <x:v>官方转载</x:v>
      </x:c>
      <x:c r="K49" s="7" t="str">
        <x:v>BS45</x:v>
      </x:c>
      <x:c r="L49" s="7"/>
    </x:row>
    <x:row r="50" ht="38" customHeight="1">
      <x:c r="A50" s="2" t="str">
        <x:v>B43</x:v>
      </x:c>
      <x:c r="B50" s="2" t="str">
        <x:v>2023-07-10</x:v>
      </x:c>
      <x:c r="C50" s="7" t="str">
        <x:v>广东廉江横山镇幼儿园持刀伤人案</x:v>
      </x:c>
      <x:c r="D50" s="2" t="str">
        <x:v>广东</x:v>
      </x:c>
      <x:c r="E50" s="2" t="str">
        <x:v>pending</x:v>
      </x:c>
      <x:c r="F50" s="7" t="str">
        <x:v>案件伤亡已获警方证实，尚无可靠材料确认对象选择与关系；不采信网传私人报复起因，也不直接称随机。</x:v>
      </x:c>
      <x:c r="G50" s="9" t="n">
        <x:v>6</x:v>
      </x:c>
      <x:c r="H50" s="9" t="n">
        <x:v>1</x:v>
      </x:c>
      <x:c r="I50" s="7"/>
      <x:c r="J50" s="2" t="str">
        <x:v>官方转载</x:v>
      </x:c>
      <x:c r="K50" s="7" t="str">
        <x:v>BS46</x:v>
      </x:c>
      <x:c r="L50" s="7"/>
    </x:row>
    <x:row r="51" ht="38" customHeight="1">
      <x:c r="A51" s="2" t="str">
        <x:v>B45</x:v>
      </x:c>
      <x:c r="B51" s="2" t="str">
        <x:v>2023-08-17</x:v>
      </x:c>
      <x:c r="C51" s="7" t="str">
        <x:v>湖北枣阳万象城附近沿街持刀伤人事件</x:v>
      </x:c>
      <x:c r="D51" s="2" t="str">
        <x:v>湖北</x:v>
      </x:c>
      <x:c r="E51" s="2" t="str">
        <x:v>pending</x:v>
      </x:c>
      <x:c r="F51" s="7" t="str">
        <x:v>目击采访支持沿街攻击路人，但目前只有同一电视报道转载，未满足独立多源或官方证据标准。</x:v>
      </x:c>
      <x:c r="G51" s="9"/>
      <x:c r="H51" s="9" t="n">
        <x:v>4</x:v>
      </x:c>
      <x:c r="I51" s="7" t="str">
        <x:v>4伤来自目击者，非官方最终数字；是否死亡未见可靠说明。</x:v>
      </x:c>
      <x:c r="J51" s="2" t="str">
        <x:v>单一媒体</x:v>
      </x:c>
      <x:c r="K51" s="7" t="str">
        <x:v>BS48</x:v>
      </x:c>
      <x:c r="L51" s="7" t="str">
        <x:v>不采信目击者关于精神病的猜测。</x:v>
      </x:c>
    </x:row>
    <x:row r="52" ht="38" customHeight="1">
      <x:c r="A52" s="2" t="str">
        <x:v>B47</x:v>
      </x:c>
      <x:c r="B52" s="2" t="str">
        <x:v>2023-11-09</x:v>
      </x:c>
      <x:c r="C52" s="7" t="str">
        <x:v>深圳龙华大浪广场附近持刀伤人案</x:v>
      </x:c>
      <x:c r="D52" s="2" t="str">
        <x:v>广东</x:v>
      </x:c>
      <x:c r="E52" s="2" t="str">
        <x:v>pending</x:v>
      </x:c>
      <x:c r="F52" s="7" t="str">
        <x:v>事件伤亡获警方确认，但起因和对象关系未披露。</x:v>
      </x:c>
      <x:c r="G52" s="9" t="n">
        <x:v>1</x:v>
      </x:c>
      <x:c r="H52" s="9" t="n">
        <x:v>3</x:v>
      </x:c>
      <x:c r="I52" s="7"/>
      <x:c r="J52" s="2" t="str">
        <x:v>官方转载</x:v>
      </x:c>
      <x:c r="K52" s="7" t="str">
        <x:v>BS50</x:v>
      </x:c>
      <x:c r="L52" s="7" t="str">
        <x:v>部分汇编称20时，按警方通报18时。</x:v>
      </x:c>
    </x:row>
    <x:row r="53" ht="38" customHeight="1">
      <x:c r="A53" s="2" t="str">
        <x:v>B46</x:v>
      </x:c>
      <x:c r="B53" s="2" t="str">
        <x:v>2023-12-24</x:v>
      </x:c>
      <x:c r="C53" s="7" t="str">
        <x:v>成都新都同福路持刀伤人案</x:v>
      </x:c>
      <x:c r="D53" s="2" t="str">
        <x:v>四川</x:v>
      </x:c>
      <x:c r="E53" s="2" t="str">
        <x:v>pending</x:v>
      </x:c>
      <x:c r="F53" s="7" t="str">
        <x:v>官方确认事件但未披露确切人数或受害者关系，不能仅凭地点和精神病史推断随机。</x:v>
      </x:c>
      <x:c r="G53" s="9" t="n">
        <x:v>0</x:v>
      </x:c>
      <x:c r="H53" s="9"/>
      <x:c r="I53" s="7" t="str">
        <x:v>通报未给伤者数，不采用汇编的5伤。</x:v>
      </x:c>
      <x:c r="J53" s="2" t="str">
        <x:v>官方转载</x:v>
      </x:c>
      <x:c r="K53" s="7" t="str">
        <x:v>BS49</x:v>
      </x:c>
      <x:c r="L53" s="7"/>
    </x:row>
    <x:row r="54" ht="38" customHeight="1">
      <x:c r="A54" s="2" t="str">
        <x:v>C005</x:v>
      </x:c>
      <x:c r="B54" s="2" t="str">
        <x:v>2024-03-01</x:v>
      </x:c>
      <x:c r="C54" s="7" t="str">
        <x:v>德州安居苑道路车辆撞人事件</x:v>
      </x:c>
      <x:c r="D54" s="2" t="str">
        <x:v>山东</x:v>
      </x:c>
      <x:c r="E54" s="2" t="str">
        <x:v>pending</x:v>
      </x:c>
      <x:c r="F54" s="7" t="str">
        <x:v>警方确认车辆冲撞及伤亡，公开报道仍称交通肇事；未取得可证明故意袭击或随机性的裁判材料。</x:v>
      </x:c>
      <x:c r="G54" s="9" t="n">
        <x:v>2</x:v>
      </x:c>
      <x:c r="H54" s="9"/>
      <x:c r="I54" s="7"/>
      <x:c r="J54" s="2" t="str">
        <x:v>官方转载</x:v>
      </x:c>
      <x:c r="K54" s="7" t="str">
        <x:v>CS008</x:v>
      </x:c>
      <x:c r="L54" s="7" t="str">
        <x:v>6为已披露重伤人数；不把网上所传十余儿童或同名旧案拼接为本案事实。</x:v>
      </x:c>
    </x:row>
    <x:row r="55" ht="38" customHeight="1">
      <x:c r="A55" s="2" t="str">
        <x:v>C009</x:v>
      </x:c>
      <x:c r="B55" s="2" t="str">
        <x:v>2024-03-04</x:v>
      </x:c>
      <x:c r="C55" s="7" t="str">
        <x:v>祁东三友小学持刀袭击报道</x:v>
      </x:c>
      <x:c r="D55" s="2" t="str">
        <x:v>湖南</x:v>
      </x:c>
      <x:c r="E55" s="2" t="str">
        <x:v>pending</x:v>
      </x:c>
      <x:c r="F55" s="7" t="str">
        <x:v>独立记者采访的单一报道可见存档，缺第二独立采集来源及完整官方确认。</x:v>
      </x:c>
      <x:c r="G55" s="9"/>
      <x:c r="H55" s="9"/>
      <x:c r="I55" s="7" t="str">
        <x:v>单一媒体称1死1伤；未作为核实数字。</x:v>
      </x:c>
      <x:c r="J55" s="2" t="str">
        <x:v>单一媒体</x:v>
      </x:c>
      <x:c r="K55" s="7" t="str">
        <x:v>CS015</x:v>
      </x:c>
      <x:c r="L55" s="7"/>
    </x:row>
    <x:row r="56" ht="38" customHeight="1">
      <x:c r="A56" s="2" t="str">
        <x:v>C006</x:v>
      </x:c>
      <x:c r="B56" s="2" t="str">
        <x:v>2024-03-19</x:v>
      </x:c>
      <x:c r="C56" s="7" t="str">
        <x:v>台州职业技术学院车辆冲撞事件</x:v>
      </x:c>
      <x:c r="D56" s="2" t="str">
        <x:v>浙江</x:v>
      </x:c>
      <x:c r="E56" s="2" t="str">
        <x:v>pending</x:v>
      </x:c>
      <x:c r="F56" s="7" t="str">
        <x:v>媒体有学生访谈和疑似威胁聊天截图，但尚未取得明确故意性及随机性司法认定；保守待核。</x:v>
      </x:c>
      <x:c r="G56" s="9" t="n">
        <x:v>3</x:v>
      </x:c>
      <x:c r="H56" s="9" t="n">
        <x:v>16</x:v>
      </x:c>
      <x:c r="I56" s="7"/>
      <x:c r="J56" s="2" t="str">
        <x:v>官方转载</x:v>
      </x:c>
      <x:c r="K56" s="7" t="str">
        <x:v>CS009；CS010</x:v>
      </x:c>
      <x:c r="L56" s="7" t="str">
        <x:v>官方通报完整转载已补得；2026年安全保卫研究文章的相关页面访问失败，未把搜索摘要的故意冲卡描述当正式结论。</x:v>
      </x:c>
    </x:row>
    <x:row r="57" ht="38" customHeight="1">
      <x:c r="A57" s="2" t="str">
        <x:v>C030</x:v>
      </x:c>
      <x:c r="B57" s="2" t="str">
        <x:v>2024-04-10</x:v>
      </x:c>
      <x:c r="C57" s="7" t="str">
        <x:v>吉安翠岭路持刀伤人案</x:v>
      </x:c>
      <x:c r="D57" s="2" t="str">
        <x:v>江西</x:v>
      </x:c>
      <x:c r="E57" s="2" t="str">
        <x:v>pending</x:v>
      </x:c>
      <x:c r="F57" s="7" t="str">
        <x:v>官方称伤害路人，但未交代双方关系；路人称谓不足以单独证明不特定目标。</x:v>
      </x:c>
      <x:c r="G57" s="9" t="n">
        <x:v>0</x:v>
      </x:c>
      <x:c r="H57" s="9" t="n">
        <x:v>2</x:v>
      </x:c>
      <x:c r="I57" s="7"/>
      <x:c r="J57" s="2" t="str">
        <x:v>官方转载</x:v>
      </x:c>
      <x:c r="K57" s="7" t="str">
        <x:v>CS041</x:v>
      </x:c>
      <x:c r="L57" s="7" t="str">
        <x:v>案发4月10日，不能将4月13日媒体转载日当案发日。</x:v>
      </x:c>
    </x:row>
    <x:row r="58" ht="38" customHeight="1">
      <x:c r="A58" s="2" t="str">
        <x:v>C039</x:v>
      </x:c>
      <x:c r="B58" s="2" t="str">
        <x:v>2024-04-26</x:v>
      </x:c>
      <x:c r="C58" s="7" t="str">
        <x:v>封开江口街道汽车碰撞摩托车事件</x:v>
      </x:c>
      <x:c r="D58" s="2" t="str">
        <x:v>广东</x:v>
      </x:c>
      <x:c r="E58" s="2" t="str">
        <x:v>pending</x:v>
      </x:c>
      <x:c r="F58" s="7" t="str">
        <x:v>警方通报交通事故，未明原因；先持刀行凶再撞人等说法未获证实。</x:v>
      </x:c>
      <x:c r="G58" s="9"/>
      <x:c r="H58" s="9"/>
      <x:c r="I58" s="7"/>
      <x:c r="J58" s="2" t="str">
        <x:v>官方转载</x:v>
      </x:c>
      <x:c r="K58" s="7" t="str">
        <x:v>CS050</x:v>
      </x:c>
      <x:c r="L58" s="7"/>
    </x:row>
    <x:row r="59" ht="38" customHeight="1">
      <x:c r="A59" s="2" t="str">
        <x:v>C007</x:v>
      </x:c>
      <x:c r="B59" s="2" t="str">
        <x:v>2024-05-07</x:v>
      </x:c>
      <x:c r="C59" s="7" t="str">
        <x:v>镇雄城南医院持刀伤人案</x:v>
      </x:c>
      <x:c r="D59" s="2" t="str">
        <x:v>云南</x:v>
      </x:c>
      <x:c r="E59" s="2" t="str">
        <x:v>pending</x:v>
      </x:c>
      <x:c r="F59" s="7" t="str">
        <x:v>官方确认医院多人遇袭；可靠正文未明确披露受害人与嫌犯关系，随机性须进一步确认。</x:v>
      </x:c>
      <x:c r="G59" s="9" t="n">
        <x:v>2</x:v>
      </x:c>
      <x:c r="H59" s="9" t="n">
        <x:v>21</x:v>
      </x:c>
      <x:c r="I59" s="7"/>
      <x:c r="J59" s="2" t="str">
        <x:v>官方转载</x:v>
      </x:c>
      <x:c r="K59" s="7" t="str">
        <x:v>CS011；CS012；RCS001；RCS003</x:v>
      </x:c>
      <x:c r="L59" s="7" t="str">
        <x:v>官方人士称网传朋友圈动机截图不实。不能把亲属所述旧案不满直接等同本次动机。</x:v>
      </x:c>
    </x:row>
    <x:row r="60" ht="38" customHeight="1">
      <x:c r="A60" s="2" t="str">
        <x:v>C010</x:v>
      </x:c>
      <x:c r="B60" s="2" t="str">
        <x:v>2024-05-20</x:v>
      </x:c>
      <x:c r="C60" s="7" t="str">
        <x:v>郴州苏仙区公园刑事案件</x:v>
      </x:c>
      <x:c r="D60" s="2" t="str">
        <x:v>湖南</x:v>
      </x:c>
      <x:c r="E60" s="2" t="str">
        <x:v>pending</x:v>
      </x:c>
      <x:c r="F60" s="7" t="str">
        <x:v>通报仅称刑事案件及伤亡，未披露行为方式、动机或被害关系，不能凭多人伤亡认定随机袭击。</x:v>
      </x:c>
      <x:c r="G60" s="9" t="n">
        <x:v>3</x:v>
      </x:c>
      <x:c r="H60" s="9" t="n">
        <x:v>2</x:v>
      </x:c>
      <x:c r="I60" s="7"/>
      <x:c r="J60" s="2" t="str">
        <x:v>官方转载</x:v>
      </x:c>
      <x:c r="K60" s="7" t="str">
        <x:v>CS016</x:v>
      </x:c>
      <x:c r="L60" s="7"/>
    </x:row>
    <x:row r="61" ht="38" customHeight="1">
      <x:c r="A61" s="2" t="str">
        <x:v>C012</x:v>
      </x:c>
      <x:c r="B61" s="2" t="str">
        <x:v>2024-06-19</x:v>
      </x:c>
      <x:c r="C61" s="7" t="str">
        <x:v>上海合川路地铁站持刀伤人案</x:v>
      </x:c>
      <x:c r="D61" s="2" t="str">
        <x:v>上海</x:v>
      </x:c>
      <x:c r="E61" s="2" t="str">
        <x:v>pending</x:v>
      </x:c>
      <x:c r="F61" s="7" t="str">
        <x:v>官方确认3人受伤，但未披露关系或随机选择过程，不能仅因公共场所多人被刺列核心。</x:v>
      </x:c>
      <x:c r="G61" s="9"/>
      <x:c r="H61" s="9" t="n">
        <x:v>3</x:v>
      </x:c>
      <x:c r="I61" s="7"/>
      <x:c r="J61" s="2" t="str">
        <x:v>官方转载</x:v>
      </x:c>
      <x:c r="K61" s="7" t="str">
        <x:v>CS018</x:v>
      </x:c>
      <x:c r="L61" s="7"/>
    </x:row>
    <x:row r="62" ht="38" customHeight="1">
      <x:c r="A62" s="2" t="str">
        <x:v>C040</x:v>
      </x:c>
      <x:c r="B62" s="2" t="str">
        <x:v>2024-07-27</x:v>
      </x:c>
      <x:c r="C62" s="7" t="str">
        <x:v>长沙月湖街道车辆撞人案</x:v>
      </x:c>
      <x:c r="D62" s="2" t="str">
        <x:v>湖南</x:v>
      </x:c>
      <x:c r="E62" s="2" t="str">
        <x:v>pending</x:v>
      </x:c>
      <x:c r="F62" s="7" t="str">
        <x:v>官方确认刑事案件和伤亡，未明主动冲撞过程及被害关系，不能仅依8死认定随机。</x:v>
      </x:c>
      <x:c r="G62" s="9" t="n">
        <x:v>8</x:v>
      </x:c>
      <x:c r="H62" s="9" t="n">
        <x:v>5</x:v>
      </x:c>
      <x:c r="I62" s="7"/>
      <x:c r="J62" s="2" t="str">
        <x:v>官方转载</x:v>
      </x:c>
      <x:c r="K62" s="7" t="str">
        <x:v>CS051</x:v>
      </x:c>
      <x:c r="L62" s="7"/>
    </x:row>
    <x:row r="63" ht="38" customHeight="1">
      <x:c r="A63" s="2" t="str">
        <x:v>C018</x:v>
      </x:c>
      <x:c r="B63" s="2" t="str">
        <x:v>2024-08-13</x:v>
      </x:c>
      <x:c r="C63" s="7" t="str">
        <x:v>中山横栏厨卫工厂车辆撞人事件</x:v>
      </x:c>
      <x:c r="D63" s="2" t="str">
        <x:v>广东</x:v>
      </x:c>
      <x:c r="E63" s="2" t="str">
        <x:v>pending</x:v>
      </x:c>
      <x:c r="F63" s="7" t="str">
        <x:v>官方仅证实车辆碰撞及8人受伤，开除后泄愤说法未获可靠核实。</x:v>
      </x:c>
      <x:c r="G63" s="9"/>
      <x:c r="H63" s="9" t="n">
        <x:v>8</x:v>
      </x:c>
      <x:c r="I63" s="7"/>
      <x:c r="J63" s="2" t="str">
        <x:v>官方转载</x:v>
      </x:c>
      <x:c r="K63" s="7" t="str">
        <x:v>CS027</x:v>
      </x:c>
      <x:c r="L63" s="7"/>
    </x:row>
    <x:row r="64" ht="38" customHeight="1">
      <x:c r="A64" s="2" t="str">
        <x:v>C046</x:v>
      </x:c>
      <x:c r="B64" s="2" t="str">
        <x:v>2024-09-03</x:v>
      </x:c>
      <x:c r="C64" s="7" t="str">
        <x:v>东平佛山中学附近公交车失控事故</x:v>
      </x:c>
      <x:c r="D64" s="2" t="str">
        <x:v>山东</x:v>
      </x:c>
      <x:c r="E64" s="2" t="str">
        <x:v>excluded</x:v>
      </x:c>
      <x:c r="F64" s="7" t="str">
        <x:v>完整警方通报为接送学生车辆失控交通事故；没有支持故意袭击的核实材料。</x:v>
      </x:c>
      <x:c r="G64" s="9" t="n">
        <x:v>11</x:v>
      </x:c>
      <x:c r="H64" s="9" t="n">
        <x:v>13</x:v>
      </x:c>
      <x:c r="I64" s="7" t="str">
        <x:v>11死包括6名家长5名学生；13名伤者含1危重，危重不等于法医重伤。</x:v>
      </x:c>
      <x:c r="J64" s="2" t="str">
        <x:v>官方转载</x:v>
      </x:c>
      <x:c r="K64" s="7" t="str">
        <x:v>CS057</x:v>
      </x:c>
      <x:c r="L64" s="7"/>
    </x:row>
    <x:row r="65" ht="38" customHeight="1">
      <x:c r="A65" s="2" t="str">
        <x:v>C033</x:v>
      </x:c>
      <x:c r="B65" s="2" t="str">
        <x:v>2024-10-23</x:v>
      </x:c>
      <x:c r="C65" s="7" t="str">
        <x:v>青岛悦荟广场附近搅拌车碰撞多车事件</x:v>
      </x:c>
      <x:c r="D65" s="2" t="str">
        <x:v>山东</x:v>
      </x:c>
      <x:c r="E65" s="2" t="str">
        <x:v>pending</x:v>
      </x:c>
      <x:c r="F65" s="7" t="str">
        <x:v>官方初查涉嫌醉驾；网络影片所称主动报复意图未经身份与真实性核验，保留冲突待核。</x:v>
      </x:c>
      <x:c r="G65" s="9"/>
      <x:c r="H65" s="9"/>
      <x:c r="I65" s="7"/>
      <x:c r="J65" s="2" t="str">
        <x:v>官方转载</x:v>
      </x:c>
      <x:c r="K65" s="7" t="str">
        <x:v>CS044</x:v>
      </x:c>
      <x:c r="L65" s="7"/>
    </x:row>
    <x:row r="66" ht="38" customHeight="1">
      <x:c r="A66" s="2" t="str">
        <x:v>C043</x:v>
      </x:c>
      <x:c r="B66" s="2" t="str">
        <x:v>2024-11-25</x:v>
      </x:c>
      <x:c r="C66" s="7" t="str">
        <x:v>成都新津四处纵火焚毁财物案</x:v>
      </x:c>
      <x:c r="D66" s="2" t="str">
        <x:v>四川</x:v>
      </x:c>
      <x:c r="E66" s="2" t="str">
        <x:v>excluded</x:v>
      </x:c>
      <x:c r="F66" s="7" t="str">
        <x:v>有报复社会及放火罪判决，但本报道只确认烧毁财物，无直接袭击人员或人员伤害，未满足本研究随机伤人条件。</x:v>
      </x:c>
      <x:c r="G66" s="9"/>
      <x:c r="H66" s="9"/>
      <x:c r="I66" s="7" t="str">
        <x:v>未报道人员伤亡，不将未报道写为0。</x:v>
      </x:c>
      <x:c r="J66" s="2" t="str">
        <x:v>官方转载</x:v>
      </x:c>
      <x:c r="K66" s="7" t="str">
        <x:v>CS054</x:v>
      </x:c>
      <x:c r="L66" s="7"/>
    </x:row>
    <x:row r="67" ht="38" customHeight="1">
      <x:c r="A67" s="2" t="str">
        <x:v>C045</x:v>
      </x:c>
      <x:c r="B67" s="2" t="str">
        <x:v>2025-01-26</x:v>
      </x:c>
      <x:c r="C67" s="7" t="str">
        <x:v>沈阳大东副食品商场外不明爆炸事件</x:v>
      </x:c>
      <x:c r="D67" s="2" t="str">
        <x:v>辽宁</x:v>
      </x:c>
      <x:c r="E67" s="2" t="str">
        <x:v>pending</x:v>
      </x:c>
      <x:c r="F67" s="7" t="str">
        <x:v>公开影像及报道显示爆炸，但原因、人为故意性与袭击目标均不明；不采信政治动机猜测。</x:v>
      </x:c>
      <x:c r="G67" s="9"/>
      <x:c r="H67" s="9"/>
      <x:c r="I67" s="7"/>
      <x:c r="J67" s="2" t="str">
        <x:v>单一媒体</x:v>
      </x:c>
      <x:c r="K67" s="7" t="str">
        <x:v>CS056</x:v>
      </x:c>
      <x:c r="L67" s="7"/>
    </x:row>
    <x:row r="68" ht="38" customHeight="1">
      <x:c r="A68" s="2" t="str">
        <x:v>C036</x:v>
      </x:c>
      <x:c r="B68" s="2" t="str">
        <x:v>2025-04-22</x:v>
      </x:c>
      <x:c r="C68" s="7" t="str">
        <x:v>网传金华苏孟小学门口车辆冲撞事件</x:v>
      </x:c>
      <x:c r="D68" s="2" t="str">
        <x:v>浙江</x:v>
      </x:c>
      <x:c r="E68" s="2" t="str">
        <x:v>pending</x:v>
      </x:c>
      <x:c r="F68" s="7" t="str">
        <x:v>社交视频线索被多媒体转述，但未取得官方通报及独立采集的充分核实；不按转载数提升可靠度。</x:v>
      </x:c>
      <x:c r="G68" s="9"/>
      <x:c r="H68" s="9"/>
      <x:c r="I68" s="7" t="str">
        <x:v>死亡6、7至14等说法冲突，不采纳；不认定司机性别和动机。</x:v>
      </x:c>
      <x:c r="J68" s="2" t="str">
        <x:v>网传待核</x:v>
      </x:c>
      <x:c r="K68" s="7" t="str">
        <x:v>CS047</x:v>
      </x:c>
      <x:c r="L68" s="7"/>
    </x:row>
    <x:row r="69" ht="38" customHeight="1">
      <x:c r="A69" s="2" t="str">
        <x:v>C021</x:v>
      </x:c>
      <x:c r="B69" s="2" t="str">
        <x:v>2025-04-28</x:v>
      </x:c>
      <x:c r="C69" s="7" t="str">
        <x:v>网传天津医院医护人员遇袭案</x:v>
      </x:c>
      <x:c r="D69" s="2" t="str">
        <x:v>天津</x:v>
      </x:c>
      <x:c r="E69" s="2" t="str">
        <x:v>pending</x:v>
      </x:c>
      <x:c r="F69" s="7" t="str">
        <x:v>可访问单一媒体报道援引所谓警方通报但未给原件，缺少第二独立可靠采集源及受害关系核实。</x:v>
      </x:c>
      <x:c r="G69" s="9"/>
      <x:c r="H69" s="9"/>
      <x:c r="I69" s="7" t="str">
        <x:v>东网报道2死、6名医护遇袭及1重伤；未将未经交叉核实数字计入精确伤亡。</x:v>
      </x:c>
      <x:c r="J69" s="2" t="str">
        <x:v>单一媒体</x:v>
      </x:c>
      <x:c r="K69" s="7" t="str">
        <x:v>CS030</x:v>
      </x:c>
      <x:c r="L69" s="7" t="str">
        <x:v>医保报销、47岁简某等资料亦待原始证据核实，动机与个人字段不据此定值。</x:v>
      </x:c>
    </x:row>
    <x:row r="70" ht="38" customHeight="1">
      <x:c r="A70" s="2" t="str">
        <x:v>C026</x:v>
      </x:c>
      <x:c r="B70" s="2" t="str">
        <x:v>2025-05-15</x:v>
      </x:c>
      <x:c r="C70" s="7" t="str">
        <x:v>广州南站安检区外持刀伤人案</x:v>
      </x:c>
      <x:c r="D70" s="2" t="str">
        <x:v>广东</x:v>
      </x:c>
      <x:c r="E70" s="2" t="str">
        <x:v>pending</x:v>
      </x:c>
      <x:c r="F70" s="7" t="str">
        <x:v>有官方案情与伤亡，但无被害关系或随机性证据。</x:v>
      </x:c>
      <x:c r="G70" s="9" t="n">
        <x:v>0</x:v>
      </x:c>
      <x:c r="H70" s="9" t="n">
        <x:v>1</x:v>
      </x:c>
      <x:c r="I70" s="7"/>
      <x:c r="J70" s="2" t="str">
        <x:v>官方转载</x:v>
      </x:c>
      <x:c r="K70" s="7" t="str">
        <x:v>CS036</x:v>
      </x:c>
      <x:c r="L70" s="7"/>
    </x:row>
    <x:row r="71" ht="38" customHeight="1">
      <x:c r="A71" s="2" t="str">
        <x:v>C032</x:v>
      </x:c>
      <x:c r="B71" s="2" t="str">
        <x:v>2025-05-15</x:v>
      </x:c>
      <x:c r="C71" s="7" t="str">
        <x:v>北京海淀健安西路车辆刮碰行人事件</x:v>
      </x:c>
      <x:c r="D71" s="2" t="str">
        <x:v>北京</x:v>
      </x:c>
      <x:c r="E71" s="2" t="str">
        <x:v>pending</x:v>
      </x:c>
      <x:c r="F71" s="7" t="str">
        <x:v>官方仅称刮碰行人事故且仍调查，未确认主动攻击；网传故意亦无独立证据。</x:v>
      </x:c>
      <x:c r="G71" s="9"/>
      <x:c r="H71" s="9" t="n">
        <x:v>4</x:v>
      </x:c>
      <x:c r="I71" s="7"/>
      <x:c r="J71" s="2" t="str">
        <x:v>官方转载</x:v>
      </x:c>
      <x:c r="K71" s="7" t="str">
        <x:v>CS043</x:v>
      </x:c>
      <x:c r="L71" s="7"/>
    </x:row>
    <x:row r="72" ht="38" customHeight="1">
      <x:c r="A72" s="2" t="str">
        <x:v>C019</x:v>
      </x:c>
      <x:c r="B72" s="2" t="str">
        <x:v>2025-06-04</x:v>
      </x:c>
      <x:c r="C72" s="7" t="str">
        <x:v>武汉大学食堂持刀伤人案</x:v>
      </x:c>
      <x:c r="D72" s="2" t="str">
        <x:v>湖北</x:v>
      </x:c>
      <x:c r="E72" s="2" t="str">
        <x:v>pending</x:v>
      </x:c>
      <x:c r="F72" s="7" t="str">
        <x:v>警方确认因学业不顺在食堂行凶，但未公布受害者关系；社交平台袭击预告未获独立验证，暂不认定随机。</x:v>
      </x:c>
      <x:c r="G72" s="9" t="n">
        <x:v>0</x:v>
      </x:c>
      <x:c r="H72" s="9" t="n">
        <x:v>3</x:v>
      </x:c>
      <x:c r="I72" s="7"/>
      <x:c r="J72" s="2" t="str">
        <x:v>官方转载</x:v>
      </x:c>
      <x:c r="K72" s="7" t="str">
        <x:v>CS028</x:v>
      </x:c>
      <x:c r="L72" s="7"/>
    </x:row>
    <x:row r="73" ht="38" customHeight="1">
      <x:c r="A73" s="2" t="str">
        <x:v>C025</x:v>
      </x:c>
      <x:c r="B73" s="2" t="str">
        <x:v>2025-06-14</x:v>
      </x:c>
      <x:c r="C73" s="7" t="str">
        <x:v>重庆李家沱争执后驾车伤人案</x:v>
      </x:c>
      <x:c r="D73" s="2" t="str">
        <x:v>重庆</x:v>
      </x:c>
      <x:c r="E73" s="2" t="str">
        <x:v>excluded</x:v>
      </x:c>
      <x:c r="F73" s="7" t="str">
        <x:v>官方通报将伤者限定为当场围车争执、阻拦驾驶人离开的群众，未确认攻击其他不特定或无关人；按现场特定纠纷排除。</x:v>
      </x:c>
      <x:c r="G73" s="9" t="n">
        <x:v>1</x:v>
      </x:c>
      <x:c r="H73" s="9" t="n">
        <x:v>4</x:v>
      </x:c>
      <x:c r="I73" s="7"/>
      <x:c r="J73" s="2" t="str">
        <x:v>官方转载</x:v>
      </x:c>
      <x:c r="K73" s="7" t="str">
        <x:v>CS035</x:v>
      </x:c>
      <x:c r="L73" s="7"/>
    </x:row>
    <x:row r="74" ht="38" customHeight="1">
      <x:c r="A74" s="2" t="str">
        <x:v>C031</x:v>
      </x:c>
      <x:c r="B74" s="2" t="str">
        <x:v>2025-06-26</x:v>
      </x:c>
      <x:c r="C74" s="7" t="str">
        <x:v>北京密云育才路车辆碰撞行人事故</x:v>
      </x:c>
      <x:c r="D74" s="2" t="str">
        <x:v>北京</x:v>
      </x:c>
      <x:c r="E74" s="2" t="str">
        <x:v>excluded</x:v>
      </x:c>
      <x:c r="F74" s="7" t="str">
        <x:v>警方初查明确操作不当，未获反证确认故意冲撞；网络汇编所称夫妻争吵不采信。</x:v>
      </x:c>
      <x:c r="G74" s="9"/>
      <x:c r="H74" s="9"/>
      <x:c r="I74" s="7"/>
      <x:c r="J74" s="2" t="str">
        <x:v>官方转载</x:v>
      </x:c>
      <x:c r="K74" s="7" t="str">
        <x:v>CS042</x:v>
      </x:c>
      <x:c r="L74" s="7"/>
    </x:row>
    <x:row r="75" ht="38" customHeight="1">
      <x:c r="A75" s="2" t="str">
        <x:v>C047</x:v>
      </x:c>
      <x:c r="B75" s="2" t="str">
        <x:v>2025-07-20</x:v>
      </x:c>
      <x:c r="C75" s="7" t="str">
        <x:v>昆明金碧路交通肇事逃逸案</x:v>
      </x:c>
      <x:c r="D75" s="2" t="str">
        <x:v>云南</x:v>
      </x:c>
      <x:c r="E75" s="2" t="str">
        <x:v>excluded</x:v>
      </x:c>
      <x:c r="F75" s="7" t="str">
        <x:v>官方初查为交通肇事逃逸，未确认故意攻击随机人群；传播时常误将通报日7月21日作案发日。</x:v>
      </x:c>
      <x:c r="G75" s="9" t="n">
        <x:v>2</x:v>
      </x:c>
      <x:c r="H75" s="9" t="n">
        <x:v>9</x:v>
      </x:c>
      <x:c r="I75" s="7"/>
      <x:c r="J75" s="2" t="str">
        <x:v>官方转载</x:v>
      </x:c>
      <x:c r="K75" s="7" t="str">
        <x:v>CS058</x:v>
      </x:c>
      <x:c r="L75" s="7"/>
    </x:row>
    <x:row r="76" ht="38" customHeight="1">
      <x:c r="A76" s="2" t="str">
        <x:v>C020</x:v>
      </x:c>
      <x:c r="B76" s="2" t="str">
        <x:v>2025-08-03</x:v>
      </x:c>
      <x:c r="C76" s="7" t="str">
        <x:v>耒阳蔡子池街道持刀伤人案</x:v>
      </x:c>
      <x:c r="D76" s="2" t="str">
        <x:v>湖南</x:v>
      </x:c>
      <x:c r="E76" s="2" t="str">
        <x:v>pending</x:v>
      </x:c>
      <x:c r="F76" s="7" t="str">
        <x:v>故意伤害及伤亡有官方通报；目击者称在路口与麻将馆连续伤人，但被害关系未明确，尚不能确认随机。</x:v>
      </x:c>
      <x:c r="G76" s="9" t="n">
        <x:v>2</x:v>
      </x:c>
      <x:c r="H76" s="9" t="n">
        <x:v>3</x:v>
      </x:c>
      <x:c r="I76" s="7"/>
      <x:c r="J76" s="2" t="str">
        <x:v>官方转载</x:v>
      </x:c>
      <x:c r="K76" s="7" t="str">
        <x:v>CS029</x:v>
      </x:c>
      <x:c r="L76" s="7" t="str">
        <x:v>学校附近不等于针对在校儿童；不采用网传受害者身份。</x:v>
      </x:c>
    </x:row>
    <x:row r="77" ht="38" customHeight="1">
      <x:c r="A77" s="2" t="str">
        <x:v>C035</x:v>
      </x:c>
      <x:c r="B77" s="2" t="str">
        <x:v>2025-10-06</x:v>
      </x:c>
      <x:c r="C77" s="7" t="str">
        <x:v>网传泉港永嘉天地持刀伤人事件</x:v>
      </x:c>
      <x:c r="D77" s="2" t="str">
        <x:v>福建</x:v>
      </x:c>
      <x:c r="E77" s="2" t="str">
        <x:v>pending</x:v>
      </x:c>
      <x:c r="F77" s="7" t="str">
        <x:v>仅找到网传影像汇编，未取得可靠现场独立报道或官方通报。</x:v>
      </x:c>
      <x:c r="G77" s="9"/>
      <x:c r="H77" s="9"/>
      <x:c r="I77" s="7" t="str">
        <x:v>7至8人等网传人数未核，不取值。</x:v>
      </x:c>
      <x:c r="J77" s="2" t="str">
        <x:v>网传待核</x:v>
      </x:c>
      <x:c r="K77" s="7" t="str">
        <x:v>CS046</x:v>
      </x:c>
      <x:c r="L77" s="7"/>
    </x:row>
    <x:row r="78" ht="38" customHeight="1">
      <x:c r="A78" s="2" t="str">
        <x:v>LX26A17</x:v>
      </x:c>
      <x:c r="B78" s="2" t="str">
        <x:v>2026-01-07</x:v>
      </x:c>
      <x:c r="C78" s="7" t="str">
        <x:v>中山教培中心教师遭定向持刀报复案</x:v>
      </x:c>
      <x:c r="D78" s="2" t="str">
        <x:v>广东</x:v>
      </x:c>
      <x:c r="E78" s="2" t="str">
        <x:v>excluded</x:v>
      </x:c>
      <x:c r="F78" s="7" t="str">
        <x:v>官方称行凶者将特定教师叫出教室报复；未见攻击其他学生或无关制止者。</x:v>
      </x:c>
      <x:c r="G78" s="9"/>
      <x:c r="H78" s="9"/>
      <x:c r="I78" s="7" t="str">
        <x:v>官方事迹确认一名教师受伤；不是完整伤亡统计。</x:v>
      </x:c>
      <x:c r="J78" s="2" t="str">
        <x:v>官方原文</x:v>
      </x:c>
      <x:c r="K78" s="7" t="str">
        <x:v>LXS26A22</x:v>
      </x:c>
      <x:c r="L78" s="7"/>
    </x:row>
    <x:row r="79" ht="38" customHeight="1">
      <x:c r="A79" s="2" t="str">
        <x:v>LX26A15</x:v>
      </x:c>
      <x:c r="B79" s="2" t="str">
        <x:v>2026-01-10</x:v>
      </x:c>
      <x:c r="C79" s="7" t="str">
        <x:v>南昌万象城女子遭刀划伤及制止过程</x:v>
      </x:c>
      <x:c r="D79" s="2" t="str">
        <x:v>江西</x:v>
      </x:c>
      <x:c r="E79" s="2" t="str">
        <x:v>pending</x:v>
      </x:c>
      <x:c r="F79" s="7" t="str">
        <x:v>警方确认一名女子受伤，官方事迹确认店员遇袭及群众制止。媒体标题称安保遭推搡险坠扶梯，但正文没有独立调查该过程，初始双方关系也未明；事件发生已核实，公众目标或扩大攻击仍待核。</x:v>
      </x:c>
      <x:c r="G79" s="9"/>
      <x:c r="H79" s="9" t="n">
        <x:v>1</x:v>
      </x:c>
      <x:c r="I79" s="7" t="str">
        <x:v>警方仅确认女子表皮伤；不推定保安受伤。</x:v>
      </x:c>
      <x:c r="J79" s="2" t="str">
        <x:v>官方原文</x:v>
      </x:c>
      <x:c r="K79" s="7" t="str">
        <x:v>LXS26A22；LXS26A23；LXS26A24</x:v>
      </x:c>
      <x:c r="L79" s="7"/>
    </x:row>
    <x:row r="80" ht="38" customHeight="1">
      <x:c r="A80" s="2" t="str">
        <x:v>LX26A01</x:v>
      </x:c>
      <x:c r="B80" s="2" t="str">
        <x:v>2026-01-19</x:v>
      </x:c>
      <x:c r="C80" s="7" t="str">
        <x:v>中山港口镇货车连续碰撞事件</x:v>
      </x:c>
      <x:c r="D80" s="2" t="str">
        <x:v>广东</x:v>
      </x:c>
      <x:c r="E80" s="2" t="str">
        <x:v>pending</x:v>
      </x:c>
      <x:c r="F80" s="7" t="str">
        <x:v>警方确认碰撞及2伤；重复碾压的社媒描述支持故意性疑点，但未取得可核验行车过程或独立事故调查。</x:v>
      </x:c>
      <x:c r="G80" s="9"/>
      <x:c r="H80" s="9" t="n">
        <x:v>2</x:v>
      </x:c>
      <x:c r="I80" s="7"/>
      <x:c r="J80" s="2" t="str">
        <x:v>官方转载</x:v>
      </x:c>
      <x:c r="K80" s="7" t="str">
        <x:v>LXS26A02；LXS26A03；LXS26A01</x:v>
      </x:c>
      <x:c r="L80" s="7"/>
    </x:row>
    <x:row r="81" ht="38" customHeight="1">
      <x:c r="A81" s="2" t="str">
        <x:v>LX26A02</x:v>
      </x:c>
      <x:c r="B81" s="2" t="str">
        <x:v>2026-01-26</x:v>
      </x:c>
      <x:c r="C81" s="7" t="str">
        <x:v>网传广州太和镇街头夫妻遭持刀袭击</x:v>
      </x:c>
      <x:c r="D81" s="2" t="str">
        <x:v>广东</x:v>
      </x:c>
      <x:c r="E81" s="2" t="str">
        <x:v>pending</x:v>
      </x:c>
      <x:c r="F81" s="7" t="str">
        <x:v>原帖及媒体转述均指向突然袭击过路夫妻，但来源同为未核监控及匿名投稿；缺独立现场核实。</x:v>
      </x:c>
      <x:c r="G81" s="9"/>
      <x:c r="H81" s="9"/>
      <x:c r="I81" s="7" t="str">
        <x:v>网传夫妻受伤未获可靠完整确认，精确人数留空。</x:v>
      </x:c>
      <x:c r="J81" s="2" t="str">
        <x:v>网传待核</x:v>
      </x:c>
      <x:c r="K81" s="7" t="str">
        <x:v>LXS26A04；LXS26A05；LXS26A01</x:v>
      </x:c>
      <x:c r="L81" s="7" t="str">
        <x:v>癌症及身体状况、动机不录为事实。</x:v>
      </x:c>
    </x:row>
    <x:row r="82" ht="38" customHeight="1">
      <x:c r="A82" s="2" t="str">
        <x:v>LX26A03</x:v>
      </x:c>
      <x:c r="B82" s="2" t="str">
        <x:v>2026-01-31</x:v>
      </x:c>
      <x:c r="C82" s="7" t="str">
        <x:v>银川朝阳巷约见争执持刀杀人案</x:v>
      </x:c>
      <x:c r="D82" s="2" t="str">
        <x:v>宁夏</x:v>
      </x:c>
      <x:c r="E82" s="2" t="str">
        <x:v>excluded</x:v>
      </x:c>
      <x:c r="F82" s="7" t="str">
        <x:v>警方明确两名同小区居民因群内争执约见后冲突，未披露扩大伤害无关者。</x:v>
      </x:c>
      <x:c r="G82" s="9" t="n">
        <x:v>1</x:v>
      </x:c>
      <x:c r="H82" s="9"/>
      <x:c r="I82" s="7"/>
      <x:c r="J82" s="2" t="str">
        <x:v>官方转载</x:v>
      </x:c>
      <x:c r="K82" s="7" t="str">
        <x:v>LXS26A06；LXS26A07；LXS26A01</x:v>
      </x:c>
      <x:c r="L82" s="7" t="str">
        <x:v>税费动机初帖与警方说法不一致，不采信。</x:v>
      </x:c>
    </x:row>
    <x:row r="83" ht="38" customHeight="1">
      <x:c r="A83" s="2" t="str">
        <x:v>LX26A20</x:v>
      </x:c>
      <x:c r="B83" s="2" t="str">
        <x:v>2026-02-02</x:v>
      </x:c>
      <x:c r="C83" s="7" t="str">
        <x:v>网传江苏扬州街头喷火伤人事件</x:v>
      </x:c>
      <x:c r="D83" s="2" t="str">
        <x:v>江苏</x:v>
      </x:c>
      <x:c r="E83" s="2" t="str">
        <x:v>pending</x:v>
      </x:c>
      <x:c r="F83" s="7" t="str">
        <x:v>网络视频与转述称因私人关系定向袭击，地点、年月日和动机均待核；尚无充分证据认定事件全貌或无关者受袭。</x:v>
      </x:c>
      <x:c r="G83" s="9"/>
      <x:c r="H83" s="9"/>
      <x:c r="I83" s="7" t="str">
        <x:v>传1死或2死互异，不计入精确值。</x:v>
      </x:c>
      <x:c r="J83" s="2" t="str">
        <x:v>网传待核</x:v>
      </x:c>
      <x:c r="K83" s="7" t="str">
        <x:v>LXS26A25；LXS26A26</x:v>
      </x:c>
      <x:c r="L83" s="7" t="str">
        <x:v>不保存影像；私人关系说法未经核实。</x:v>
      </x:c>
    </x:row>
    <x:row r="84" ht="38" customHeight="1">
      <x:c r="A84" s="2" t="str">
        <x:v>LX26A04</x:v>
      </x:c>
      <x:c r="B84" s="2" t="str">
        <x:v>2026-02-03</x:v>
      </x:c>
      <x:c r="C84" s="7" t="str">
        <x:v>网传深圳万丰海岸城持刀伤人事件</x:v>
      </x:c>
      <x:c r="D84" s="2" t="str">
        <x:v>广东</x:v>
      </x:c>
      <x:c r="E84" s="2" t="str">
        <x:v>pending</x:v>
      </x:c>
      <x:c r="F84" s="7" t="str">
        <x:v>仅单源投稿及同素材转发，缺警方事实确认，未说明双方关系和最初冲突。</x:v>
      </x:c>
      <x:c r="G84" s="9"/>
      <x:c r="H84" s="9"/>
      <x:c r="I84" s="7" t="str">
        <x:v>女子倒地不等于死亡；数量不录入精确字段。</x:v>
      </x:c>
      <x:c r="J84" s="2" t="str">
        <x:v>网传待核</x:v>
      </x:c>
      <x:c r="K84" s="7" t="str">
        <x:v>LXS26A08；LXS26A01</x:v>
      </x:c>
      <x:c r="L84" s="7"/>
    </x:row>
    <x:row r="85" ht="38" customHeight="1">
      <x:c r="A85" s="2" t="str">
        <x:v>LX26A21</x:v>
      </x:c>
      <x:c r="B85" s="2" t="str">
        <x:v>2026-03-11</x:v>
      </x:c>
      <x:c r="C85" s="7" t="str">
        <x:v>武汉汉阳火锅店与广场舞冲突伤人线索</x:v>
      </x:c>
      <x:c r="D85" s="2" t="str">
        <x:v>湖北</x:v>
      </x:c>
      <x:c r="E85" s="2" t="str">
        <x:v>pending</x:v>
      </x:c>
      <x:c r="F85" s="7" t="str">
        <x:v>记者采访商户及社区称争执伤及舞者和无关劝架人，具expanded特征；尚缺正式通报或第二独立采集确认发生全貌。</x:v>
      </x:c>
      <x:c r="G85" s="9"/>
      <x:c r="H85" s="9"/>
      <x:c r="I85" s="7" t="str">
        <x:v>单一报道2伤，暂不写入精确数字。</x:v>
      </x:c>
      <x:c r="J85" s="2" t="str">
        <x:v>单一媒体</x:v>
      </x:c>
      <x:c r="K85" s="7" t="str">
        <x:v>LXS26A28</x:v>
      </x:c>
      <x:c r="L85" s="7" t="str">
        <x:v>不能把锦观、齐鲁、百姓关注及境外转述自动认作独立采集；需回溯原视频采访。</x:v>
      </x:c>
    </x:row>
    <x:row r="86" ht="38" customHeight="1">
      <x:c r="A86" s="2" t="str">
        <x:v>LX26A22</x:v>
      </x:c>
      <x:c r="B86" s="2" t="str">
        <x:v>2026-03-19</x:v>
      </x:c>
      <x:c r="C86" s="7" t="str">
        <x:v>重庆朝阳中学同学冲突及持刀说法争议</x:v>
      </x:c>
      <x:c r="D86" s="2" t="str">
        <x:v>重庆</x:v>
      </x:c>
      <x:c r="E86" s="2" t="str">
        <x:v>excluded</x:v>
      </x:c>
      <x:c r="F86" s="7" t="str">
        <x:v>家长与校方对持刀、伤情存在矛盾，但各版本均为同班同学日常矛盾，未见主动袭击无关者；制止学生被称未受伤。</x:v>
      </x:c>
      <x:c r="G86" s="9"/>
      <x:c r="H86" s="9"/>
      <x:c r="I86" s="7" t="str">
        <x:v>学校否认持刀伤人，家长称手部手术，不据争议报道填确定死伤。</x:v>
      </x:c>
      <x:c r="J86" s="2" t="str">
        <x:v>单一媒体</x:v>
      </x:c>
      <x:c r="K86" s="7" t="str">
        <x:v>LXS26A29</x:v>
      </x:c>
      <x:c r="L86" s="7" t="str">
        <x:v>排除是依据现有对象范围；不代表已裁断家长或校方真假。</x:v>
      </x:c>
    </x:row>
    <x:row r="87" ht="38" customHeight="1">
      <x:c r="A87" s="2" t="str">
        <x:v>LX26A07</x:v>
      </x:c>
      <x:c r="B87" s="2" t="str">
        <x:v>2026-03-20</x:v>
      </x:c>
      <x:c r="C87" s="7" t="str">
        <x:v>横琴小区抢劫致死案</x:v>
      </x:c>
      <x:c r="D87" s="2" t="str">
        <x:v>广东</x:v>
      </x:c>
      <x:c r="E87" s="2" t="str">
        <x:v>pending</x:v>
      </x:c>
      <x:c r="F87" s="7" t="str">
        <x:v>警方证实入小区抢劫两人、1死；抢劫不自动排除，但未披露选择对象过程、先前关系及攻击方式，暂不能确认为随机侵害。</x:v>
      </x:c>
      <x:c r="G87" s="9" t="n">
        <x:v>1</x:v>
      </x:c>
      <x:c r="H87" s="9"/>
      <x:c r="I87" s="7"/>
      <x:c r="J87" s="2" t="str">
        <x:v>官方转载</x:v>
      </x:c>
      <x:c r="K87" s="7" t="str">
        <x:v>LXS26A12；LXS26A13；LXS26A01</x:v>
      </x:c>
      <x:c r="L87" s="7"/>
    </x:row>
    <x:row r="88" ht="38" customHeight="1">
      <x:c r="A88" s="2" t="str">
        <x:v>LX26A08</x:v>
      </x:c>
      <x:c r="B88" s="2" t="str">
        <x:v>2026-03-22</x:v>
      </x:c>
      <x:c r="C88" s="7" t="str">
        <x:v>重庆观音桥司机疑发病车辆失控事故</x:v>
      </x:c>
      <x:c r="D88" s="2" t="str">
        <x:v>重庆</x:v>
      </x:c>
      <x:c r="E88" s="2" t="str">
        <x:v>excluded</x:v>
      </x:c>
      <x:c r="F88" s="7" t="str">
        <x:v>完整警方通报初查司机疑似突发疾病后车辆失控；现场报道未提供反复选择目标等足以证明主动袭击的证据。</x:v>
      </x:c>
      <x:c r="G88" s="9" t="n">
        <x:v>0</x:v>
      </x:c>
      <x:c r="H88" s="9" t="n">
        <x:v>3</x:v>
      </x:c>
      <x:c r="I88" s="7" t="str">
        <x:v>通报1死3伤中的死者为司机，另3人为受伤行人；死亡司机单列driver_deaths，不计受害者或作案者死亡。</x:v>
      </x:c>
      <x:c r="J88" s="2" t="str">
        <x:v>官方转载</x:v>
      </x:c>
      <x:c r="K88" s="7" t="str">
        <x:v>LXS26A14；LXS26A15；LXS26A01</x:v>
      </x:c>
      <x:c r="L88" s="7" t="str">
        <x:v>警方表述为疑似，保留后续改变结论可能；不采用自媒体额外宣称已排除故意性的扩写。</x:v>
      </x:c>
    </x:row>
    <x:row r="89" ht="38" customHeight="1">
      <x:c r="A89" s="2" t="str">
        <x:v>LX26A14</x:v>
      </x:c>
      <x:c r="B89" s="2" t="str">
        <x:v>2026-03-24</x:v>
      </x:c>
      <x:c r="C89" s="7" t="str">
        <x:v>上海平凉路男子持刀伤妻案</x:v>
      </x:c>
      <x:c r="D89" s="2" t="str">
        <x:v>上海</x:v>
      </x:c>
      <x:c r="E89" s="2" t="str">
        <x:v>excluded</x:v>
      </x:c>
      <x:c r="F89" s="7" t="str">
        <x:v>官方明确家庭纠纷后持刀伤妻；他人制止成功，未披露对无关者继续攻击。</x:v>
      </x:c>
      <x:c r="G89" s="9"/>
      <x:c r="H89" s="9"/>
      <x:c r="I89" s="7" t="str">
        <x:v>官方事迹确认妻子被刀伤；不是完整伤亡统计。</x:v>
      </x:c>
      <x:c r="J89" s="2" t="str">
        <x:v>官方原文</x:v>
      </x:c>
      <x:c r="K89" s="7" t="str">
        <x:v>LXS26A18</x:v>
      </x:c>
      <x:c r="L89" s="7"/>
    </x:row>
    <x:row r="90" ht="38" customHeight="1">
      <x:c r="A90" s="2" t="str">
        <x:v>LX26A09</x:v>
      </x:c>
      <x:c r="B90" s="2" t="str">
        <x:v>2026-03-26</x:v>
      </x:c>
      <x:c r="C90" s="7" t="str">
        <x:v>网传深圳龙城街道爱联市场持刀伤人事件</x:v>
      </x:c>
      <x:c r="D90" s="2" t="str">
        <x:v>广东</x:v>
      </x:c>
      <x:c r="E90" s="2" t="str">
        <x:v>pending</x:v>
      </x:c>
      <x:c r="F90" s="7" t="str">
        <x:v>晚间龙岗线索尚无独立采集或正式通报；网传冲突起因、快递员身份和学生死亡人数互相矛盾。</x:v>
      </x:c>
      <x:c r="G90" s="9"/>
      <x:c r="H90" s="9"/>
      <x:c r="I90" s="7" t="str">
        <x:v>网传两死或两伤等不同说法不录精确值。</x:v>
      </x:c>
      <x:c r="J90" s="2" t="str">
        <x:v>网传待核</x:v>
      </x:c>
      <x:c r="K90" s="7" t="str">
        <x:v>LXS26A16；LXS26A31；LXS26A01</x:v>
      </x:c>
      <x:c r="L90" s="7" t="str">
        <x:v>与罗湖清晨案时间、区域及被述作案者均不同，暂分候选；若后续证明同一连续过程应合并。</x:v>
      </x:c>
    </x:row>
    <x:row r="91" ht="38" customHeight="1">
      <x:c r="A91" s="2" t="str">
        <x:v>LX26A23</x:v>
      </x:c>
      <x:c r="B91" s="2" t="str">
        <x:v>2026-03-26</x:v>
      </x:c>
      <x:c r="C91" s="7" t="str">
        <x:v>锡林浩特8路公交乘客攻击司机事件</x:v>
      </x:c>
      <x:c r="D91" s="2" t="str">
        <x:v>内蒙古</x:v>
      </x:c>
      <x:c r="E91" s="2" t="str">
        <x:v>pending</x:v>
      </x:c>
      <x:c r="F91" s="7" t="str">
        <x:v>官方表彰事迹确认乘客冲向驾驶区攻击司机，但将行为归因于疾病发作，未披露医学诊断、行为意识或袭击动机。发生已核实，是否符合有意识主动袭击及无关公众目标口径仍待核。</x:v>
      </x:c>
      <x:c r="G91" s="9"/>
      <x:c r="H91" s="9"/>
      <x:c r="I91" s="7" t="str">
        <x:v>官方事迹未披露伤亡；没有伤亡通报不等于零伤亡。</x:v>
      </x:c>
      <x:c r="J91" s="2" t="str">
        <x:v>官方原文</x:v>
      </x:c>
      <x:c r="K91" s="7" t="str">
        <x:v>LXS26A18</x:v>
      </x:c>
      <x:c r="L91" s="7" t="str">
        <x:v>仅保留表彰材料对该个案的归因，不采纳其疾病人群力量或攻击性的泛化描述；约16时。</x:v>
      </x:c>
    </x:row>
    <x:row r="92" ht="38" customHeight="1">
      <x:c r="A92" s="2" t="str">
        <x:v>C034</x:v>
      </x:c>
      <x:c r="B92" s="2" t="str">
        <x:v>2026-03-29</x:v>
      </x:c>
      <x:c r="C92" s="7" t="str">
        <x:v>网传北京房山大韩继集市铲车冲撞事件</x:v>
      </x:c>
      <x:c r="D92" s="2" t="str">
        <x:v>北京</x:v>
      </x:c>
      <x:c r="E92" s="2" t="str">
        <x:v>pending</x:v>
      </x:c>
      <x:c r="F92" s="7" t="str">
        <x:v>报道主要来自网络影像，无官方确认或独立可靠实地核实；发生细节、意图及伤亡均待核。</x:v>
      </x:c>
      <x:c r="G92" s="9"/>
      <x:c r="H92" s="9"/>
      <x:c r="I92" s="7" t="str">
        <x:v>网络死亡人数多版本冲突，全部不计入精确字段。</x:v>
      </x:c>
      <x:c r="J92" s="2" t="str">
        <x:v>网传待核</x:v>
      </x:c>
      <x:c r="K92" s="7" t="str">
        <x:v>CS045；LXS26A01；LXS26A20</x:v>
      </x:c>
      <x:c r="L92" s="7" t="str">
        <x:v>已补3月29日李老师原帖及镜像；“举报未果”与具体死伤均为未核聊天或现场口述。</x:v>
      </x:c>
    </x:row>
    <x:row r="93" ht="38" customHeight="1">
      <x:c r="A93" s="2" t="str">
        <x:v>C027</x:v>
      </x:c>
      <x:c r="B93" s="2" t="str">
        <x:v>2026-03-31</x:v>
      </x:c>
      <x:c r="C93" s="7" t="str">
        <x:v>武汉青松路持刀伤人案</x:v>
      </x:c>
      <x:c r="D93" s="2" t="str">
        <x:v>湖北</x:v>
      </x:c>
      <x:c r="E93" s="2" t="str">
        <x:v>pending</x:v>
      </x:c>
      <x:c r="F93" s="7" t="str">
        <x:v>警方确认4伤；新增网传连续影像的媒体文字描述显示先后攻击摊贩、路中男子、路过女子，支持公众目标，但未独立核验原视频连续性及拍摄时地。现场记者未目击起因，暂保留待核并明确证据缺口。</x:v>
      </x:c>
      <x:c r="G93" s="9" t="n">
        <x:v>0</x:v>
      </x:c>
      <x:c r="H93" s="9" t="n">
        <x:v>4</x:v>
      </x:c>
      <x:c r="I93" s="7"/>
      <x:c r="J93" s="2" t="str">
        <x:v>官方转载</x:v>
      </x:c>
      <x:c r="K93" s="7" t="str">
        <x:v>CS037；RCS004；LXS26A01；LXS26A21；LXS26A30</x:v>
      </x:c>
      <x:c r="L93" s="7" t="str">
        <x:v>李老师帖子把44岁误写41岁，以警方为准；新唐人与社媒影像同源，不增加独立采集数量。</x:v>
      </x:c>
    </x:row>
    <x:row r="94" ht="38" customHeight="1">
      <x:c r="A94" s="2" t="str">
        <x:v>LX26A11</x:v>
      </x:c>
      <x:c r="B94" s="2" t="str">
        <x:v>2026-03-31</x:v>
      </x:c>
      <x:c r="C94" s="7" t="str">
        <x:v>网传杭州世嘉铭座入室持刀伤人事件</x:v>
      </x:c>
      <x:c r="D94" s="2" t="str">
        <x:v>浙江</x:v>
      </x:c>
      <x:c r="E94" s="2" t="str">
        <x:v>pending</x:v>
      </x:c>
      <x:c r="F94" s="7" t="str">
        <x:v>单源投稿描绘敲陌生住户门后行凶，但尚未取得发生细节、关系及现场来源的独立核验。</x:v>
      </x:c>
      <x:c r="G94" s="9"/>
      <x:c r="H94" s="9"/>
      <x:c r="I94" s="7" t="str">
        <x:v>女伤者及施害者跳楼的说法未核；年龄和精神疾病传闻不填确认字段。</x:v>
      </x:c>
      <x:c r="J94" s="2" t="str">
        <x:v>网传待核</x:v>
      </x:c>
      <x:c r="K94" s="7" t="str">
        <x:v>LXS26A19；LXS26A01</x:v>
      </x:c>
      <x:c r="L94" s="7"/>
    </x:row>
    <x:row r="95" ht="38" customHeight="1">
      <x:c r="A95" s="2" t="str">
        <x:v>LX26B05</x:v>
      </x:c>
      <x:c r="B95" s="2" t="str">
        <x:v>2026-04</x:v>
      </x:c>
      <x:c r="C95" s="7" t="str">
        <x:v>网传惠州博罗酒店门前持刀伤人线索</x:v>
      </x:c>
      <x:c r="D95" s="2" t="str">
        <x:v>广东</x:v>
      </x:c>
      <x:c r="E95" s="2" t="str">
        <x:v>pending</x:v>
      </x:c>
      <x:c r="F95" s="7" t="str">
        <x:v>同一受访者在4月22日谈及前几天酒店门前另有持刀事件；缺独立发生证据、确切日期、受害关系及作案过程。</x:v>
      </x:c>
      <x:c r="G95" s="9"/>
      <x:c r="H95" s="9"/>
      <x:c r="I95" s="7"/>
      <x:c r="J95" s="2" t="str">
        <x:v>单一媒体</x:v>
      </x:c>
      <x:c r="K95" s="7" t="str">
        <x:v>LXS26B05</x:v>
      </x:c>
      <x:c r="L95" s="7" t="str">
        <x:v>来源称帝都酒店门前；只保留月份。关于出狱身份和人数的传闻不写入事实字段。</x:v>
      </x:c>
    </x:row>
    <x:row r="96" ht="38" customHeight="1">
      <x:c r="A96" s="2" t="str">
        <x:v>C037</x:v>
      </x:c>
      <x:c r="B96" s="2" t="str">
        <x:v>2026-04-04</x:v>
      </x:c>
      <x:c r="C96" s="7" t="str">
        <x:v>网传沈阳太原街持刀伤人事件</x:v>
      </x:c>
      <x:c r="D96" s="2" t="str">
        <x:v>辽宁</x:v>
      </x:c>
      <x:c r="E96" s="2" t="str">
        <x:v>pending</x:v>
      </x:c>
      <x:c r="F96" s="7" t="str">
        <x:v>新增早报、无忧等仍主要依赖同一批网络影像及转述，未找到官方或两个独立现场采集来源。影像不能建立袭击者与伤者关系，网传随机行凶与伤亡规模均待核。</x:v>
      </x:c>
      <x:c r="G96" s="9"/>
      <x:c r="H96" s="9"/>
      <x:c r="I96" s="7" t="str">
        <x:v>传2或4死、6人被砍及嫌犯坠亡均未核，不录入精确伤亡。</x:v>
      </x:c>
      <x:c r="J96" s="2" t="str">
        <x:v>网传待核</x:v>
      </x:c>
      <x:c r="K96" s="7" t="str">
        <x:v>CS048；LXS26B20；LXS26B21；LXS26B22</x:v>
      </x:c>
      <x:c r="L96" s="7" t="str">
        <x:v>李老师原status已保存，原站无正文；转载不另算独立来源。未用讨论中的死亡或嫌犯坠亡说法填充事实。</x:v>
      </x:c>
    </x:row>
    <x:row r="97" ht="38" customHeight="1">
      <x:c r="A97" s="2" t="str">
        <x:v>LX26B14</x:v>
      </x:c>
      <x:c r="B97" s="2" t="str">
        <x:v>2026-04-07</x:v>
      </x:c>
      <x:c r="C97" s="7" t="str">
        <x:v>网传儋州未成年人驾车连续碰撞线索</x:v>
      </x:c>
      <x:c r="D97" s="2" t="str">
        <x:v>海南</x:v>
      </x:c>
      <x:c r="E97" s="2" t="str">
        <x:v>pending</x:v>
      </x:c>
      <x:c r="F97" s="7" t="str">
        <x:v>Telegram及论坛为未经独立核实的转述，尚无原始公安材料或可靠媒体调查；驾车者年龄、连续碰撞过程和故意性均待核。</x:v>
      </x:c>
      <x:c r="G97" s="9"/>
      <x:c r="H97" s="9"/>
      <x:c r="I97" s="7"/>
      <x:c r="J97" s="2" t="str">
        <x:v>网传待核</x:v>
      </x:c>
      <x:c r="K97" s="7" t="str">
        <x:v>LXS26B17；LXS26B18</x:v>
      </x:c>
      <x:c r="L97" s="7" t="str">
        <x:v>未将传称未成年人、药物影响或伤亡写为事实；两个社群转述不等同两个独立来源。</x:v>
      </x:c>
    </x:row>
    <x:row r="98" ht="38" customHeight="1">
      <x:c r="A98" s="2" t="str">
        <x:v>LX26B25</x:v>
      </x:c>
      <x:c r="B98" s="2" t="str">
        <x:v>2026-04-07</x:v>
      </x:c>
      <x:c r="C98" s="7" t="str">
        <x:v>山西供电公司职工追捕盗窃车辆受伤事件</x:v>
      </x:c>
      <x:c r="D98" s="2" t="str">
        <x:v>山西</x:v>
      </x:c>
      <x:c r="E98" s="2" t="str">
        <x:v>pending</x:v>
      </x:c>
      <x:c r="F98" s="7" t="str">
        <x:v>官方确认盗窃嫌疑人逃车多次急刹变道、强行掉头，追击车随后碰撞；未明确嫌疑人是否主动以追捕者或其他人员为撞击目标，不能仅据追捕中受伤定为扩展袭击。</x:v>
      </x:c>
      <x:c r="G98" s="9"/>
      <x:c r="H98" s="9"/>
      <x:c r="I98" s="7" t="str">
        <x:v>官方事迹记述1名协助追捕的供电公司职工受伤，未公布全案总伤亡。</x:v>
      </x:c>
      <x:c r="J98" s="2" t="str">
        <x:v>官方原文</x:v>
      </x:c>
      <x:c r="K98" s="7" t="str">
        <x:v>LXS26B01</x:v>
      </x:c>
      <x:c r="L98" s="7" t="str">
        <x:v>职工所在单位为曲沃供电公司，官方材料未给碰撞点，城市和区县不据单位所在地强填；若进一步证实主动撞击原犯罪之外的阻止者，需复核扩展类别。</x:v>
      </x:c>
    </x:row>
    <x:row r="99" ht="38" customHeight="1">
      <x:c r="A99" s="2" t="str">
        <x:v>LX26B12</x:v>
      </x:c>
      <x:c r="B99" s="2" t="str">
        <x:v>2026-04-13</x:v>
      </x:c>
      <x:c r="C99" s="7" t="str">
        <x:v>衢州百汇路SUV连续碰撞车辆事件</x:v>
      </x:c>
      <x:c r="D99" s="2" t="str">
        <x:v>浙江</x:v>
      </x:c>
      <x:c r="E99" s="2" t="str">
        <x:v>pending</x:v>
      </x:c>
      <x:c r="F99" s="7" t="str">
        <x:v>警方确认车辆碰撞并刑拘司机；媒体描述来回顶撞停放车辆，故意性仍需调查。尚无证据证明主动攻击无关人员，刑拘也不能单独证明无差别袭击。</x:v>
      </x:c>
      <x:c r="G99" s="9"/>
      <x:c r="H99" s="9" t="n">
        <x:v>2</x:v>
      </x:c>
      <x:c r="I99" s="7" t="str">
        <x:v>通报确认2人受伤、无生命危险；未另列死亡人数，不根据沉默填零。</x:v>
      </x:c>
      <x:c r="J99" s="2" t="str">
        <x:v>官方转载</x:v>
      </x:c>
      <x:c r="K99" s="7" t="str">
        <x:v>LXS26B15；LXS26B18</x:v>
      </x:c>
      <x:c r="L99" s="7" t="str">
        <x:v>来源中的柯城区为嫌疑人籍贯，未直接用作事发行政区。毒驾为网友猜测，不纳入事实。</x:v>
      </x:c>
    </x:row>
    <x:row r="100" ht="38" customHeight="1">
      <x:c r="A100" s="2" t="str">
        <x:v>LX26B18</x:v>
      </x:c>
      <x:c r="B100" s="2" t="str">
        <x:v>2026-04-13</x:v>
      </x:c>
      <x:c r="C100" s="7" t="str">
        <x:v>宁波奉化工业园厂房火灾及纵火传闻核查</x:v>
      </x:c>
      <x:c r="D100" s="2" t="str">
        <x:v>浙江</x:v>
      </x:c>
      <x:c r="E100" s="2" t="str">
        <x:v>excluded</x:v>
      </x:c>
      <x:c r="F100" s="7" t="str">
        <x:v>已核实材料仅确认厂房火灾；传称纵火的报道自己指出企业名称误传并引述焊接起火说法，未找到主动袭击人的证据，按非袭击火灾线索排除。</x:v>
      </x:c>
      <x:c r="G100" s="9" t="n">
        <x:v>0</x:v>
      </x:c>
      <x:c r="H100" s="9" t="n">
        <x:v>0</x:v>
      </x:c>
      <x:c r="I100" s="7" t="str">
        <x:v>当地政府通报无人员伤亡。</x:v>
      </x:c>
      <x:c r="J100" s="2" t="str">
        <x:v>官方转载</x:v>
      </x:c>
      <x:c r="K100" s="7" t="str">
        <x:v>LXS26B25；LXS26B26</x:v>
      </x:c>
      <x:c r="L100" s="7" t="str">
        <x:v>官方起火原因当时待查；排除理由为没有主动袭人证据，不声称已有最终事故原因鉴定。</x:v>
      </x:c>
    </x:row>
    <x:row r="101" ht="38" customHeight="1">
      <x:c r="A101" s="2" t="str">
        <x:v>LX26B15</x:v>
      </x:c>
      <x:c r="B101" s="2" t="str">
        <x:v>2026-04-17</x:v>
      </x:c>
      <x:c r="C101" s="7" t="str">
        <x:v>网传临沂面粉厂纵火线索</x:v>
      </x:c>
      <x:c r="D101" s="2" t="str">
        <x:v>山东</x:v>
      </x:c>
      <x:c r="E101" s="2" t="str">
        <x:v>pending</x:v>
      </x:c>
      <x:c r="F101" s="7" t="str">
        <x:v>目前只有论坛评论列举日期和地点，未找到能定位工厂、确认起火原因与受害对象的原始来源。</x:v>
      </x:c>
      <x:c r="G101" s="9"/>
      <x:c r="H101" s="9"/>
      <x:c r="I101" s="7"/>
      <x:c r="J101" s="2" t="str">
        <x:v>网传待核</x:v>
      </x:c>
      <x:c r="K101" s="7" t="str">
        <x:v>LXS26B18</x:v>
      </x:c>
      <x:c r="L101" s="7" t="str">
        <x:v>发生本身及所谓纵火均待核；不录入评论所称伤亡数，不与其他地区工厂火灾混同。</x:v>
      </x:c>
    </x:row>
    <x:row r="102" ht="38" customHeight="1">
      <x:c r="A102" s="2" t="str">
        <x:v>LX26B13</x:v>
      </x:c>
      <x:c r="B102" s="2" t="str">
        <x:v>2026-04-19</x:v>
      </x:c>
      <x:c r="C102" s="7" t="str">
        <x:v>南安水头镇车辆逆行撞人事件</x:v>
      </x:c>
      <x:c r="D102" s="2" t="str">
        <x:v>福建</x:v>
      </x:c>
      <x:c r="E102" s="2" t="str">
        <x:v>pending</x:v>
      </x:c>
      <x:c r="F102" s="7" t="str">
        <x:v>南方+记者获有关部门确认逆行车祸及死伤，具体原因仍在调查；网帖所谓主动冲撞没有独立依据，须进一步区分事故与故意攻击。</x:v>
      </x:c>
      <x:c r="G102" s="9" t="n">
        <x:v>2</x:v>
      </x:c>
      <x:c r="H102" s="9" t="n">
        <x:v>1</x:v>
      </x:c>
      <x:c r="I102" s="7"/>
      <x:c r="J102" s="2" t="str">
        <x:v>官方转载</x:v>
      </x:c>
      <x:c r="K102" s="7" t="str">
        <x:v>LXS26B16；LXS26B18</x:v>
      </x:c>
      <x:c r="L102" s="7" t="str">
        <x:v>酒驾仅为投稿视频中的怀疑。南方+正文报道清晨发生，与后续自媒体写下午不符，未采纳后者。</x:v>
      </x:c>
    </x:row>
    <x:row r="103" ht="38" customHeight="1">
      <x:c r="A103" s="2" t="str">
        <x:v>LX26B04</x:v>
      </x:c>
      <x:c r="B103" s="2" t="str">
        <x:v>2026-04-22</x:v>
      </x:c>
      <x:c r="C103" s="7" t="str">
        <x:v>网传惠州博罗中园休闲广场持刀伤人事件</x:v>
      </x:c>
      <x:c r="D103" s="2" t="str">
        <x:v>广东</x:v>
      </x:c>
      <x:c r="E103" s="2" t="str">
        <x:v>pending</x:v>
      </x:c>
      <x:c r="F103" s="7" t="str">
        <x:v>目前为一家媒体引述本地居民及网络影像，伤亡与受害关系没有独立采集的第二来源或官方材料；不能由多人遇袭传言推断随机性。</x:v>
      </x:c>
      <x:c r="G103" s="9"/>
      <x:c r="H103" s="9"/>
      <x:c r="I103" s="7" t="str">
        <x:v>媒体转述死亡及多人重伤说法未经独立核实，数值留空。</x:v>
      </x:c>
      <x:c r="J103" s="2" t="str">
        <x:v>单一媒体</x:v>
      </x:c>
      <x:c r="K103" s="7" t="str">
        <x:v>LXS26B05</x:v>
      </x:c>
      <x:c r="L103" s="7" t="str">
        <x:v>保留当日广场事件，与同篇提及的较早酒店门前线索分列，避免合并伤亡。</x:v>
      </x:c>
    </x:row>
    <x:row r="104" ht="38" customHeight="1">
      <x:c r="A104" s="2" t="str">
        <x:v>LX26B19</x:v>
      </x:c>
      <x:c r="B104" s="2" t="str">
        <x:v>2026-04-29</x:v>
      </x:c>
      <x:c r="C104" s="7" t="str">
        <x:v>网传泰安住宅楼遭爆炸袭击线索</x:v>
      </x:c>
      <x:c r="D104" s="2" t="str">
        <x:v>山东</x:v>
      </x:c>
      <x:c r="E104" s="2" t="str">
        <x:v>pending</x:v>
      </x:c>
      <x:c r="F104" s="7" t="str">
        <x:v>现有页面只转载匿名X投稿，连准确楼宇位置、爆炸是否发生都未得到核实；所谓特定干部目标及大规模伤亡亦无可核来源。</x:v>
      </x:c>
      <x:c r="G104" s="9"/>
      <x:c r="H104" s="9"/>
      <x:c r="I104" s="7"/>
      <x:c r="J104" s="2" t="str">
        <x:v>网传待核</x:v>
      </x:c>
      <x:c r="K104" s="7" t="str">
        <x:v>LXS26B28</x:v>
      </x:c>
      <x:c r="L104" s="7" t="str">
        <x:v>搜索当地公开事故信息未查得对应刑案，不据此断言不存在；不采信转载的政治身份、私人关系与200余伤亡数。</x:v>
      </x:c>
    </x:row>
    <x:row r="105" ht="38" customHeight="1">
      <x:c r="A105" s="2" t="str">
        <x:v>C044</x:v>
      </x:c>
      <x:c r="B105" s="2" t="str">
        <x:v>2026-05-01</x:v>
      </x:c>
      <x:c r="C105" s="7" t="str">
        <x:v>成都剑南大道车辆连续碰撞事件</x:v>
      </x:c>
      <x:c r="D105" s="2" t="str">
        <x:v>四川</x:v>
      </x:c>
      <x:c r="E105" s="2" t="str">
        <x:v>pending</x:v>
      </x:c>
      <x:c r="F105" s="7" t="str">
        <x:v>警方初查称转弯事故后逃逸；另有原始目击者采访与中央社影像分析描述加速撞击多个路段的公众、倒车后再撞及取刀。两类证据对故意性存在冲突，不能仅凭事故标签排除；在完整轨迹、调查结果及动机关系未厘清前列待核。</x:v>
      </x:c>
      <x:c r="G105" s="9" t="n">
        <x:v>1</x:v>
      </x:c>
      <x:c r="H105" s="9" t="n">
        <x:v>11</x:v>
      </x:c>
      <x:c r="I105" s="7"/>
      <x:c r="J105" s="2" t="str">
        <x:v>官方转载</x:v>
      </x:c>
      <x:c r="K105" s="7" t="str">
        <x:v>CS055；LXS26B23；LXS26B24；LXS26B31；LXS26B32</x:v>
      </x:c>
      <x:c r="L105" s="7" t="str">
        <x:v>保留官方1死11伤数值。目击者对更多死亡、网约车押金纠纷的推测不予采纳；中央社使用李老师传播影像，与X镜像同源，不另算现场独立采集。</x:v>
      </x:c>
    </x:row>
    <x:row r="106" ht="38" customHeight="1">
      <x:c r="A106" s="2" t="str">
        <x:v>C038</x:v>
      </x:c>
      <x:c r="B106" s="2" t="str">
        <x:v>2026-05-02</x:v>
      </x:c>
      <x:c r="C106" s="7" t="str">
        <x:v>柳州高新南路小区刑事案件</x:v>
      </x:c>
      <x:c r="D106" s="2" t="str">
        <x:v>广西</x:v>
      </x:c>
      <x:c r="E106" s="2" t="str">
        <x:v>pending</x:v>
      </x:c>
      <x:c r="F106" s="7" t="str">
        <x:v>警方已确认刑案与死伤；新增记者访问居民仅有楼内发生及邻里纠纷的传闻，未核实具体被害关系和作案目标，无法判断定向案是否扩及无关者。</x:v>
      </x:c>
      <x:c r="G106" s="9" t="n">
        <x:v>3</x:v>
      </x:c>
      <x:c r="H106" s="9" t="n">
        <x:v>1</x:v>
      </x:c>
      <x:c r="I106" s="7" t="str">
        <x:v>通报4死中1人为有重大嫌疑者；暂单列嫌疑人死亡，非最终法院认定。</x:v>
      </x:c>
      <x:c r="J106" s="2" t="str">
        <x:v>官方转载</x:v>
      </x:c>
      <x:c r="K106" s="7" t="str">
        <x:v>CS049；LXS26B14</x:v>
      </x:c>
      <x:c r="L106" s="7" t="str">
        <x:v>维持警方4死中分列疑似作案者1死的原口径；未把受访者的猜测升级为动机。</x:v>
      </x:c>
    </x:row>
    <x:row r="107" ht="38" customHeight="1">
      <x:c r="A107" s="2" t="str">
        <x:v>LX26B11</x:v>
      </x:c>
      <x:c r="B107" s="2" t="str">
        <x:v>2026-05-03</x:v>
      </x:c>
      <x:c r="C107" s="7" t="str">
        <x:v>网传平阳昆阳菜市场路段车辆碰撞多人事件</x:v>
      </x:c>
      <x:c r="D107" s="2" t="str">
        <x:v>浙江</x:v>
      </x:c>
      <x:c r="E107" s="2" t="str">
        <x:v>pending</x:v>
      </x:c>
      <x:c r="F107" s="7" t="str">
        <x:v>单一媒体记者访谈与网络视频可提供车辆碰撞线索；盗窃逃跑、失控事故及主动撞人说法未分清，缺官方结果及独立调查。</x:v>
      </x:c>
      <x:c r="G107" s="9"/>
      <x:c r="H107" s="9"/>
      <x:c r="I107" s="7"/>
      <x:c r="J107" s="2" t="str">
        <x:v>单一媒体</x:v>
      </x:c>
      <x:c r="K107" s="7" t="str">
        <x:v>LXS26B14</x:v>
      </x:c>
      <x:c r="L107" s="7" t="str">
        <x:v>总死伤未有可靠核定，不把现场躺地人数作为死亡或伤者数。</x:v>
      </x:c>
    </x:row>
    <x:row r="108" ht="38" customHeight="1">
      <x:c r="A108" s="2" t="str">
        <x:v>C029</x:v>
      </x:c>
      <x:c r="B108" s="2" t="str">
        <x:v>2026-05-19</x:v>
      </x:c>
      <x:c r="C108" s="7" t="str">
        <x:v>上海环球金融中心日本料理店持刀伤人案</x:v>
      </x:c>
      <x:c r="D108" s="2" t="str">
        <x:v>上海</x:v>
      </x:c>
      <x:c r="E108" s="2" t="str">
        <x:v>pending</x:v>
      </x:c>
      <x:c r="F108" s="7" t="str">
        <x:v>官方确认男子闯入餐厅持刀伤3人；尚缺其与伤者是否认识、是否因特定纠纷以及选择对象过程的材料。公开餐厅场景与精神障碍史不能单独证明随机性。</x:v>
      </x:c>
      <x:c r="G108" s="9" t="n">
        <x:v>0</x:v>
      </x:c>
      <x:c r="H108" s="9" t="n">
        <x:v>3</x:v>
      </x:c>
      <x:c r="I108" s="7"/>
      <x:c r="J108" s="2" t="str">
        <x:v>官方原文</x:v>
      </x:c>
      <x:c r="K108" s="7" t="str">
        <x:v>CS039；CS040</x:v>
      </x:c>
      <x:c r="L108" s="7" t="str">
        <x:v>Q2补查未取得可改变类别的新关系证据；维持待核，保留官方伤亡及发生事实。</x:v>
      </x:c>
    </x:row>
    <x:row r="109" ht="38" customHeight="1">
      <x:c r="A109" s="2" t="str">
        <x:v>LX26B16</x:v>
      </x:c>
      <x:c r="B109" s="2" t="str">
        <x:v>2026-06</x:v>
      </x:c>
      <x:c r="C109" s="7" t="str">
        <x:v>网传随州大润发路段车辆冲撞线索</x:v>
      </x:c>
      <x:c r="D109" s="2" t="str">
        <x:v>湖北</x:v>
      </x:c>
      <x:c r="E109" s="2" t="str">
        <x:v>pending</x:v>
      </x:c>
      <x:c r="F109" s="7" t="str">
        <x:v>8月评论文章回顾6月事件时仅作简短提及，没有具体日期、采访或原始帖文；发生及主动性都未核实。</x:v>
      </x:c>
      <x:c r="G109" s="9"/>
      <x:c r="H109" s="9"/>
      <x:c r="I109" s="7"/>
      <x:c r="J109" s="2" t="str">
        <x:v>网传待核</x:v>
      </x:c>
      <x:c r="K109" s="7" t="str">
        <x:v>LXS26B19</x:v>
      </x:c>
      <x:c r="L109" s="7" t="str">
        <x:v>仅录月份，不能以8月17日发布日期代替案发日；待取得原始记录后复查是否与其他事故重复。</x:v>
      </x:c>
    </x:row>
    <x:row r="110" ht="38" customHeight="1">
      <x:c r="A110" s="2" t="str">
        <x:v>LX26B17</x:v>
      </x:c>
      <x:c r="B110" s="2" t="str">
        <x:v>2026-06</x:v>
      </x:c>
      <x:c r="C110" s="7" t="str">
        <x:v>网传漯河车辆连续碰撞线索</x:v>
      </x:c>
      <x:c r="D110" s="2" t="str">
        <x:v>河南</x:v>
      </x:c>
      <x:c r="E110" s="2" t="str">
        <x:v>pending</x:v>
      </x:c>
      <x:c r="F110" s="7" t="str">
        <x:v>仅一篇评论文章笼统回顾6月漯河连环撞击，缺地点、具体日期及可验证的原始记录；不足以认定主动袭击。</x:v>
      </x:c>
      <x:c r="G110" s="9"/>
      <x:c r="H110" s="9"/>
      <x:c r="I110" s="7"/>
      <x:c r="J110" s="2" t="str">
        <x:v>网传待核</x:v>
      </x:c>
      <x:c r="K110" s="7" t="str">
        <x:v>LXS26B19</x:v>
      </x:c>
      <x:c r="L110" s="7" t="str">
        <x:v>月份依原文回顾语境保留；伤亡与动机均未知，获得地点后须优先查重。</x:v>
      </x:c>
    </x:row>
    <x:row r="111" ht="38" customHeight="1">
      <x:c r="A111" s="2" t="str">
        <x:v>LX26B08</x:v>
      </x:c>
      <x:c r="B111" s="2" t="str">
        <x:v>2026-06-05</x:v>
      </x:c>
      <x:c r="C111" s="7" t="str">
        <x:v>重庆巴南高校同事矛盾定向持刀杀人案</x:v>
      </x:c>
      <x:c r="D111" s="2" t="str">
        <x:v>重庆</x:v>
      </x:c>
      <x:c r="E111" s="2" t="str">
        <x:v>excluded</x:v>
      </x:c>
      <x:c r="F111" s="7" t="str">
        <x:v>警方通报经媒体完整转述，认定同事矛盾引发特定对象袭击；没有向其他无关人员扩展的证据。</x:v>
      </x:c>
      <x:c r="G111" s="9" t="n">
        <x:v>1</x:v>
      </x:c>
      <x:c r="H111" s="9"/>
      <x:c r="I111" s="7"/>
      <x:c r="J111" s="2" t="str">
        <x:v>官方转载</x:v>
      </x:c>
      <x:c r="K111" s="7" t="str">
        <x:v>LXS26B09</x:v>
      </x:c>
      <x:c r="L111" s="7" t="str">
        <x:v>网络以高校教师及副校长身份传播；教育身份不等同针对学校公众的无差别袭击。</x:v>
      </x:c>
    </x:row>
    <x:row r="112" ht="38" customHeight="1">
      <x:c r="A112" s="2" t="str">
        <x:v>LX26B09</x:v>
      </x:c>
      <x:c r="B112" s="2" t="str">
        <x:v>2026-06-11</x:v>
      </x:c>
      <x:c r="C112" s="7" t="str">
        <x:v>兴安灵湘路爆炸事件</x:v>
      </x:c>
      <x:c r="D112" s="2" t="str">
        <x:v>广西</x:v>
      </x:c>
      <x:c r="E112" s="2" t="str">
        <x:v>pending</x:v>
      </x:c>
      <x:c r="F112" s="7" t="str">
        <x:v>官方确认爆炸和死伤，但未公布爆炸成因、是否人为及目标选择；商铺纠纷或报复社会等互相冲突的网传动机均未核实。</x:v>
      </x:c>
      <x:c r="G112" s="9" t="n">
        <x:v>7</x:v>
      </x:c>
      <x:c r="H112" s="9"/>
      <x:c r="I112" s="7" t="str">
        <x:v>官方称7人死亡、17人送医；另有未计数轻伤人员，故17仅作为伤者下限，不写成完整受伤总数。</x:v>
      </x:c>
      <x:c r="J112" s="2" t="str">
        <x:v>官方转载</x:v>
      </x:c>
      <x:c r="K112" s="7" t="str">
        <x:v>LXS26B10；LXS26B11</x:v>
      </x:c>
      <x:c r="L112" s="7"/>
    </x:row>
    <x:row r="113" ht="38" customHeight="1">
      <x:c r="A113" s="2" t="str">
        <x:v>LX26B20</x:v>
      </x:c>
      <x:c r="B113" s="2" t="str">
        <x:v>2026-06-15</x:v>
      </x:c>
      <x:c r="C113" s="7" t="str">
        <x:v>如东倒车操作不当冲撞丧事现场事故</x:v>
      </x:c>
      <x:c r="D113" s="2" t="str">
        <x:v>江苏</x:v>
      </x:c>
      <x:c r="E113" s="2" t="str">
        <x:v>excluded</x:v>
      </x:c>
      <x:c r="F113" s="7" t="str">
        <x:v>政府通报明确系倒车操作不当造成，未有主动攻击人群证据。</x:v>
      </x:c>
      <x:c r="G113" s="9" t="n">
        <x:v>1</x:v>
      </x:c>
      <x:c r="H113" s="9" t="n">
        <x:v>7</x:v>
      </x:c>
      <x:c r="I113" s="7" t="str">
        <x:v>截至当日18时1死7伤，其中1人伤势较重；未将伤势较重当作重伤鉴定。</x:v>
      </x:c>
      <x:c r="J113" s="2" t="str">
        <x:v>官方转载</x:v>
      </x:c>
      <x:c r="K113" s="7" t="str">
        <x:v>LXS26B29</x:v>
      </x:c>
      <x:c r="L113" s="7"/>
    </x:row>
    <x:row r="114" ht="38" customHeight="1">
      <x:c r="A114" s="2" t="str">
        <x:v>LX26B21</x:v>
      </x:c>
      <x:c r="B114" s="2" t="str">
        <x:v>2026-06-15</x:v>
      </x:c>
      <x:c r="C114" s="7" t="str">
        <x:v>灌南醉驾碰撞环卫工人交通事故</x:v>
      </x:c>
      <x:c r="D114" s="2" t="str">
        <x:v>江苏</x:v>
      </x:c>
      <x:c r="E114" s="2" t="str">
        <x:v>excluded</x:v>
      </x:c>
      <x:c r="F114" s="7" t="str">
        <x:v>警方通报为醉酒驾驶导致道路交通事故，未见蓄意袭击公众的证据。</x:v>
      </x:c>
      <x:c r="G114" s="9" t="n">
        <x:v>2</x:v>
      </x:c>
      <x:c r="H114" s="9" t="n">
        <x:v>1</x:v>
      </x:c>
      <x:c r="I114" s="7" t="str">
        <x:v>两名环卫工死亡，受伤1人为肇事车辆同车人员；分别说明身份以免误当行人伤者。</x:v>
      </x:c>
      <x:c r="J114" s="2" t="str">
        <x:v>官方转载</x:v>
      </x:c>
      <x:c r="K114" s="7" t="str">
        <x:v>LXS26B30</x:v>
      </x:c>
      <x:c r="L114" s="7"/>
    </x:row>
    <x:row r="115" ht="38" customHeight="1">
      <x:c r="A115" s="2" t="str">
        <x:v>LX26B06</x:v>
      </x:c>
      <x:c r="B115" s="2" t="str">
        <x:v>2026-06-19</x:v>
      </x:c>
      <x:c r="C115" s="7" t="str">
        <x:v>网传无锡车展模特遭持刀袭击事件</x:v>
      </x:c>
      <x:c r="D115" s="2" t="str">
        <x:v>江苏</x:v>
      </x:c>
      <x:c r="E115" s="2" t="str">
        <x:v>pending</x:v>
      </x:c>
      <x:c r="F115" s="7" t="str">
        <x:v>可检出的李老师帖文镜像摘要称车展发生持刀袭击，但原帖不可读、镜像正文访问失败，尚缺独立发生验证和袭击者与受害者关系。</x:v>
      </x:c>
      <x:c r="G115" s="9"/>
      <x:c r="H115" s="9"/>
      <x:c r="I115" s="7"/>
      <x:c r="J115" s="2" t="str">
        <x:v>网传待核</x:v>
      </x:c>
      <x:c r="K115" s="7" t="str">
        <x:v>LXS26B06；LXS26B07</x:v>
      </x:c>
      <x:c r="L115" s="7" t="str">
        <x:v>6月19日为摘要所述案发日，6月21日为发帖日；两者分开。仅社媒线索，不因场景公开就自动列核心。</x:v>
      </x:c>
    </x:row>
    <x:row r="116" ht="38" customHeight="1">
      <x:c r="A116" s="2" t="str">
        <x:v>LX26B10</x:v>
      </x:c>
      <x:c r="B116" s="2" t="str">
        <x:v>2026-06-19</x:v>
      </x:c>
      <x:c r="C116" s="7" t="str">
        <x:v>郑州宏达国际车业广场经营纠纷放火案</x:v>
      </x:c>
      <x:c r="D116" s="2" t="str">
        <x:v>河南</x:v>
      </x:c>
      <x:c r="E116" s="2" t="str">
        <x:v>pending</x:v>
      </x:c>
      <x:c r="F116" s="7" t="str">
        <x:v>7月22日警方确认因经营纠纷纵火，但未披露死伤者与嫌疑人关系、原纠纷目标和起火时人员分布；商场受损及多人死伤本身不足以证明攻击无关公众。</x:v>
      </x:c>
      <x:c r="G116" s="9" t="n">
        <x:v>2</x:v>
      </x:c>
      <x:c r="H116" s="9" t="n">
        <x:v>2</x:v>
      </x:c>
      <x:c r="I116" s="7"/>
      <x:c r="J116" s="2" t="str">
        <x:v>官方转载</x:v>
      </x:c>
      <x:c r="K116" s="7" t="str">
        <x:v>LXS26B12；LXS26B13</x:v>
      </x:c>
      <x:c r="L116" s="7" t="str">
        <x:v>可确认主动纵火，不足以确定核心或扩展类别；本条待核针对关系而非否认发生。</x:v>
      </x:c>
    </x:row>
    <x:row r="117" ht="38" customHeight="1">
      <x:c r="A117" s="2" t="str">
        <x:v>LX26B22</x:v>
      </x:c>
      <x:c r="B117" s="2" t="str">
        <x:v>2026-06-26</x:v>
      </x:c>
      <x:c r="C117" s="7" t="str">
        <x:v>网传天津津南广场附近持刀斗殴线索</x:v>
      </x:c>
      <x:c r="D117" s="2" t="str">
        <x:v>天津</x:v>
      </x:c>
      <x:c r="E117" s="2" t="str">
        <x:v>pending</x:v>
      </x:c>
      <x:c r="F117" s="7" t="str">
        <x:v>单一社媒帖文描述多人相互冲突及疑似持刀，没有独立发生验证，也未说明是否涉及原纠纷之外的旁人。</x:v>
      </x:c>
      <x:c r="G117" s="9"/>
      <x:c r="H117" s="9"/>
      <x:c r="I117" s="7"/>
      <x:c r="J117" s="2" t="str">
        <x:v>网传待核</x:v>
      </x:c>
      <x:c r="K117" s="7" t="str">
        <x:v>LXS26B33</x:v>
      </x:c>
      <x:c r="L117" s="7" t="str">
        <x:v>保留为社媒待核；不能把街头斗殴自动视为无差别攻击。</x:v>
      </x:c>
    </x:row>
    <x:row r="118" ht="38" customHeight="1">
      <x:c r="A118" s="2" t="str">
        <x:v>LX26B23</x:v>
      </x:c>
      <x:c r="B118" s="2" t="str">
        <x:v>2026-06-26</x:v>
      </x:c>
      <x:c r="C118" s="7" t="str">
        <x:v>北京中信大厦轻型飞机撞楼事件</x:v>
      </x:c>
      <x:c r="D118" s="2" t="str">
        <x:v>北京</x:v>
      </x:c>
      <x:c r="E118" s="2" t="str">
        <x:v>pending</x:v>
      </x:c>
      <x:c r="F118" s="7" t="str">
        <x:v>官方确认危害公共安全案件并披露自杀意念，未充分说明驾驶者是否主动以楼内公众为攻击对象。自杀故意不等于伤人故意，保留待核。</x:v>
      </x:c>
      <x:c r="G118" s="9" t="n">
        <x:v>0</x:v>
      </x:c>
      <x:c r="H118" s="9" t="n">
        <x:v>13</x:v>
      </x:c>
      <x:c r="I118" s="7" t="str">
        <x:v>官方公布唯一死亡者为驾驶员，单列在行为人死亡字段；其余现场13人受伤。行为人是否构成主动袭击者仍待分类核实。</x:v>
      </x:c>
      <x:c r="J118" s="2" t="str">
        <x:v>官方转载</x:v>
      </x:c>
      <x:c r="K118" s="7" t="str">
        <x:v>LXS26B34；LXS26B35；LXS26B36</x:v>
      </x:c>
      <x:c r="L118" s="7" t="str">
        <x:v>网络关于驾驶员与中信雇佣或纠纷关系没有可核来源，不纳入事实。</x:v>
      </x:c>
    </x:row>
    <x:row r="119" ht="38" customHeight="1">
      <x:c r="A119" s="2" t="str">
        <x:v>LX26B24</x:v>
      </x:c>
      <x:c r="B119" s="2" t="str">
        <x:v>2026-06-27</x:v>
      </x:c>
      <x:c r="C119" s="7" t="str">
        <x:v>网传寿县京师幼儿园遭袭线索</x:v>
      </x:c>
      <x:c r="D119" s="2" t="str">
        <x:v>安徽</x:v>
      </x:c>
      <x:c r="E119" s="2" t="str">
        <x:v>pending</x:v>
      </x:c>
      <x:c r="F119" s="7" t="str">
        <x:v>只检出论坛标题，发生本身、作案方式、伤亡和受害对象均不可核实；学校名称不能代替发生或随机性证据。</x:v>
      </x:c>
      <x:c r="G119" s="9"/>
      <x:c r="H119" s="9"/>
      <x:c r="I119" s="7"/>
      <x:c r="J119" s="2" t="str">
        <x:v>网传待核</x:v>
      </x:c>
      <x:c r="K119" s="7" t="str">
        <x:v>LXS26B37</x:v>
      </x:c>
      <x:c r="L119" s="7" t="str">
        <x:v>补查命中2025年2月另一幼儿园校车起火旧案，时间和地点不符，未用旧案充当本条证据。</x:v>
      </x:c>
    </x:row>
    <x:row r="120" ht="38" customHeight="1">
      <x:c r="A120" s="2" t="str">
        <x:v>LX26B07</x:v>
      </x:c>
      <x:c r="B120" s="2" t="str">
        <x:v>2026-06-28</x:v>
      </x:c>
      <x:c r="C120" s="7" t="str">
        <x:v>网传滕州和馨园及世茂商城附近持刀伤人线索</x:v>
      </x:c>
      <x:c r="D120" s="2" t="str">
        <x:v>山东</x:v>
      </x:c>
      <x:c r="E120" s="2" t="str">
        <x:v>pending</x:v>
      </x:c>
      <x:c r="F120" s="7" t="str">
        <x:v>报道仅汇总网传影像和说法，家庭纠纷、继续攻击街头旁人及伤亡均没有独立证实；缺足以确定是否同一连续案件的证据。</x:v>
      </x:c>
      <x:c r="G120" s="9"/>
      <x:c r="H120" s="9"/>
      <x:c r="I120" s="7"/>
      <x:c r="J120" s="2" t="str">
        <x:v>网传待核</x:v>
      </x:c>
      <x:c r="K120" s="7" t="str">
        <x:v>LXS26B08</x:v>
      </x:c>
      <x:c r="L120" s="7" t="str">
        <x:v>有关先杀家人后伤路人的说法只作为待查方向；日期、地点亦依单源报道保留，不能纳入已核实统计。</x:v>
      </x:c>
    </x:row>
    <x:row r="121" ht="38" customHeight="1">
      <x:c r="A121" s="2" t="str">
        <x:v>LX26C08</x:v>
      </x:c>
      <x:c r="B121" s="2" t="str">
        <x:v>2026-07-09</x:v>
      </x:c>
      <x:c r="C121" s="7" t="str">
        <x:v>晋江辉腾鞋业厂房火灾及纵火传言</x:v>
      </x:c>
      <x:c r="D121" s="2" t="str">
        <x:v>福建</x:v>
      </x:c>
      <x:c r="E121" s="2" t="str">
        <x:v>pending</x:v>
      </x:c>
      <x:c r="F121" s="7" t="str">
        <x:v>政府发布会确认重大厂房火灾及伤亡，但起火原因尚未查清；网上纵火／报复说法缺少可验证行为人、起火过程或调查结论。只列待核火灾线索。</x:v>
      </x:c>
      <x:c r="G121" s="9" t="n">
        <x:v>28</x:v>
      </x:c>
      <x:c r="H121" s="9"/>
      <x:c r="I121" s="7" t="str">
        <x:v>28名死者包含送医后不治的2人，未另列受伤存活者人数；不采用社媒夸大数字。</x:v>
      </x:c>
      <x:c r="J121" s="2" t="str">
        <x:v>官方原文</x:v>
      </x:c>
      <x:c r="K121" s="7" t="str">
        <x:v>LXS26C18；LXS26C20</x:v>
      </x:c>
      <x:c r="L121" s="7" t="str">
        <x:v>method留空表示没有证实纵火，不将报道火灾直接编码为主动攻击。</x:v>
      </x:c>
    </x:row>
    <x:row r="122" ht="38" customHeight="1">
      <x:c r="A122" s="2" t="str">
        <x:v>LX26C01</x:v>
      </x:c>
      <x:c r="B122" s="2" t="str">
        <x:v>2026-07-11</x:v>
      </x:c>
      <x:c r="C122" s="7" t="str">
        <x:v>网传厦门东浦路持刀伤人事件</x:v>
      </x:c>
      <x:c r="D122" s="2" t="str">
        <x:v>福建</x:v>
      </x:c>
      <x:c r="E122" s="2" t="str">
        <x:v>pending</x:v>
      </x:c>
      <x:c r="F122" s="7" t="str">
        <x:v>只有网络影像汇编可见；影像拍摄日期、袭击经过、攻击对象关系和伤亡均无官方或独立采集材料印证。</x:v>
      </x:c>
      <x:c r="G122" s="9"/>
      <x:c r="H122" s="9"/>
      <x:c r="I122" s="7" t="str">
        <x:v>不采用网传死亡或多人行凶人数。</x:v>
      </x:c>
      <x:c r="J122" s="2" t="str">
        <x:v>网传待核</x:v>
      </x:c>
      <x:c r="K122" s="7" t="str">
        <x:v>LXS26C08</x:v>
      </x:c>
      <x:c r="L122" s="7" t="str">
        <x:v>案发日采用文中网传7月11日，未经独立验证；7月14日是文章发布时间。</x:v>
      </x:c>
    </x:row>
    <x:row r="123" ht="38" customHeight="1">
      <x:c r="A123" s="2" t="str">
        <x:v>C028</x:v>
      </x:c>
      <x:c r="B123" s="2" t="str">
        <x:v>2026-07-13</x:v>
      </x:c>
      <x:c r="C123" s="7" t="str">
        <x:v>杭州钱塘甜品店门口持刀杀人案</x:v>
      </x:c>
      <x:c r="D123" s="2" t="str">
        <x:v>浙江</x:v>
      </x:c>
      <x:c r="E123" s="2" t="str">
        <x:v>pending</x:v>
      </x:c>
      <x:c r="F123" s="7" t="str">
        <x:v>确认店主遇害，但双方关系与攻击选择机制未披露；暂不能认定随机或特定纠纷。</x:v>
      </x:c>
      <x:c r="G123" s="9" t="n">
        <x:v>1</x:v>
      </x:c>
      <x:c r="H123" s="9"/>
      <x:c r="I123" s="7" t="str">
        <x:v>警方确认甜品店店主死亡1人；未单列其他非致命伤人数，injured由0改为null。</x:v>
      </x:c>
      <x:c r="J123" s="2" t="str">
        <x:v>官方转载</x:v>
      </x:c>
      <x:c r="K123" s="7" t="str">
        <x:v>CS038；LXS26C08</x:v>
      </x:c>
      <x:c r="L123" s="7" t="str">
        <x:v>同日网传叙述误称外卖员冲突及有人在逃，与警方公布54岁纺织厂员工当日上午被抓不符；这些传言不用于关系、职业或结局认定。现场为商业场所本身不足证明随机。</x:v>
      </x:c>
    </x:row>
    <x:row r="124" ht="38" customHeight="1">
      <x:c r="A124" s="2" t="str">
        <x:v>LX26C15</x:v>
      </x:c>
      <x:c r="B124" s="2" t="str">
        <x:v>2026-07-14</x:v>
      </x:c>
      <x:c r="C124" s="7" t="str">
        <x:v>漳州古雷新港城拾荒老人被殴打案</x:v>
      </x:c>
      <x:c r="D124" s="2" t="str">
        <x:v>福建</x:v>
      </x:c>
      <x:c r="E124" s="2" t="str">
        <x:v>pending</x:v>
      </x:c>
      <x:c r="F124" s="7" t="str">
        <x:v>警方确认殴打及一名伤者；尚无可读材料说明施暴者与老人此前关系、起因及选择机制，不能仅因老人弱势而认定随机。</x:v>
      </x:c>
      <x:c r="G124" s="9"/>
      <x:c r="H124" s="9" t="n">
        <x:v>1</x:v>
      </x:c>
      <x:c r="I124" s="7" t="str">
        <x:v>警方称伤情稳定，未给法定重伤鉴定。</x:v>
      </x:c>
      <x:c r="J124" s="2" t="str">
        <x:v>官方转载</x:v>
      </x:c>
      <x:c r="K124" s="7" t="str">
        <x:v>LXS26C26</x:v>
      </x:c>
      <x:c r="L124" s="7"/>
    </x:row>
    <x:row r="125" ht="38" customHeight="1">
      <x:c r="A125" s="2" t="str">
        <x:v>LX26C10</x:v>
      </x:c>
      <x:c r="B125" s="2" t="str">
        <x:v>2026-07-15</x:v>
      </x:c>
      <x:c r="C125" s="7" t="str">
        <x:v>莆田灵川镇烟花爆竹仓库纵火线索</x:v>
      </x:c>
      <x:c r="D125" s="2" t="str">
        <x:v>福建</x:v>
      </x:c>
      <x:c r="E125" s="2" t="str">
        <x:v>pending</x:v>
      </x:c>
      <x:c r="F125" s="7" t="str">
        <x:v>新京报采访部门称人为纵火，但本轮只读取到搜索缓存完整短稿，原文访问失败；是否以现场人员或无关公众为攻击对象亦不明，暂列待核。</x:v>
      </x:c>
      <x:c r="G125" s="9" t="n">
        <x:v>0</x:v>
      </x:c>
      <x:c r="H125" s="9" t="n">
        <x:v>0</x:v>
      </x:c>
      <x:c r="I125" s="7" t="str">
        <x:v>缓存稿引当地政府称无人员伤亡；需在可访问正文再次核对。</x:v>
      </x:c>
      <x:c r="J125" s="2" t="str">
        <x:v>单一媒体</x:v>
      </x:c>
      <x:c r="K125" s="7" t="str">
        <x:v>LXS26C21</x:v>
      </x:c>
      <x:c r="L125" s="7" t="str">
        <x:v>爆燃是纵火的据报后果，未推断另有独立爆炸装置；不将财产纵火自动纳为针对不特定公众的袭击。</x:v>
      </x:c>
    </x:row>
    <x:row r="126" ht="38" customHeight="1">
      <x:c r="A126" s="2" t="str">
        <x:v>LX26C09</x:v>
      </x:c>
      <x:c r="B126" s="2" t="str">
        <x:v>2026-07-16</x:v>
      </x:c>
      <x:c r="C126" s="7" t="str">
        <x:v>晋江池店唐厝废品收购站火灾及纵火传言</x:v>
      </x:c>
      <x:c r="D126" s="2" t="str">
        <x:v>福建</x:v>
      </x:c>
      <x:c r="E126" s="2" t="str">
        <x:v>pending</x:v>
      </x:c>
      <x:c r="F126" s="7" t="str">
        <x:v>官方可确认废品站火灾；将其称工厂遭报复的社交说法未给可查证纵火证据，主动袭击性质未知。</x:v>
      </x:c>
      <x:c r="G126" s="9" t="n">
        <x:v>0</x:v>
      </x:c>
      <x:c r="H126" s="9" t="n">
        <x:v>0</x:v>
      </x:c>
      <x:c r="I126" s="7" t="str">
        <x:v>仅初报“暂无人员被困或受伤”，非最终事故结案人数。</x:v>
      </x:c>
      <x:c r="J126" s="2" t="str">
        <x:v>官方转载</x:v>
      </x:c>
      <x:c r="K126" s="7" t="str">
        <x:v>LXS26C19；LXS26C20</x:v>
      </x:c>
      <x:c r="L126" s="7"/>
    </x:row>
    <x:row r="127" ht="38" customHeight="1">
      <x:c r="A127" s="2" t="str">
        <x:v>LX26C05</x:v>
      </x:c>
      <x:c r="B127" s="2" t="str">
        <x:v>2026-07-17</x:v>
      </x:c>
      <x:c r="C127" s="7" t="str">
        <x:v>湖南平江老城区店铺纵火案</x:v>
      </x:c>
      <x:c r="D127" s="2" t="str">
        <x:v>湖南</x:v>
      </x:c>
      <x:c r="E127" s="2" t="str">
        <x:v>pending</x:v>
      </x:c>
      <x:c r="F127" s="7" t="str">
        <x:v>警方确认店主纠纷引发纵火并造成店内两人死亡；通报未说明两人与原纠纷关系。儿女被害说法仅有网传，尚不足确认扩及无关人员。</x:v>
      </x:c>
      <x:c r="G127" s="9" t="n">
        <x:v>2</x:v>
      </x:c>
      <x:c r="H127" s="9"/>
      <x:c r="I127" s="7" t="str">
        <x:v>两名店内死者与一名纵火嫌疑人分列，不能把总死亡3人当作受害者死亡3人；未给非致命伤人数。</x:v>
      </x:c>
      <x:c r="J127" s="2" t="str">
        <x:v>官方转载</x:v>
      </x:c>
      <x:c r="K127" s="7" t="str">
        <x:v>LXS26C14；LXS26C34</x:v>
      </x:c>
      <x:c r="L127" s="7" t="str">
        <x:v>不采信来源时间异常的内部通报截图作为两位受害者身份结论。</x:v>
      </x:c>
    </x:row>
    <x:row r="128" ht="38" customHeight="1">
      <x:c r="A128" s="2" t="str">
        <x:v>LX26C18</x:v>
      </x:c>
      <x:c r="B128" s="2" t="str">
        <x:v>2026-07-26</x:v>
      </x:c>
      <x:c r="C128" s="7" t="str">
        <x:v>洪雅玉屏山森林火灾及讨薪纵火传言</x:v>
      </x:c>
      <x:c r="D128" s="2" t="str">
        <x:v>四川</x:v>
      </x:c>
      <x:c r="E128" s="2" t="str">
        <x:v>pending</x:v>
      </x:c>
      <x:c r="F128" s="7" t="str">
        <x:v>媒体缓存转述管护站火情通报，但原文访问失败；网传欠薪聊天截图不能独立确认行为人、纵火行为或对公众攻击目标。</x:v>
      </x:c>
      <x:c r="G128" s="9" t="n">
        <x:v>0</x:v>
      </x:c>
      <x:c r="H128" s="9" t="n">
        <x:v>0</x:v>
      </x:c>
      <x:c r="I128" s="7" t="str">
        <x:v>数字来自媒体搜索缓存转述无人员被困伤亡，标记原文待复核。</x:v>
      </x:c>
      <x:c r="J128" s="2" t="str">
        <x:v>单一媒体</x:v>
      </x:c>
      <x:c r="K128" s="7" t="str">
        <x:v>LXS26C27；LXS26C30</x:v>
      </x:c>
      <x:c r="L128" s="7" t="str">
        <x:v>没有将未经核实的欠薪年限、金额及人数写入事实字段。</x:v>
      </x:c>
    </x:row>
    <x:row r="129" ht="38" customHeight="1">
      <x:c r="A129" s="2" t="str">
        <x:v>LX26C13</x:v>
      </x:c>
      <x:c r="B129" s="2" t="str">
        <x:v>2026-07-27</x:v>
      </x:c>
      <x:c r="C129" s="7" t="str">
        <x:v>江苏青少年乒乓球选拔赛赛后殴打对手线索</x:v>
      </x:c>
      <x:c r="D129" s="2" t="str">
        <x:v>江苏</x:v>
      </x:c>
      <x:c r="E129" s="2" t="str">
        <x:v>excluded</x:v>
      </x:c>
      <x:c r="F129" s="7" t="str">
        <x:v>可读转载描述赛后失利选手攻击获胜对手，属于特定比赛冲突，没有伤及无关人员线索。</x:v>
      </x:c>
      <x:c r="G129" s="9"/>
      <x:c r="H129" s="9"/>
      <x:c r="I129" s="7"/>
      <x:c r="J129" s="2" t="str">
        <x:v>网传待核</x:v>
      </x:c>
      <x:c r="K129" s="7" t="str">
        <x:v>LXS26C24</x:v>
      </x:c>
      <x:c r="L129" s="7" t="str">
        <x:v>保留李老师帖的转载线索；不公开未成年选手姓名，未以网友标签认定随机袭击，处罚内容尚待协会原通报。</x:v>
      </x:c>
    </x:row>
    <x:row r="130" ht="38" customHeight="1">
      <x:c r="A130" s="2" t="str">
        <x:v>LX26C06</x:v>
      </x:c>
      <x:c r="B130" s="2" t="str">
        <x:v>2026-07-30</x:v>
      </x:c>
      <x:c r="C130" s="7" t="str">
        <x:v>河南西平西关社区邻里纠纷持刀案</x:v>
      </x:c>
      <x:c r="D130" s="2" t="str">
        <x:v>河南</x:v>
      </x:c>
      <x:c r="E130" s="2" t="str">
        <x:v>excluded</x:v>
      </x:c>
      <x:c r="F130" s="7" t="str">
        <x:v>警方描述因邻里矛盾针对邻居及其亲属，现有材料未显示攻击与该纠纷无关公众。</x:v>
      </x:c>
      <x:c r="G130" s="9" t="n">
        <x:v>1</x:v>
      </x:c>
      <x:c r="H130" s="9"/>
      <x:c r="I130" s="7" t="str">
        <x:v>警方称邻居死亡、亲属伤情稳定，未给受伤亲属人数，故injured留空。</x:v>
      </x:c>
      <x:c r="J130" s="2" t="str">
        <x:v>官方转载</x:v>
      </x:c>
      <x:c r="K130" s="7" t="str">
        <x:v>LXS26C15；LXS26C16</x:v>
      </x:c>
      <x:c r="L130" s="7"/>
    </x:row>
    <x:row r="131" ht="38" customHeight="1">
      <x:c r="A131" s="2" t="str">
        <x:v>LX26C19</x:v>
      </x:c>
      <x:c r="B131" s="2" t="str">
        <x:v>2026-08-02</x:v>
      </x:c>
      <x:c r="C131" s="7" t="str">
        <x:v>青岛象屿速传仓库火灾及讨薪纵火传言</x:v>
      </x:c>
      <x:c r="D131" s="2" t="str">
        <x:v>山东</x:v>
      </x:c>
      <x:c r="E131" s="2" t="str">
        <x:v>pending</x:v>
      </x:c>
      <x:c r="F131" s="7" t="str">
        <x:v>地方发布通报确认仓库火灾且原因调查中；员工讨薪纵火传言无独立核实，不以燃烧规模或爆燃声推定主动袭击。</x:v>
      </x:c>
      <x:c r="G131" s="9" t="n">
        <x:v>0</x:v>
      </x:c>
      <x:c r="H131" s="9" t="n">
        <x:v>0</x:v>
      </x:c>
      <x:c r="I131" s="7"/>
      <x:c r="J131" s="2" t="str">
        <x:v>官方转载</x:v>
      </x:c>
      <x:c r="K131" s="7" t="str">
        <x:v>LXS26C27；LXS26C31</x:v>
      </x:c>
      <x:c r="L131" s="7" t="str">
        <x:v>初期网传称轮胎厂，实际通报主体为供应链企业仓库。</x:v>
      </x:c>
    </x:row>
    <x:row r="132" ht="38" customHeight="1">
      <x:c r="A132" s="2" t="str">
        <x:v>LX26C04</x:v>
      </x:c>
      <x:c r="B132" s="2" t="str">
        <x:v>2026-08-10</x:v>
      </x:c>
      <x:c r="C132" s="7" t="str">
        <x:v>南宁民族大道商场旁纠纷持刀伤人案</x:v>
      </x:c>
      <x:c r="D132" s="2" t="str">
        <x:v>广西</x:v>
      </x:c>
      <x:c r="E132" s="2" t="str">
        <x:v>excluded</x:v>
      </x:c>
      <x:c r="F132" s="7" t="str">
        <x:v>警方初查明确因纠纷针对一名特定女子，未披露扩大到无关旁人的伤害。</x:v>
      </x:c>
      <x:c r="G132" s="9"/>
      <x:c r="H132" s="9" t="n">
        <x:v>1</x:v>
      </x:c>
      <x:c r="I132" s="7" t="str">
        <x:v>伤者当时暂无生命危险；未报最终伤情。</x:v>
      </x:c>
      <x:c r="J132" s="2" t="str">
        <x:v>官方转载</x:v>
      </x:c>
      <x:c r="K132" s="7" t="str">
        <x:v>LXS26C13</x:v>
      </x:c>
      <x:c r="L132" s="7"/>
    </x:row>
    <x:row r="133" ht="38" customHeight="1">
      <x:c r="A133" s="2" t="str">
        <x:v>LX26C11</x:v>
      </x:c>
      <x:c r="B133" s="2" t="str">
        <x:v>2026-08-16</x:v>
      </x:c>
      <x:c r="C133" s="7" t="str">
        <x:v>网传南京地铁3号线男子拉制动及威胁事件</x:v>
      </x:c>
      <x:c r="D133" s="2" t="str">
        <x:v>江苏</x:v>
      </x:c>
      <x:c r="E133" s="2" t="str">
        <x:v>excluded</x:v>
      </x:c>
      <x:c r="F133" s="7" t="str">
        <x:v>现有网传内容为拉紧急制动、踹门及威胁喊话，没有已实施针对他人的主动袭击；按未实施伤人威胁排除，保留来源供后续修订。</x:v>
      </x:c>
      <x:c r="G133" s="9"/>
      <x:c r="H133" s="9"/>
      <x:c r="I133" s="7"/>
      <x:c r="J133" s="2" t="str">
        <x:v>网传待核</x:v>
      </x:c>
      <x:c r="K133" s="7" t="str">
        <x:v>LXS26C22</x:v>
      </x:c>
      <x:c r="L133" s="7" t="str">
        <x:v>不把喊话等同确定动机，不依据网友猜测填写精神健康诊断。</x:v>
      </x:c>
    </x:row>
    <x:row r="134" ht="38" customHeight="1">
      <x:c r="A134" s="2" t="str">
        <x:v>LX26C07</x:v>
      </x:c>
      <x:c r="B134" s="2" t="str">
        <x:v>2026-08-17</x:v>
      </x:c>
      <x:c r="C134" s="7" t="str">
        <x:v>贵州锦屏三江镇越野车失控伤人事故</x:v>
      </x:c>
      <x:c r="D134" s="2" t="str">
        <x:v>贵州</x:v>
      </x:c>
      <x:c r="E134" s="2" t="str">
        <x:v>excluded</x:v>
      </x:c>
      <x:c r="F134" s="7" t="str">
        <x:v>警方初步核查为车辆失控导致道路交通事故；未发现主动选择人群撞击的可靠证据，不能凭多人倒地影像认定故意袭击。</x:v>
      </x:c>
      <x:c r="G134" s="9"/>
      <x:c r="H134" s="9"/>
      <x:c r="I134" s="7" t="str">
        <x:v>仅通报伤者均送医且无生命危险，未公布人数。</x:v>
      </x:c>
      <x:c r="J134" s="2" t="str">
        <x:v>官方转载</x:v>
      </x:c>
      <x:c r="K134" s="7" t="str">
        <x:v>LXS26C17</x:v>
      </x:c>
      <x:c r="L134" s="7"/>
    </x:row>
    <x:row r="135" ht="38" customHeight="1">
      <x:c r="A135" s="2" t="str">
        <x:v>C042</x:v>
      </x:c>
      <x:c r="B135" s="2" t="str">
        <x:v>2026-08-18</x:v>
      </x:c>
      <x:c r="C135" s="7" t="str">
        <x:v>网传汕头陈厝合持刀伤人事件</x:v>
      </x:c>
      <x:c r="D135" s="2" t="str">
        <x:v>广东</x:v>
      </x:c>
      <x:c r="E135" s="2" t="str">
        <x:v>pending</x:v>
      </x:c>
      <x:c r="F135" s="7" t="str">
        <x:v>现有材料仍为同一组社交视频及转载，可见有人受伤和现场处置的报道，但拍摄日期、被害关系及人数未独立确认；不采用十余伤传言。</x:v>
      </x:c>
      <x:c r="G135" s="9"/>
      <x:c r="H135" s="9"/>
      <x:c r="I135" s="7"/>
      <x:c r="J135" s="2" t="str">
        <x:v>网传待核</x:v>
      </x:c>
      <x:c r="K135" s="7" t="str">
        <x:v>CS053；LXS26C32</x:v>
      </x:c>
      <x:c r="L135" s="7" t="str">
        <x:v>原X status URL已从新唐人嵌入链接恢复，原站返回空正文；镜像与转载不算第二独立来源。</x:v>
      </x:c>
    </x:row>
    <x:row r="136" ht="38" customHeight="1">
      <x:c r="A136" s="2" t="str">
        <x:v>LX26C14</x:v>
      </x:c>
      <x:c r="B136" s="2" t="str">
        <x:v>2026-08-19</x:v>
      </x:c>
      <x:c r="C136" s="7" t="str">
        <x:v>网传茂名电城海景明珠持刀伤人事件</x:v>
      </x:c>
      <x:c r="D136" s="2" t="str">
        <x:v>广东</x:v>
      </x:c>
      <x:c r="E136" s="2" t="str">
        <x:v>pending</x:v>
      </x:c>
      <x:c r="F136" s="7" t="str">
        <x:v>仅有网络影像及转述；一名男子攻击女子的日期、伤亡及双方关系未独立核实；情感纠纷传言不能直接作为排除或核心认定。</x:v>
      </x:c>
      <x:c r="G136" s="9"/>
      <x:c r="H136" s="9"/>
      <x:c r="I136" s="7"/>
      <x:c r="J136" s="2" t="str">
        <x:v>网传待核</x:v>
      </x:c>
      <x:c r="K136" s="7" t="str">
        <x:v>LXS26C25；CS053</x:v>
      </x:c>
      <x:c r="L136" s="7" t="str">
        <x:v>8月19日采用既有CS053叙述，尚未取得当地官方通报；不录入未核钱款或私生活指控。</x:v>
      </x:c>
    </x:row>
    <x:row r="137" ht="38" customHeight="1">
      <x:c r="A137" s="2" t="str">
        <x:v>LX26C03</x:v>
      </x:c>
      <x:c r="B137" s="2" t="str">
        <x:v>2026-08-20</x:v>
      </x:c>
      <x:c r="C137" s="7" t="str">
        <x:v>玉林玉州路女子遇袭案</x:v>
      </x:c>
      <x:c r="D137" s="2" t="str">
        <x:v>广西</x:v>
      </x:c>
      <x:c r="E137" s="2" t="str">
        <x:v>pending</x:v>
      </x:c>
      <x:c r="F137" s="7" t="str">
        <x:v>警方确认故意伤害、一人受伤；社媒称从背后袭击扫车女子且双方不识，但材料为同一网民／截图链条，未核实身份关系及完整攻击前因。</x:v>
      </x:c>
      <x:c r="G137" s="9"/>
      <x:c r="H137" s="9" t="n">
        <x:v>1</x:v>
      </x:c>
      <x:c r="I137" s="7" t="str">
        <x:v>采用警方一人受伤、无生命危险口径；网传带孩子同行不等于儿童受伤。</x:v>
      </x:c>
      <x:c r="J137" s="2" t="str">
        <x:v>官方转载</x:v>
      </x:c>
      <x:c r="K137" s="7" t="str">
        <x:v>LXS26C11；LXS26C12；LXS26C36</x:v>
      </x:c>
      <x:c r="L137" s="7" t="str">
        <x:v>MNewsTV与新唐人共享同组图像和说法，不作为第二独立证据；儿童是否直接被袭未知。</x:v>
      </x:c>
    </x:row>
    <x:row r="138" ht="38" customHeight="1">
      <x:c r="A138" s="2" t="str">
        <x:v>LX26C02</x:v>
      </x:c>
      <x:c r="B138" s="2" t="str">
        <x:v>2026-09-04</x:v>
      </x:c>
      <x:c r="C138" s="7" t="str">
        <x:v>贵阳贵州中医大二附院红岩院区医生遇刺案</x:v>
      </x:c>
      <x:c r="D138" s="2" t="str">
        <x:v>贵州</x:v>
      </x:c>
      <x:c r="E138" s="2" t="str">
        <x:v>pending</x:v>
      </x:c>
      <x:c r="F138" s="7" t="str">
        <x:v>警方及记者联系院方、卫健委可确认伤医事件；患者找不到原诊疗医生转刺其他科医生的说法尚停留在稿件转引网传，未核实原医患关系和替代攻击经过，因此暂不升为expanded。</x:v>
      </x:c>
      <x:c r="G138" s="9"/>
      <x:c r="H138" s="9" t="n">
        <x:v>1</x:v>
      </x:c>
      <x:c r="I138" s="7" t="str">
        <x:v>警方称唯一公开伤者病情稳定、无生命危险；没有最终伤情鉴定。</x:v>
      </x:c>
      <x:c r="J138" s="2" t="str">
        <x:v>官方转载</x:v>
      </x:c>
      <x:c r="K138" s="7" t="str">
        <x:v>LXS26C09；LXS26C10</x:v>
      </x:c>
      <x:c r="L138" s="7" t="str">
        <x:v>不因媒体称伤势重而填写法定重伤人数。</x:v>
      </x:c>
    </x:row>
    <x:row r="139" ht="38" customHeight="1">
      <x:c r="A139" s="2" t="str">
        <x:v>LX26C16</x:v>
      </x:c>
      <x:c r="B139" s="2" t="str">
        <x:v>2026-09-08</x:v>
      </x:c>
      <x:c r="C139" s="7" t="str">
        <x:v>合肥包河仓库火灾及报复纵火传言</x:v>
      </x:c>
      <x:c r="D139" s="2" t="str">
        <x:v>安徽</x:v>
      </x:c>
      <x:c r="E139" s="2" t="str">
        <x:v>pending</x:v>
      </x:c>
      <x:c r="F139" s="7" t="str">
        <x:v>消防确认火灾，尚未披露起因；报复纵火说法来自未核实社媒，缺少行为人、行为及攻击目标证据。</x:v>
      </x:c>
      <x:c r="G139" s="9" t="n">
        <x:v>0</x:v>
      </x:c>
      <x:c r="H139" s="9" t="n">
        <x:v>0</x:v>
      </x:c>
      <x:c r="I139" s="7"/>
      <x:c r="J139" s="2" t="str">
        <x:v>官方转载</x:v>
      </x:c>
      <x:c r="K139" s="7" t="str">
        <x:v>LXS26C27；LXS26C28</x:v>
      </x:c>
      <x:c r="L139" s="7" t="str">
        <x:v>案发采用消防报警日9月8日，非报道9月9日，更不采用社交帖的9月10日。</x:v>
      </x:c>
    </x:row>
    <x:row r="140" ht="38" customHeight="1">
      <x:c r="A140" s="2" t="str">
        <x:v>LX26C17</x:v>
      </x:c>
      <x:c r="B140" s="2" t="str">
        <x:v>2026-09-08</x:v>
      </x:c>
      <x:c r="C140" s="7" t="str">
        <x:v>蚌埠高华电子厂房火灾及讨薪纵火传言</x:v>
      </x:c>
      <x:c r="D140" s="2" t="str">
        <x:v>安徽</x:v>
      </x:c>
      <x:c r="E140" s="2" t="str">
        <x:v>pending</x:v>
      </x:c>
      <x:c r="F140" s="7" t="str">
        <x:v>消防确认高新区厂房火灾，但原因未公布；讨薪员工纵火说法只在社媒汇编出现，无可核实行为人及调查结论。</x:v>
      </x:c>
      <x:c r="G140" s="9" t="n">
        <x:v>0</x:v>
      </x:c>
      <x:c r="H140" s="9" t="n">
        <x:v>0</x:v>
      </x:c>
      <x:c r="I140" s="7" t="str">
        <x:v>截至早间消防初报暂未发现人员伤亡，不能解释为最终结案统计。</x:v>
      </x:c>
      <x:c r="J140" s="2" t="str">
        <x:v>官方转载</x:v>
      </x:c>
      <x:c r="K140" s="7" t="str">
        <x:v>LXS26C27；LXS26C29</x:v>
      </x:c>
      <x:c r="L140" s="7"/>
    </x:row>
    <x:row r="141" ht="38" customHeight="1">
      <x:c r="A141" s="2" t="str">
        <x:v>LX26C12</x:v>
      </x:c>
      <x:c r="B141" s="2" t="str">
        <x:v>2026-09-13</x:v>
      </x:c>
      <x:c r="C141" s="7" t="str">
        <x:v>网传保定定兴火锅店外卖员持刀冲突</x:v>
      </x:c>
      <x:c r="D141" s="2" t="str">
        <x:v>河北</x:v>
      </x:c>
      <x:c r="E141" s="2" t="str">
        <x:v>pending</x:v>
      </x:c>
      <x:c r="F141" s="7" t="str">
        <x:v>镜像只描述持刀与店家冲突，未确认实施伤害，也未显示攻击无关旁人；发生细节、伤亡及对象关系待核。</x:v>
      </x:c>
      <x:c r="G141" s="9"/>
      <x:c r="H141" s="9"/>
      <x:c r="I141" s="7"/>
      <x:c r="J141" s="2" t="str">
        <x:v>网传待核</x:v>
      </x:c>
      <x:c r="K141" s="7" t="str">
        <x:v>LXS26C23</x:v>
      </x:c>
      <x:c r="L141" s="7" t="str">
        <x:v>帖文采用相对发布时间，未据此臆定发帖日期；案发9月13日仅来自帖文文字。</x:v>
      </x:c>
    </x:row>
    <x:row r="142" ht="38" customHeight="1">
      <x:c r="A142" s="2" t="str">
        <x:v>C024</x:v>
      </x:c>
      <x:c r="B142" s="2" t="str">
        <x:v>2026-09-14</x:v>
      </x:c>
      <x:c r="C142" s="7" t="str">
        <x:v>广州小谷围街火锅店门口持刀伤人案</x:v>
      </x:c>
      <x:c r="D142" s="2" t="str">
        <x:v>广东</x:v>
      </x:c>
      <x:c r="E142" s="2" t="str">
        <x:v>pending</x:v>
      </x:c>
      <x:c r="F142" s="7" t="str">
        <x:v>警方原文确认持刀伤人。多帖及网传图像指向在商业区袭击行人，但本轮未取得可验证连续攻击过程、被害人与行凶者关系的独立采访或现场原始证据；目前不足区分陌生公众袭击与定向纠纷。不是仅因通报未使用“随机”字样而待核。</x:v>
      </x:c>
      <x:c r="G142" s="9" t="n">
        <x:v>0</x:v>
      </x:c>
      <x:c r="H142" s="9"/>
      <x:c r="I142" s="7" t="str">
        <x:v>警方称所有伤者均无生命危险，未公开人数；不采用网传伤者人数、多人团伙或死亡说法。</x:v>
      </x:c>
      <x:c r="J142" s="2" t="str">
        <x:v>官方原文</x:v>
      </x:c>
      <x:c r="K142" s="7" t="str">
        <x:v>CS034；LXS26C01；LXS26C02；LXS26C03</x:v>
      </x:c>
      <x:c r="L142" s="7" t="str">
        <x:v>李老师镜像可读多条受伤现场和抓获地点投稿，但同一投稿链不累计为独立来源。财新仅开放导语，未把付费全文视作已核验。所谓逃至广东工业大学西区食堂被抓仍为投稿层次。动机、多人作案及纸条传闻未证实。</x:v>
      </x:c>
    </x:row>
  </x:sheetData>
  <x:pageMargins left="0.7" right="0.7" top="0.75" bottom="0.75" header="0.3" footer="0.3"/>
  <x:tableParts count="1">
    <x:tablePart xmlns:r="http://schemas.openxmlformats.org/officeDocument/2006/relationships" r:id="Red3b2e57e3624113"/>
  </x:tableParts>
</x:worksheet>
</file>

<file path=xl/worksheets/sheet11.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55" hidden="0" customWidth="1"/>
    <x:col min="2" max="2" width="30" hidden="0" customWidth="1"/>
    <x:col min="3" max="3" width="30" hidden="0" customWidth="1"/>
    <x:col min="4" max="4" width="19" hidden="0" customWidth="1"/>
    <x:col min="5" max="5" width="19" hidden="0" customWidth="1"/>
    <x:col min="6" max="6" width="55" hidden="0" customWidth="1"/>
  </x:cols>
  <x:sheetData>
    <x:row r="1" ht="42" customHeight="1">
      <x:c r="A1" s="6" t="str">
        <x:v>实际查询或访问项</x:v>
      </x:c>
      <x:c r="B1" s="6" t="str">
        <x:v>年份范围</x:v>
      </x:c>
      <x:c r="C1" s="6" t="str">
        <x:v>地区范围</x:v>
      </x:c>
      <x:c r="D1" s="6" t="str">
        <x:v>状态</x:v>
      </x:c>
      <x:c r="E1" s="6" t="str">
        <x:v>候选数（未统计为空）</x:v>
      </x:c>
      <x:c r="F1" s="6" t="str">
        <x:v>检出/失败与限制</x:v>
      </x:c>
    </x:row>
    <x:row r="2" ht="38" customHeight="1">
      <x:c r="A2" s="7" t="str">
        <x:v>2018 中国 砍人 随机 伤人 事件；2019 中国 随机伤人 驾车 冲撞 事件；2020 中国 随机伤人 砍人 事件</x:v>
      </x:c>
      <x:c r="B2" s="7" t="str">
        <x:v>2018；2019；2020</x:v>
      </x:c>
      <x:c r="C2" s="7" t="str">
        <x:v>全国</x:v>
      </x:c>
      <x:c r="D2" s="2" t="str">
        <x:v>已检索</x:v>
      </x:c>
      <x:c r="E2" s="9"/>
      <x:c r="F2" s="7" t="str">
        <x:v>广义发现检索，维基/CDT仅作线索。CDT存在米脂日期、苍梧省份等明显错误，不作为事件事实依据。</x:v>
      </x:c>
    </x:row>
    <x:row r="3" ht="38" customHeight="1">
      <x:c r="A3" s="7" t="str">
        <x:v>https://www.pincong.rocks/article/215</x:v>
      </x:c>
      <x:c r="B3" s="7" t="str">
        <x:v>2018</x:v>
      </x:c>
      <x:c r="C3" s="7" t="str">
        <x:v>全国</x:v>
      </x:c>
      <x:c r="D3" s="2" t="str">
        <x:v>访问失败</x:v>
      </x:c>
      <x:c r="E3" s="9"/>
      <x:c r="F3" s="7" t="str">
        <x:v>搜索命中个人汇编，正文打开失败，不采用事实。</x:v>
      </x:c>
    </x:row>
    <x:row r="4" ht="38" customHeight="1">
      <x:c r="A4" s="7" t="str">
        <x:v>赵泽伟 2018 9月27日 9人 11人 死刑</x:v>
      </x:c>
      <x:c r="B4" s="7" t="str">
        <x:v>2018</x:v>
      </x:c>
      <x:c r="C4" s="7" t="str">
        <x:v>陕西；上海；湖南；福建</x:v>
      </x:c>
      <x:c r="D4" s="2" t="str">
        <x:v>已检索</x:v>
      </x:c>
      <x:c r="E4" s="9"/>
      <x:c r="F4" s="7" t="str">
        <x:v>重大候选案法院及最终伤亡核验</x:v>
      </x:c>
    </x:row>
    <x:row r="5" ht="38" customHeight="1">
      <x:c r="A5" s="7" t="str">
        <x:v>黄一川 2020 12月3日 执行死刑 2人 2人</x:v>
      </x:c>
      <x:c r="B5" s="7" t="str">
        <x:v>2018</x:v>
      </x:c>
      <x:c r="C5" s="7" t="str">
        <x:v>陕西；上海；湖南；福建</x:v>
      </x:c>
      <x:c r="D5" s="2" t="str">
        <x:v>已检索</x:v>
      </x:c>
      <x:c r="E5" s="9"/>
      <x:c r="F5" s="7" t="str">
        <x:v>重大候选案法院及最终伤亡核验</x:v>
      </x:c>
    </x:row>
    <x:row r="6" ht="38" customHeight="1">
      <x:c r="A6" s="7" t="str">
        <x:v>阳赞云 2019 1月29日 15人 43人</x:v>
      </x:c>
      <x:c r="B6" s="7" t="str">
        <x:v>2018</x:v>
      </x:c>
      <x:c r="C6" s="7" t="str">
        <x:v>陕西；上海；湖南；福建</x:v>
      </x:c>
      <x:c r="D6" s="2" t="str">
        <x:v>已检索</x:v>
      </x:c>
      <x:c r="E6" s="9"/>
      <x:c r="F6" s="7" t="str">
        <x:v>重大候选案法院及最终伤亡核验</x:v>
      </x:c>
    </x:row>
    <x:row r="7" ht="38" customHeight="1">
      <x:c r="A7" s="7" t="str">
        <x:v>龙岩 卢某 2018 12月25日 死刑 8人 22人</x:v>
      </x:c>
      <x:c r="B7" s="7" t="str">
        <x:v>2018</x:v>
      </x:c>
      <x:c r="C7" s="7" t="str">
        <x:v>陕西；上海；湖南；福建</x:v>
      </x:c>
      <x:c r="D7" s="2" t="str">
        <x:v>已检索</x:v>
      </x:c>
      <x:c r="E7" s="9"/>
      <x:c r="F7" s="7" t="str">
        <x:v>重大候选案法院及最终伤亡核验</x:v>
      </x:c>
    </x:row>
    <x:row r="8" ht="38" customHeight="1">
      <x:c r="A8" s="7" t="str">
        <x:v>阳赞云 执行死刑 15人 43人</x:v>
      </x:c>
      <x:c r="B8" s="7" t="str">
        <x:v>2018</x:v>
      </x:c>
      <x:c r="C8" s="7" t="str">
        <x:v>湖南；福建；辽宁；北京</x:v>
      </x:c>
      <x:c r="D8" s="2" t="str">
        <x:v>已检索</x:v>
      </x:c>
      <x:c r="E8" s="9"/>
      <x:c r="F8" s="7" t="str">
        <x:v>法院后续及最终伤亡</x:v>
      </x:c>
    </x:row>
    <x:row r="9" ht="38" customHeight="1">
      <x:c r="A9" s="7" t="str">
        <x:v>邱日辉 执行死刑 2019</x:v>
      </x:c>
      <x:c r="B9" s="7" t="str">
        <x:v>2018</x:v>
      </x:c>
      <x:c r="C9" s="7" t="str">
        <x:v>湖南；福建；辽宁；北京</x:v>
      </x:c>
      <x:c r="D9" s="2" t="str">
        <x:v>已检索</x:v>
      </x:c>
      <x:c r="E9" s="9"/>
      <x:c r="F9" s="7" t="str">
        <x:v>法院后续及最终伤亡</x:v>
      </x:c>
    </x:row>
    <x:row r="10" ht="38" customHeight="1">
      <x:c r="A10" s="7" t="str">
        <x:v>葫芦岛 韩继华 2018 执行死刑</x:v>
      </x:c>
      <x:c r="B10" s="7" t="str">
        <x:v>2018</x:v>
      </x:c>
      <x:c r="C10" s="7" t="str">
        <x:v>湖南；福建；辽宁；北京</x:v>
      </x:c>
      <x:c r="D10" s="2" t="str">
        <x:v>已检索</x:v>
      </x:c>
      <x:c r="E10" s="9"/>
      <x:c r="F10" s="7" t="str">
        <x:v>法院后续及最终伤亡</x:v>
      </x:c>
    </x:row>
    <x:row r="11" ht="38" customHeight="1">
      <x:c r="A11" s="7" t="str">
        <x:v>北京 西单 大悦城 朱纪业 判决</x:v>
      </x:c>
      <x:c r="B11" s="7" t="str">
        <x:v>2018</x:v>
      </x:c>
      <x:c r="C11" s="7" t="str">
        <x:v>湖南；福建；辽宁；北京</x:v>
      </x:c>
      <x:c r="D11" s="2" t="str">
        <x:v>已检索</x:v>
      </x:c>
      <x:c r="E11" s="9"/>
      <x:c r="F11" s="7" t="str">
        <x:v>法院后续及最终伤亡</x:v>
      </x:c>
    </x:row>
    <x:row r="12" ht="38" customHeight="1">
      <x:c r="A12" s="7" t="str">
        <x:v>米脂 赵泽伟 9人 4人重伤 7人轻伤 1人轻微伤 法院 2018</x:v>
      </x:c>
      <x:c r="B12" s="7" t="str">
        <x:v>2018</x:v>
      </x:c>
      <x:c r="C12" s="7" t="str">
        <x:v>陕西；上海；福建；北京</x:v>
      </x:c>
      <x:c r="D12" s="2" t="str">
        <x:v>已检索</x:v>
      </x:c>
      <x:c r="E12" s="9"/>
      <x:c r="F12" s="7" t="str">
        <x:v>补齐法院全文与结案状态</x:v>
      </x:c>
    </x:row>
    <x:row r="13" ht="38" customHeight="1">
      <x:c r="A13" s="7" t="str">
        <x:v>黄一川 执行死刑 2020 12 3 新华网</x:v>
      </x:c>
      <x:c r="B13" s="7" t="str">
        <x:v>2018</x:v>
      </x:c>
      <x:c r="C13" s="7" t="str">
        <x:v>陕西；上海；福建；北京</x:v>
      </x:c>
      <x:c r="D13" s="2" t="str">
        <x:v>已检索</x:v>
      </x:c>
      <x:c r="E13" s="9"/>
      <x:c r="F13" s="7" t="str">
        <x:v>补齐法院全文与结案状态</x:v>
      </x:c>
    </x:row>
    <x:row r="14" ht="38" customHeight="1">
      <x:c r="A14" s="7" t="str">
        <x:v>邱日辉 2019 8月1日 26人</x:v>
      </x:c>
      <x:c r="B14" s="7" t="str">
        <x:v>2018</x:v>
      </x:c>
      <x:c r="C14" s="7" t="str">
        <x:v>陕西；上海；福建；北京</x:v>
      </x:c>
      <x:c r="D14" s="2" t="str">
        <x:v>已检索</x:v>
      </x:c>
      <x:c r="E14" s="9"/>
      <x:c r="F14" s="7" t="str">
        <x:v>补齐法院全文与结案状态</x:v>
      </x:c>
    </x:row>
    <x:row r="15" ht="38" customHeight="1">
      <x:c r="A15" s="7" t="str">
        <x:v>朱纪业 执行死刑 2020 2021</x:v>
      </x:c>
      <x:c r="B15" s="7" t="str">
        <x:v>2018</x:v>
      </x:c>
      <x:c r="C15" s="7" t="str">
        <x:v>陕西；上海；福建；北京</x:v>
      </x:c>
      <x:c r="D15" s="2" t="str">
        <x:v>已检索</x:v>
      </x:c>
      <x:c r="E15" s="9"/>
      <x:c r="F15" s="7" t="str">
        <x:v>补齐法院全文与结案状态</x:v>
      </x:c>
    </x:row>
    <x:row r="16" ht="38" customHeight="1">
      <x:c r="A16" s="7" t="str">
        <x:v>2018 西安 公交 持刀 6月22日 10人 判决</x:v>
      </x:c>
      <x:c r="B16" s="7" t="str">
        <x:v>2018</x:v>
      </x:c>
      <x:c r="C16" s="7" t="str">
        <x:v>陕西；重庆；广东；河北</x:v>
      </x:c>
      <x:c r="D16" s="2" t="str">
        <x:v>已检索</x:v>
      </x:c>
      <x:c r="E16" s="9"/>
      <x:c r="F16" s="7" t="str">
        <x:v>公交、校园、纵火、驾车候选核验</x:v>
      </x:c>
    </x:row>
    <x:row r="17" ht="38" customHeight="1">
      <x:c r="A17" s="7" t="str">
        <x:v>2018 重庆 幼儿园 刘小玲 14人 判决</x:v>
      </x:c>
      <x:c r="B17" s="7" t="str">
        <x:v>2018</x:v>
      </x:c>
      <x:c r="C17" s="7" t="str">
        <x:v>陕西；重庆；广东；河北</x:v>
      </x:c>
      <x:c r="D17" s="2" t="str">
        <x:v>已检索</x:v>
      </x:c>
      <x:c r="E17" s="9"/>
      <x:c r="F17" s="7" t="str">
        <x:v>公交、校园、纵火、驾车候选核验</x:v>
      </x:c>
    </x:row>
    <x:row r="18" ht="38" customHeight="1">
      <x:c r="A18" s="7" t="str">
        <x:v>2018 英德 刘纯露 执行死刑 动机</x:v>
      </x:c>
      <x:c r="B18" s="7" t="str">
        <x:v>2018</x:v>
      </x:c>
      <x:c r="C18" s="7" t="str">
        <x:v>陕西；重庆；广东；河北</x:v>
      </x:c>
      <x:c r="D18" s="2" t="str">
        <x:v>已检索</x:v>
      </x:c>
      <x:c r="E18" s="9"/>
      <x:c r="F18" s="7" t="str">
        <x:v>公交、校园、纵火、驾车候选核验</x:v>
      </x:c>
    </x:row>
    <x:row r="19" ht="38" customHeight="1">
      <x:c r="A19" s="7" t="str">
        <x:v>2018 唐山 六月六日 王志伟 7人 判决</x:v>
      </x:c>
      <x:c r="B19" s="7" t="str">
        <x:v>2018</x:v>
      </x:c>
      <x:c r="C19" s="7" t="str">
        <x:v>陕西；重庆；广东；河北</x:v>
      </x:c>
      <x:c r="D19" s="2" t="str">
        <x:v>已检索</x:v>
      </x:c>
      <x:c r="E19" s="9"/>
      <x:c r="F19" s="7" t="str">
        <x:v>公交、校园、纵火、驾车候选核验</x:v>
      </x:c>
    </x:row>
    <x:row r="20" ht="38" customHeight="1">
      <x:c r="A20" s="7" t="str">
        <x:v>2018 唐山 6月6日 开车 冲撞 7死 李</x:v>
      </x:c>
      <x:c r="B20" s="7" t="str">
        <x:v>2018</x:v>
      </x:c>
      <x:c r="C20" s="7" t="str">
        <x:v>河北；重庆；浙江；四川</x:v>
      </x:c>
      <x:c r="D20" s="2" t="str">
        <x:v>已检索</x:v>
      </x:c>
      <x:c r="E20" s="9"/>
      <x:c r="F20" s="7" t="str">
        <x:v>线索逐案交叉核验</x:v>
      </x:c>
    </x:row>
    <x:row r="21" ht="38" customHeight="1">
      <x:c r="A21" s="7" t="str">
        <x:v>2018 重庆 巴南 幼儿园 持刀 14名 学生 刘 39</x:v>
      </x:c>
      <x:c r="B21" s="7" t="str">
        <x:v>2018</x:v>
      </x:c>
      <x:c r="C21" s="7" t="str">
        <x:v>河北；重庆；浙江；四川</x:v>
      </x:c>
      <x:c r="D21" s="2" t="str">
        <x:v>已检索</x:v>
      </x:c>
      <x:c r="E21" s="9"/>
      <x:c r="F21" s="7" t="str">
        <x:v>线索逐案交叉核验</x:v>
      </x:c>
    </x:row>
    <x:row r="22" ht="38" customHeight="1">
      <x:c r="A22" s="7" t="str">
        <x:v>2018 杭州 11月 随机 砍人 39</x:v>
      </x:c>
      <x:c r="B22" s="7" t="str">
        <x:v>2018</x:v>
      </x:c>
      <x:c r="C22" s="7" t="str">
        <x:v>河北；重庆；浙江；四川</x:v>
      </x:c>
      <x:c r="D22" s="2" t="str">
        <x:v>已检索</x:v>
      </x:c>
      <x:c r="E22" s="9"/>
      <x:c r="F22" s="7" t="str">
        <x:v>线索逐案交叉核验</x:v>
      </x:c>
    </x:row>
    <x:row r="23" ht="38" customHeight="1">
      <x:c r="A23" s="7" t="str">
        <x:v>2018 成都 盐市口 越野车 冲撞 周 62岁</x:v>
      </x:c>
      <x:c r="B23" s="7" t="str">
        <x:v>2018</x:v>
      </x:c>
      <x:c r="C23" s="7" t="str">
        <x:v>河北；重庆；浙江；四川</x:v>
      </x:c>
      <x:c r="D23" s="2" t="str">
        <x:v>已检索</x:v>
      </x:c>
      <x:c r="E23" s="9"/>
      <x:c r="F23" s="7" t="str">
        <x:v>线索逐案交叉核验</x:v>
      </x:c>
    </x:row>
    <x:row r="24" ht="38" customHeight="1">
      <x:c r="A24" s="7" t="str">
        <x:v>2018 唐山 驾车 冲撞 7人 死亡</x:v>
      </x:c>
      <x:c r="B24" s="7" t="str">
        <x:v>2018；2019；2020</x:v>
      </x:c>
      <x:c r="C24" s="7" t="str">
        <x:v>全国</x:v>
      </x:c>
      <x:c r="D24" s="2" t="str">
        <x:v>已检索</x:v>
      </x:c>
      <x:c r="E24" s="9"/>
      <x:c r="F24" s="7" t="str">
        <x:v>补漏检索含中小规模事件及非持械方式</x:v>
      </x:c>
    </x:row>
    <x:row r="25" ht="38" customHeight="1">
      <x:c r="A25" s="7" t="str">
        <x:v>2018 杭州 女子 随机 砍伤 路人</x:v>
      </x:c>
      <x:c r="B25" s="7" t="str">
        <x:v>2018；2019；2020</x:v>
      </x:c>
      <x:c r="C25" s="7" t="str">
        <x:v>全国</x:v>
      </x:c>
      <x:c r="D25" s="2" t="str">
        <x:v>已检索</x:v>
      </x:c>
      <x:c r="E25" s="9"/>
      <x:c r="F25" s="7" t="str">
        <x:v>补漏检索含中小规模事件及非持械方式</x:v>
      </x:c>
    </x:row>
    <x:row r="26" ht="38" customHeight="1">
      <x:c r="A26" s="7" t="str">
        <x:v>2018 随机 伤人 郑州 深圳 武汉 合肥</x:v>
      </x:c>
      <x:c r="B26" s="7" t="str">
        <x:v>2018；2019；2020</x:v>
      </x:c>
      <x:c r="C26" s="7" t="str">
        <x:v>全国</x:v>
      </x:c>
      <x:c r="D26" s="2" t="str">
        <x:v>已检索</x:v>
      </x:c>
      <x:c r="E26" s="9"/>
      <x:c r="F26" s="7" t="str">
        <x:v>补漏检索含中小规模事件及非持械方式</x:v>
      </x:c>
    </x:row>
    <x:row r="27" ht="38" customHeight="1">
      <x:c r="A27" s="7" t="str">
        <x:v>2019 2020 随机 伤人 纵火 爆炸</x:v>
      </x:c>
      <x:c r="B27" s="7" t="str">
        <x:v>2018；2019；2020</x:v>
      </x:c>
      <x:c r="C27" s="7" t="str">
        <x:v>全国</x:v>
      </x:c>
      <x:c r="D27" s="2" t="str">
        <x:v>已检索</x:v>
      </x:c>
      <x:c r="E27" s="9"/>
      <x:c r="F27" s="7" t="str">
        <x:v>补漏检索含中小规模事件及非持械方式</x:v>
      </x:c>
    </x:row>
    <x:row r="28" ht="38" customHeight="1">
      <x:c r="A28" s="7" t="str">
        <x:v>2019 北京 宣师一附小 维修人员 手锤 通报</x:v>
      </x:c>
      <x:c r="B28" s="7" t="str">
        <x:v>2019；2020</x:v>
      </x:c>
      <x:c r="C28" s="7" t="str">
        <x:v>北京；河北；云南；贵州</x:v>
      </x:c>
      <x:c r="D28" s="2" t="str">
        <x:v>已检索</x:v>
      </x:c>
      <x:c r="E28" s="9"/>
      <x:c r="F28" s="7" t="str">
        <x:v>校园与公交候选；法院后续</x:v>
      </x:c>
    </x:row>
    <x:row r="29" ht="38" customHeight="1">
      <x:c r="A29" s="7" t="str">
        <x:v>2019 唐山 崔振江 17人 判决</x:v>
      </x:c>
      <x:c r="B29" s="7" t="str">
        <x:v>2019；2020</x:v>
      </x:c>
      <x:c r="C29" s="7" t="str">
        <x:v>北京；河北；云南；贵州</x:v>
      </x:c>
      <x:c r="D29" s="2" t="str">
        <x:v>已检索</x:v>
      </x:c>
      <x:c r="E29" s="9"/>
      <x:c r="F29" s="7" t="str">
        <x:v>校园与公交候选；法院后续</x:v>
      </x:c>
    </x:row>
    <x:row r="30" ht="38" customHeight="1">
      <x:c r="A30" s="7" t="str">
        <x:v>2019 开远 孔 氢氧化钠 54 判决</x:v>
      </x:c>
      <x:c r="B30" s="7" t="str">
        <x:v>2019；2020</x:v>
      </x:c>
      <x:c r="C30" s="7" t="str">
        <x:v>北京；河北；云南；贵州</x:v>
      </x:c>
      <x:c r="D30" s="2" t="str">
        <x:v>已检索</x:v>
      </x:c>
      <x:c r="E30" s="9"/>
      <x:c r="F30" s="7" t="str">
        <x:v>校园与公交候选；法院后续</x:v>
      </x:c>
    </x:row>
    <x:row r="31" ht="38" customHeight="1">
      <x:c r="A31" s="7" t="str">
        <x:v>2020 安顺 公交 坠湖 21 15 张包钢</x:v>
      </x:c>
      <x:c r="B31" s="7" t="str">
        <x:v>2019；2020</x:v>
      </x:c>
      <x:c r="C31" s="7" t="str">
        <x:v>北京；河北；云南；贵州</x:v>
      </x:c>
      <x:c r="D31" s="2" t="str">
        <x:v>已检索</x:v>
      </x:c>
      <x:c r="E31" s="9"/>
      <x:c r="F31" s="7" t="str">
        <x:v>校园与公交候选；法院后续</x:v>
      </x:c>
    </x:row>
    <x:row r="32" ht="38" customHeight="1">
      <x:c r="A32" s="7" t="str">
        <x:v>崔振江 2019 光华道 17 学生</x:v>
      </x:c>
      <x:c r="B32" s="7" t="str">
        <x:v>2019；2020</x:v>
      </x:c>
      <x:c r="C32" s="7" t="str">
        <x:v>河北；江西；辽宁；广西</x:v>
      </x:c>
      <x:c r="D32" s="2" t="str">
        <x:v>已检索</x:v>
      </x:c>
      <x:c r="E32" s="9"/>
      <x:c r="F32" s="7" t="str">
        <x:v>事件事实及司法后续</x:v>
      </x:c>
    </x:row>
    <x:row r="33" ht="38" customHeight="1">
      <x:c r="A33" s="7" t="str">
        <x:v>2019 南昌 红谷滩 万小宝 执行死刑</x:v>
      </x:c>
      <x:c r="B33" s="7" t="str">
        <x:v>2019；2020</x:v>
      </x:c>
      <x:c r="C33" s="7" t="str">
        <x:v>河北；江西；辽宁；广西</x:v>
      </x:c>
      <x:c r="D33" s="2" t="str">
        <x:v>已检索</x:v>
      </x:c>
      <x:c r="E33" s="9"/>
      <x:c r="F33" s="7" t="str">
        <x:v>事件事实及司法后续</x:v>
      </x:c>
    </x:row>
    <x:row r="34" ht="38" customHeight="1">
      <x:c r="A34" s="7" t="str">
        <x:v>2020 开原 杨某峰 7人 判决</x:v>
      </x:c>
      <x:c r="B34" s="7" t="str">
        <x:v>2019；2020</x:v>
      </x:c>
      <x:c r="C34" s="7" t="str">
        <x:v>河北；江西；辽宁；广西</x:v>
      </x:c>
      <x:c r="D34" s="2" t="str">
        <x:v>已检索</x:v>
      </x:c>
      <x:c r="E34" s="9"/>
      <x:c r="F34" s="7" t="str">
        <x:v>事件事实及司法后续</x:v>
      </x:c>
    </x:row>
    <x:row r="35" ht="38" customHeight="1">
      <x:c r="A35" s="7" t="str">
        <x:v>2020 广西 苍梧 李小文 41人 死刑</x:v>
      </x:c>
      <x:c r="B35" s="7" t="str">
        <x:v>2019；2020</x:v>
      </x:c>
      <x:c r="C35" s="7" t="str">
        <x:v>河北；江西；辽宁；广西</x:v>
      </x:c>
      <x:c r="D35" s="2" t="str">
        <x:v>已检索</x:v>
      </x:c>
      <x:c r="E35" s="9"/>
      <x:c r="F35" s="7" t="str">
        <x:v>事件事实及司法后续</x:v>
      </x:c>
    </x:row>
    <x:row r="36" ht="38" customHeight="1">
      <x:c r="A36" s="7" t="str">
        <x:v>2019 福州 红江路 侯某锋 1死19伤 通报</x:v>
      </x:c>
      <x:c r="B36" s="7" t="str">
        <x:v>2019</x:v>
      </x:c>
      <x:c r="C36" s="7" t="str">
        <x:v>福建；广东；广西；湖南</x:v>
      </x:c>
      <x:c r="D36" s="2" t="str">
        <x:v>已检索</x:v>
      </x:c>
      <x:c r="E36" s="9"/>
      <x:c r="F36" s="7" t="str">
        <x:v>补漏候选事实、随机性、后续</x:v>
      </x:c>
    </x:row>
    <x:row r="37" ht="38" customHeight="1">
      <x:c r="A37" s="7" t="str">
        <x:v>2019 东莞 虎门 怀德 持刀 1死8伤</x:v>
      </x:c>
      <x:c r="B37" s="7" t="str">
        <x:v>2019</x:v>
      </x:c>
      <x:c r="C37" s="7" t="str">
        <x:v>福建；广东；广西；湖南</x:v>
      </x:c>
      <x:c r="D37" s="2" t="str">
        <x:v>已检索</x:v>
      </x:c>
      <x:c r="E37" s="9"/>
      <x:c r="F37" s="7" t="str">
        <x:v>补漏候选事实、随机性、后续</x:v>
      </x:c>
    </x:row>
    <x:row r="38" ht="38" customHeight="1">
      <x:c r="A38" s="7" t="str">
        <x:v>2019 南宁 安吉大道 1月11日 持刀 5人</x:v>
      </x:c>
      <x:c r="B38" s="7" t="str">
        <x:v>2019</x:v>
      </x:c>
      <x:c r="C38" s="7" t="str">
        <x:v>福建；广东；广西；湖南</x:v>
      </x:c>
      <x:c r="D38" s="2" t="str">
        <x:v>已检索</x:v>
      </x:c>
      <x:c r="E38" s="9"/>
      <x:c r="F38" s="7" t="str">
        <x:v>补漏候选事实、随机性、后续</x:v>
      </x:c>
    </x:row>
    <x:row r="39" ht="38" customHeight="1">
      <x:c r="A39" s="7" t="str">
        <x:v>2019 湖南 宁远 郑艳军 2死2伤</x:v>
      </x:c>
      <x:c r="B39" s="7" t="str">
        <x:v>2019</x:v>
      </x:c>
      <x:c r="C39" s="7" t="str">
        <x:v>福建；广东；广西；湖南</x:v>
      </x:c>
      <x:c r="D39" s="2" t="str">
        <x:v>已检索</x:v>
      </x:c>
      <x:c r="E39" s="9"/>
      <x:c r="F39" s="7" t="str">
        <x:v>补漏候选事实、随机性、后续</x:v>
      </x:c>
    </x:row>
    <x:row r="40" ht="38" customHeight="1">
      <x:c r="A40" s="7" t="str">
        <x:v>"2019" "南宁" "安吉大道" "持刀"</x:v>
      </x:c>
      <x:c r="B40" s="7" t="str">
        <x:v>2018；2019</x:v>
      </x:c>
      <x:c r="C40" s="7" t="str">
        <x:v>广西；浙江；江苏</x:v>
      </x:c>
      <x:c r="D40" s="2" t="str">
        <x:v>已检索</x:v>
      </x:c>
      <x:c r="E40" s="9"/>
      <x:c r="F40" s="7" t="str">
        <x:v>中小规模案件定向补漏</x:v>
      </x:c>
    </x:row>
    <x:row r="41" ht="38" customHeight="1">
      <x:c r="A41" s="7" t="str">
        <x:v>"2018" "杭州" "11月12日" "持刀"</x:v>
      </x:c>
      <x:c r="B41" s="7" t="str">
        <x:v>2018；2019</x:v>
      </x:c>
      <x:c r="C41" s="7" t="str">
        <x:v>广西；浙江；江苏</x:v>
      </x:c>
      <x:c r="D41" s="2" t="str">
        <x:v>已检索</x:v>
      </x:c>
      <x:c r="E41" s="9"/>
      <x:c r="F41" s="7" t="str">
        <x:v>中小规模案件定向补漏</x:v>
      </x:c>
    </x:row>
    <x:row r="42" ht="38" customHeight="1">
      <x:c r="A42" s="7" t="str">
        <x:v>"2018" "镇江" "8月21日" "伤人"</x:v>
      </x:c>
      <x:c r="B42" s="7" t="str">
        <x:v>2018；2019</x:v>
      </x:c>
      <x:c r="C42" s="7" t="str">
        <x:v>广西；浙江；江苏</x:v>
      </x:c>
      <x:c r="D42" s="2" t="str">
        <x:v>已检索</x:v>
      </x:c>
      <x:c r="E42" s="9"/>
      <x:c r="F42" s="7" t="str">
        <x:v>中小规模案件定向补漏</x:v>
      </x:c>
    </x:row>
    <x:row r="43" ht="38" customHeight="1">
      <x:c r="A43" s="7" t="str">
        <x:v>南宁 安吉大道 砍伤 5人 2019 1月</x:v>
      </x:c>
      <x:c r="B43" s="7" t="str">
        <x:v>2019</x:v>
      </x:c>
      <x:c r="C43" s="7" t="str">
        <x:v>广西；重庆；北京；上海</x:v>
      </x:c>
      <x:c r="D43" s="2" t="str">
        <x:v>已检索</x:v>
      </x:c>
      <x:c r="E43" s="9"/>
      <x:c r="F43" s="7" t="str">
        <x:v>广义随机袭击线索核验</x:v>
      </x:c>
    </x:row>
    <x:row r="44" ht="38" customHeight="1">
      <x:c r="A44" s="7" t="str">
        <x:v>2019 重庆 南岸 7月31日 随机 杀人</x:v>
      </x:c>
      <x:c r="B44" s="7" t="str">
        <x:v>2019</x:v>
      </x:c>
      <x:c r="C44" s="7" t="str">
        <x:v>广西；重庆；北京；上海</x:v>
      </x:c>
      <x:c r="D44" s="2" t="str">
        <x:v>已检索</x:v>
      </x:c>
      <x:c r="E44" s="9"/>
      <x:c r="F44" s="7" t="str">
        <x:v>广义随机袭击线索核验</x:v>
      </x:c>
    </x:row>
    <x:row r="45" ht="38" customHeight="1">
      <x:c r="A45" s="7" t="str">
        <x:v>2019 北京 马家堡 孙某 工程车 2死7伤</x:v>
      </x:c>
      <x:c r="B45" s="7" t="str">
        <x:v>2019</x:v>
      </x:c>
      <x:c r="C45" s="7" t="str">
        <x:v>广西；重庆；北京；上海</x:v>
      </x:c>
      <x:c r="D45" s="2" t="str">
        <x:v>已检索</x:v>
      </x:c>
      <x:c r="E45" s="9"/>
      <x:c r="F45" s="7" t="str">
        <x:v>广义随机袭击线索核验</x:v>
      </x:c>
    </x:row>
    <x:row r="46" ht="38" customHeight="1">
      <x:c r="A46" s="7" t="str">
        <x:v>2019 上海 新闸路 西康路 12月19日 持刀</x:v>
      </x:c>
      <x:c r="B46" s="7" t="str">
        <x:v>2019</x:v>
      </x:c>
      <x:c r="C46" s="7" t="str">
        <x:v>广西；重庆；北京；上海</x:v>
      </x:c>
      <x:c r="D46" s="2" t="str">
        <x:v>已检索</x:v>
      </x:c>
      <x:c r="E46" s="9"/>
      <x:c r="F46" s="7" t="str">
        <x:v>广义随机袭击线索核验</x:v>
      </x:c>
    </x:row>
    <x:row r="47" ht="38" customHeight="1">
      <x:c r="A47" s="7" t="str">
        <x:v>2019 番禺 地铁 8月28日 持刀 3人</x:v>
      </x:c>
      <x:c r="B47" s="7" t="str">
        <x:v>2019；2020</x:v>
      </x:c>
      <x:c r="C47" s="7" t="str">
        <x:v>广东；天津；上海</x:v>
      </x:c>
      <x:c r="D47" s="2" t="str">
        <x:v>已检索</x:v>
      </x:c>
      <x:c r="E47" s="9"/>
      <x:c r="F47" s="7" t="str">
        <x:v>街道与交通节点候选及后续核验</x:v>
      </x:c>
    </x:row>
    <x:row r="48" ht="38" customHeight="1">
      <x:c r="A48" s="7" t="str">
        <x:v>2020 广州 番禺 王某 9月21日 2死3伤</x:v>
      </x:c>
      <x:c r="B48" s="7" t="str">
        <x:v>2019；2020</x:v>
      </x:c>
      <x:c r="C48" s="7" t="str">
        <x:v>广东；天津；上海</x:v>
      </x:c>
      <x:c r="D48" s="2" t="str">
        <x:v>已检索</x:v>
      </x:c>
      <x:c r="E48" s="9"/>
      <x:c r="F48" s="7" t="str">
        <x:v>街道与交通节点候选及后续核验</x:v>
      </x:c>
    </x:row>
    <x:row r="49" ht="38" customHeight="1">
      <x:c r="A49" s="7" t="str">
        <x:v>2020 天津 8月12日 刘某某 路人 死刑</x:v>
      </x:c>
      <x:c r="B49" s="7" t="str">
        <x:v>2019；2020</x:v>
      </x:c>
      <x:c r="C49" s="7" t="str">
        <x:v>广东；天津；上海</x:v>
      </x:c>
      <x:c r="D49" s="2" t="str">
        <x:v>已检索</x:v>
      </x:c>
      <x:c r="E49" s="9"/>
      <x:c r="F49" s="7" t="str">
        <x:v>街道与交通节点候选及后续核验</x:v>
      </x:c>
    </x:row>
    <x:row r="50" ht="38" customHeight="1">
      <x:c r="A50" s="7" t="str">
        <x:v>2020 上海 建国西路 沈某 10人 6月17日</x:v>
      </x:c>
      <x:c r="B50" s="7" t="str">
        <x:v>2019；2020</x:v>
      </x:c>
      <x:c r="C50" s="7" t="str">
        <x:v>广东；天津；上海</x:v>
      </x:c>
      <x:c r="D50" s="2" t="str">
        <x:v>已检索</x:v>
      </x:c>
      <x:c r="E50" s="9"/>
      <x:c r="F50" s="7" t="str">
        <x:v>街道与交通节点候选及后续核验</x:v>
      </x:c>
    </x:row>
    <x:row r="51" ht="38" customHeight="1">
      <x:c r="A51" s="7" t="str">
        <x:v>2020 福建 仙游 枫亭 张某 3死7伤 6月4日</x:v>
      </x:c>
      <x:c r="B51" s="7" t="str">
        <x:v>2020</x:v>
      </x:c>
      <x:c r="C51" s="7" t="str">
        <x:v>福建；湖南；陕西；辽宁</x:v>
      </x:c>
      <x:c r="D51" s="2" t="str">
        <x:v>已检索</x:v>
      </x:c>
      <x:c r="E51" s="9"/>
      <x:c r="F51" s="7" t="str">
        <x:v>候选后续核验</x:v>
      </x:c>
    </x:row>
    <x:row r="52" ht="38" customHeight="1">
      <x:c r="A52" s="7" t="str">
        <x:v>2020 湖南 桑植 学生 9月7日 持刀</x:v>
      </x:c>
      <x:c r="B52" s="7" t="str">
        <x:v>2020</x:v>
      </x:c>
      <x:c r="C52" s="7" t="str">
        <x:v>福建；湖南；陕西；辽宁</x:v>
      </x:c>
      <x:c r="D52" s="2" t="str">
        <x:v>已检索</x:v>
      </x:c>
      <x:c r="E52" s="9"/>
      <x:c r="F52" s="7" t="str">
        <x:v>候选后续核验</x:v>
      </x:c>
    </x:row>
    <x:row r="53" ht="38" customHeight="1">
      <x:c r="A53" s="7" t="str">
        <x:v>2020 凤翔 张涛 判处 死刑 2死1伤</x:v>
      </x:c>
      <x:c r="B53" s="7" t="str">
        <x:v>2020</x:v>
      </x:c>
      <x:c r="C53" s="7" t="str">
        <x:v>福建；湖南；陕西；辽宁</x:v>
      </x:c>
      <x:c r="D53" s="2" t="str">
        <x:v>已检索</x:v>
      </x:c>
      <x:c r="E53" s="9"/>
      <x:c r="F53" s="7" t="str">
        <x:v>候选后续核验</x:v>
      </x:c>
    </x:row>
    <x:row r="54" ht="38" customHeight="1">
      <x:c r="A54" s="7" t="str">
        <x:v>2020 开原 杨峰 执行死刑 7死</x:v>
      </x:c>
      <x:c r="B54" s="7" t="str">
        <x:v>2020</x:v>
      </x:c>
      <x:c r="C54" s="7" t="str">
        <x:v>福建；湖南；陕西；辽宁</x:v>
      </x:c>
      <x:c r="D54" s="2" t="str">
        <x:v>已检索</x:v>
      </x:c>
      <x:c r="E54" s="9"/>
      <x:c r="F54" s="7" t="str">
        <x:v>候选后续核验</x:v>
      </x:c>
    </x:row>
    <x:row r="55" ht="38" customHeight="1">
      <x:c r="A55" s="7" t="str">
        <x:v>李小文 故意杀人 二审 2020 12月30日 41</x:v>
      </x:c>
      <x:c r="B55" s="7" t="str">
        <x:v>2018；2019；2020</x:v>
      </x:c>
      <x:c r="C55" s="7" t="str">
        <x:v>广西；辽宁；河北</x:v>
      </x:c>
      <x:c r="D55" s="2" t="str">
        <x:v>已检索</x:v>
      </x:c>
      <x:c r="E55" s="9"/>
      <x:c r="F55" s="7" t="str">
        <x:v>仍缺官方正文之候选</x:v>
      </x:c>
    </x:row>
    <x:row r="56" ht="38" customHeight="1">
      <x:c r="A56" s="7" t="str">
        <x:v>开原 2020 12月28日 杨某峰 随机 警方</x:v>
      </x:c>
      <x:c r="B56" s="7" t="str">
        <x:v>2018；2019；2020</x:v>
      </x:c>
      <x:c r="C56" s="7" t="str">
        <x:v>广西；辽宁；河北</x:v>
      </x:c>
      <x:c r="D56" s="2" t="str">
        <x:v>已检索</x:v>
      </x:c>
      <x:c r="E56" s="9"/>
      <x:c r="F56" s="7" t="str">
        <x:v>仍缺官方正文之候选</x:v>
      </x:c>
    </x:row>
    <x:row r="57" ht="38" customHeight="1">
      <x:c r="A57" s="7" t="str">
        <x:v>2019 唐山 光华道 小学 17人 中国新闻网</x:v>
      </x:c>
      <x:c r="B57" s="7" t="str">
        <x:v>2018；2019；2020</x:v>
      </x:c>
      <x:c r="C57" s="7" t="str">
        <x:v>广西；辽宁；河北</x:v>
      </x:c>
      <x:c r="D57" s="2" t="str">
        <x:v>已检索</x:v>
      </x:c>
      <x:c r="E57" s="9"/>
      <x:c r="F57" s="7" t="str">
        <x:v>仍缺官方正文之候选</x:v>
      </x:c>
    </x:row>
    <x:row r="58" ht="38" customHeight="1">
      <x:c r="A58" s="7" t="str">
        <x:v>2018 南宁 昆仑大道 4月16日 1死3伤</x:v>
      </x:c>
      <x:c r="B58" s="7" t="str">
        <x:v>2018；2019；2020</x:v>
      </x:c>
      <x:c r="C58" s="7" t="str">
        <x:v>广西；辽宁；河北</x:v>
      </x:c>
      <x:c r="D58" s="2" t="str">
        <x:v>已检索</x:v>
      </x:c>
      <x:c r="E58" s="9"/>
      <x:c r="F58" s="7" t="str">
        <x:v>仍缺官方正文之候选</x:v>
      </x:c>
    </x:row>
    <x:row r="59" ht="38" customHeight="1">
      <x:c r="A59" s="7" t="str">
        <x:v>"河北唐山发生一起伤害学生案件"</x:v>
      </x:c>
      <x:c r="B59" s="7" t="str">
        <x:v>2019；2020</x:v>
      </x:c>
      <x:c r="C59" s="7" t="str">
        <x:v>河北；辽宁；广西；福建</x:v>
      </x:c>
      <x:c r="D59" s="2" t="str">
        <x:v>已检索</x:v>
      </x:c>
      <x:c r="E59" s="9"/>
      <x:c r="F59" s="7" t="str">
        <x:v>最终口径/司法后续；同名结果不直接合并</x:v>
      </x:c>
    </x:row>
    <x:row r="60" ht="38" customHeight="1">
      <x:c r="A60" s="7" t="str">
        <x:v>"开原" "随机捅刺"</x:v>
      </x:c>
      <x:c r="B60" s="7" t="str">
        <x:v>2019；2020</x:v>
      </x:c>
      <x:c r="C60" s="7" t="str">
        <x:v>河北；辽宁；广西；福建</x:v>
      </x:c>
      <x:c r="D60" s="2" t="str">
        <x:v>已检索</x:v>
      </x:c>
      <x:c r="E60" s="9"/>
      <x:c r="F60" s="7" t="str">
        <x:v>最终口径/司法后续；同名结果不直接合并</x:v>
      </x:c>
    </x:row>
    <x:row r="61" ht="38" customHeight="1">
      <x:c r="A61" s="7" t="str">
        <x:v>"广西李小文" "执行死刑"</x:v>
      </x:c>
      <x:c r="B61" s="7" t="str">
        <x:v>2019；2020</x:v>
      </x:c>
      <x:c r="C61" s="7" t="str">
        <x:v>河北；辽宁；广西；福建</x:v>
      </x:c>
      <x:c r="D61" s="2" t="str">
        <x:v>已检索</x:v>
      </x:c>
      <x:c r="E61" s="9"/>
      <x:c r="F61" s="7" t="str">
        <x:v>最终口径/司法后续；同名结果不直接合并</x:v>
      </x:c>
    </x:row>
    <x:row r="62" ht="38" customHeight="1">
      <x:c r="A62" s="7" t="str">
        <x:v>"2019" "侯某锋" "死亡"</x:v>
      </x:c>
      <x:c r="B62" s="7" t="str">
        <x:v>2019；2020</x:v>
      </x:c>
      <x:c r="C62" s="7" t="str">
        <x:v>河北；辽宁；广西；福建</x:v>
      </x:c>
      <x:c r="D62" s="2" t="str">
        <x:v>已检索</x:v>
      </x:c>
      <x:c r="E62" s="9"/>
      <x:c r="F62" s="7" t="str">
        <x:v>最终口径/司法后续；同名结果不直接合并</x:v>
      </x:c>
    </x:row>
    <x:row r="63" ht="38" customHeight="1">
      <x:c r="A63" s="7" t="str">
        <x:v>"2018" "随机" "伤人" -site:reddit.com -site:laqingdan.org</x:v>
      </x:c>
      <x:c r="B63" s="7" t="str">
        <x:v>2018；2019；2020</x:v>
      </x:c>
      <x:c r="C63" s="7" t="str">
        <x:v>全国</x:v>
      </x:c>
      <x:c r="D63" s="2" t="str">
        <x:v>已检索</x:v>
      </x:c>
      <x:c r="E63" s="9"/>
      <x:c r="F63" s="7" t="str">
        <x:v>非预设名单再检索</x:v>
      </x:c>
    </x:row>
    <x:row r="64" ht="38" customHeight="1">
      <x:c r="A64" s="7" t="str">
        <x:v>"2019" "随机" "伤人" -site:reddit.com -site:laqingdan.org</x:v>
      </x:c>
      <x:c r="B64" s="7" t="str">
        <x:v>2018；2019；2020</x:v>
      </x:c>
      <x:c r="C64" s="7" t="str">
        <x:v>全国</x:v>
      </x:c>
      <x:c r="D64" s="2" t="str">
        <x:v>已检索</x:v>
      </x:c>
      <x:c r="E64" s="9"/>
      <x:c r="F64" s="7" t="str">
        <x:v>非预设名单再检索</x:v>
      </x:c>
    </x:row>
    <x:row r="65" ht="38" customHeight="1">
      <x:c r="A65" s="7" t="str">
        <x:v>"2020" "随机" "伤人" -site:reddit.com -site:laqingdan.org</x:v>
      </x:c>
      <x:c r="B65" s="7" t="str">
        <x:v>2018；2019；2020</x:v>
      </x:c>
      <x:c r="C65" s="7" t="str">
        <x:v>全国</x:v>
      </x:c>
      <x:c r="D65" s="2" t="str">
        <x:v>已检索</x:v>
      </x:c>
      <x:c r="E65" s="9"/>
      <x:c r="F65" s="7" t="str">
        <x:v>非预设名单再检索</x:v>
      </x:c>
    </x:row>
    <x:row r="66" ht="38" customHeight="1">
      <x:c r="A66" s="7" t="str">
        <x:v>2018 报复社会 持刀 行人 法院</x:v>
      </x:c>
      <x:c r="B66" s="7" t="str">
        <x:v>2018；2019；2020</x:v>
      </x:c>
      <x:c r="C66" s="7" t="str">
        <x:v>全国</x:v>
      </x:c>
      <x:c r="D66" s="2" t="str">
        <x:v>已检索</x:v>
      </x:c>
      <x:c r="E66" s="9"/>
      <x:c r="F66" s="7" t="str">
        <x:v>司法判决措辞及多方式补漏</x:v>
      </x:c>
    </x:row>
    <x:row r="67" ht="38" customHeight="1">
      <x:c r="A67" s="7" t="str">
        <x:v>2019 报复社会 持刀 行人 法院</x:v>
      </x:c>
      <x:c r="B67" s="7" t="str">
        <x:v>2018；2019；2020</x:v>
      </x:c>
      <x:c r="C67" s="7" t="str">
        <x:v>全国</x:v>
      </x:c>
      <x:c r="D67" s="2" t="str">
        <x:v>已检索</x:v>
      </x:c>
      <x:c r="E67" s="9"/>
      <x:c r="F67" s="7" t="str">
        <x:v>司法判决措辞及多方式补漏</x:v>
      </x:c>
    </x:row>
    <x:row r="68" ht="38" customHeight="1">
      <x:c r="A68" s="7" t="str">
        <x:v>2020 报复社会 持刀 行人 法院</x:v>
      </x:c>
      <x:c r="B68" s="7" t="str">
        <x:v>2018；2019；2020</x:v>
      </x:c>
      <x:c r="C68" s="7" t="str">
        <x:v>全国</x:v>
      </x:c>
      <x:c r="D68" s="2" t="str">
        <x:v>已检索</x:v>
      </x:c>
      <x:c r="E68" s="9"/>
      <x:c r="F68" s="7" t="str">
        <x:v>司法判决措辞及多方式补漏</x:v>
      </x:c>
    </x:row>
    <x:row r="69" ht="38" customHeight="1">
      <x:c r="A69" s="7" t="str">
        <x:v>2018 2019 2020 报复社会 纵火 公交 爆炸</x:v>
      </x:c>
      <x:c r="B69" s="7" t="str">
        <x:v>2018；2019；2020</x:v>
      </x:c>
      <x:c r="C69" s="7" t="str">
        <x:v>全国</x:v>
      </x:c>
      <x:c r="D69" s="2" t="str">
        <x:v>已检索</x:v>
      </x:c>
      <x:c r="E69" s="9"/>
      <x:c r="F69" s="7" t="str">
        <x:v>司法判决措辞及多方式补漏</x:v>
      </x:c>
    </x:row>
    <x:row r="70" ht="38" customHeight="1">
      <x:c r="A70" s="7" t="str">
        <x:v>2019 枣阳 太平 崔立冬 7死 7伤 妻子 女儿</x:v>
      </x:c>
      <x:c r="B70" s="7" t="str">
        <x:v>2018；2019；2020</x:v>
      </x:c>
      <x:c r="C70" s="7" t="str">
        <x:v>全国</x:v>
      </x:c>
      <x:c r="D70" s="2" t="str">
        <x:v>已检索</x:v>
      </x:c>
      <x:c r="E70" s="9"/>
      <x:c r="F70" s="7" t="str">
        <x:v>补查地方案件与裁判后续。</x:v>
      </x:c>
    </x:row>
    <x:row r="71" ht="38" customHeight="1">
      <x:c r="A71" s="7" t="str">
        <x:v>厦门中院 一审 两起 故意杀人 彭某 2020 4 10</x:v>
      </x:c>
      <x:c r="B71" s="7" t="str">
        <x:v>2018；2019；2020</x:v>
      </x:c>
      <x:c r="C71" s="7" t="str">
        <x:v>全国</x:v>
      </x:c>
      <x:c r="D71" s="2" t="str">
        <x:v>已检索</x:v>
      </x:c>
      <x:c r="E71" s="9"/>
      <x:c r="F71" s="7" t="str">
        <x:v>补查地方案件与裁判后续。</x:v>
      </x:c>
    </x:row>
    <x:row r="72" ht="38" customHeight="1">
      <x:c r="A72" s="7" t="str">
        <x:v>2018 隆回 罗良武 1死6伤 通报</x:v>
      </x:c>
      <x:c r="B72" s="7" t="str">
        <x:v>2018；2019；2020</x:v>
      </x:c>
      <x:c r="C72" s="7" t="str">
        <x:v>全国</x:v>
      </x:c>
      <x:c r="D72" s="2" t="str">
        <x:v>已检索</x:v>
      </x:c>
      <x:c r="E72" s="9"/>
      <x:c r="F72" s="7" t="str">
        <x:v>补查地方案件与裁判后续。</x:v>
      </x:c>
    </x:row>
    <x:row r="73" ht="38" customHeight="1">
      <x:c r="A73" s="7" t="str">
        <x:v>2019 唐山 丰润 崔振江 学生 判决 17</x:v>
      </x:c>
      <x:c r="B73" s="7" t="str">
        <x:v>2018；2019；2020</x:v>
      </x:c>
      <x:c r="C73" s="7" t="str">
        <x:v>全国</x:v>
      </x:c>
      <x:c r="D73" s="2" t="str">
        <x:v>已检索</x:v>
      </x:c>
      <x:c r="E73" s="9"/>
      <x:c r="F73" s="7" t="str">
        <x:v>补查地方案件与裁判后续。</x:v>
      </x:c>
    </x:row>
    <x:row r="74" ht="38" customHeight="1">
      <x:c r="A74" s="7" t="str">
        <x:v>湖北枣阳 突发案件续报 查明嫌疑人身份 妥善处置善后 2019</x:v>
      </x:c>
      <x:c r="B74" s="7" t="str">
        <x:v>2018；2019；2020</x:v>
      </x:c>
      <x:c r="C74" s="7" t="str">
        <x:v>全国</x:v>
      </x:c>
      <x:c r="D74" s="2" t="str">
        <x:v>已检索</x:v>
      </x:c>
      <x:c r="E74" s="9"/>
      <x:c r="F74" s="7" t="str">
        <x:v>边界与后续核实。</x:v>
      </x:c>
    </x:row>
    <x:row r="75" ht="38" customHeight="1">
      <x:c r="A75" s="7" t="str">
        <x:v>"罗良武" "2018"</x:v>
      </x:c>
      <x:c r="B75" s="7" t="str">
        <x:v>2018；2019；2020</x:v>
      </x:c>
      <x:c r="C75" s="7" t="str">
        <x:v>全国</x:v>
      </x:c>
      <x:c r="D75" s="2" t="str">
        <x:v>已检索</x:v>
      </x:c>
      <x:c r="E75" s="9"/>
      <x:c r="F75" s="7" t="str">
        <x:v>边界与后续核实。</x:v>
      </x:c>
    </x:row>
    <x:row r="76" ht="38" customHeight="1">
      <x:c r="A76" s="7" t="str">
        <x:v>"崔振江" "法院"</x:v>
      </x:c>
      <x:c r="B76" s="7" t="str">
        <x:v>2018；2019；2020</x:v>
      </x:c>
      <x:c r="C76" s="7" t="str">
        <x:v>全国</x:v>
      </x:c>
      <x:c r="D76" s="2" t="str">
        <x:v>已检索</x:v>
      </x:c>
      <x:c r="E76" s="9"/>
      <x:c r="F76" s="7" t="str">
        <x:v>边界与后续核实。</x:v>
      </x:c>
    </x:row>
    <x:row r="77" ht="38" customHeight="1">
      <x:c r="A77" s="7" t="str">
        <x:v>"2019" "深圳" "癫痫" "3死"</x:v>
      </x:c>
      <x:c r="B77" s="7" t="str">
        <x:v>2018；2019；2020</x:v>
      </x:c>
      <x:c r="C77" s="7" t="str">
        <x:v>全国</x:v>
      </x:c>
      <x:c r="D77" s="2" t="str">
        <x:v>已检索</x:v>
      </x:c>
      <x:c r="E77" s="9"/>
      <x:c r="F77" s="7" t="str">
        <x:v>边界与后续核实。</x:v>
      </x:c>
    </x:row>
    <x:row r="78" ht="38" customHeight="1">
      <x:c r="A78" s="7" t="str">
        <x:v>北京 西单大悦城 朱纪业 2019 6 13 一审</x:v>
      </x:c>
      <x:c r="B78" s="7" t="str">
        <x:v>2018；2020</x:v>
      </x:c>
      <x:c r="C78" s="7" t="str">
        <x:v>全国</x:v>
      </x:c>
      <x:c r="D78" s="2" t="str">
        <x:v>已检索</x:v>
      </x:c>
      <x:c r="E78" s="9"/>
      <x:c r="F78" s="7" t="str">
        <x:v>寻找可访问正文或后续。</x:v>
      </x:c>
    </x:row>
    <x:row r="79" ht="38" customHeight="1">
      <x:c r="A79" s="7" t="str">
        <x:v>安顺 7月12日 公安 通报 张某钢 21 15</x:v>
      </x:c>
      <x:c r="B79" s="7" t="str">
        <x:v>2018；2020</x:v>
      </x:c>
      <x:c r="C79" s="7" t="str">
        <x:v>全国</x:v>
      </x:c>
      <x:c r="D79" s="2" t="str">
        <x:v>已检索</x:v>
      </x:c>
      <x:c r="E79" s="9"/>
      <x:c r="F79" s="7" t="str">
        <x:v>寻找可访问正文或后续。</x:v>
      </x:c>
    </x:row>
    <x:row r="80" ht="38" customHeight="1">
      <x:c r="A80" s="7" t="str">
        <x:v>成都 盐市口 姚某 2018 5月13日 3人</x:v>
      </x:c>
      <x:c r="B80" s="7" t="str">
        <x:v>2018；2020</x:v>
      </x:c>
      <x:c r="C80" s="7" t="str">
        <x:v>全国</x:v>
      </x:c>
      <x:c r="D80" s="2" t="str">
        <x:v>已检索</x:v>
      </x:c>
      <x:c r="E80" s="9"/>
      <x:c r="F80" s="7" t="str">
        <x:v>寻找可访问正文或后续。</x:v>
      </x:c>
    </x:row>
    <x:row r="81" ht="38" customHeight="1">
      <x:c r="A81" s="7" t="str">
        <x:v>2018 隆回 桃洪 7月5日 持刀</x:v>
      </x:c>
      <x:c r="B81" s="7" t="str">
        <x:v>2018；2020</x:v>
      </x:c>
      <x:c r="C81" s="7" t="str">
        <x:v>全国</x:v>
      </x:c>
      <x:c r="D81" s="2" t="str">
        <x:v>已检索</x:v>
      </x:c>
      <x:c r="E81" s="9"/>
      <x:c r="F81" s="7" t="str">
        <x:v>寻找可访问正文或后续。</x:v>
      </x:c>
    </x:row>
    <x:row r="82" ht="38" customHeight="1">
      <x:c r="A82" s="7" t="str">
        <x:v>2018 9 12 西山壹号院 廖某 两人 驾车 判决</x:v>
      </x:c>
      <x:c r="B82" s="7" t="str">
        <x:v>2018；2019</x:v>
      </x:c>
      <x:c r="C82" s="7" t="str">
        <x:v>全国</x:v>
      </x:c>
      <x:c r="D82" s="2" t="str">
        <x:v>已检索</x:v>
      </x:c>
      <x:c r="E82" s="9"/>
      <x:c r="F82" s="7" t="str">
        <x:v>检索已发现线索的官方来源。</x:v>
      </x:c>
    </x:row>
    <x:row r="83" ht="38" customHeight="1">
      <x:c r="A83" s="7" t="str">
        <x:v>2018 11 12 上城 陌生女子 持刀 赵维达</x:v>
      </x:c>
      <x:c r="B83" s="7" t="str">
        <x:v>2018；2019</x:v>
      </x:c>
      <x:c r="C83" s="7" t="str">
        <x:v>全国</x:v>
      </x:c>
      <x:c r="D83" s="2" t="str">
        <x:v>已检索</x:v>
      </x:c>
      <x:c r="E83" s="9"/>
      <x:c r="F83" s="7" t="str">
        <x:v>检索已发现线索的官方来源。</x:v>
      </x:c>
    </x:row>
    <x:row r="84" ht="38" customHeight="1">
      <x:c r="A84" s="7" t="str">
        <x:v>2019 3 14 唐山 伤害 学生 已被控制 光华道</x:v>
      </x:c>
      <x:c r="B84" s="7" t="str">
        <x:v>2018；2019</x:v>
      </x:c>
      <x:c r="C84" s="7" t="str">
        <x:v>全国</x:v>
      </x:c>
      <x:c r="D84" s="2" t="str">
        <x:v>已检索</x:v>
      </x:c>
      <x:c r="E84" s="9"/>
      <x:c r="F84" s="7" t="str">
        <x:v>检索已发现线索的官方来源。</x:v>
      </x:c>
    </x:row>
    <x:row r="85" ht="38" customHeight="1">
      <x:c r="A85" s="7" t="str">
        <x:v>邱日辉 执行死刑 2019 8 1 法制网</x:v>
      </x:c>
      <x:c r="B85" s="7" t="str">
        <x:v>2018；2019</x:v>
      </x:c>
      <x:c r="C85" s="7" t="str">
        <x:v>全国</x:v>
      </x:c>
      <x:c r="D85" s="2" t="str">
        <x:v>已检索</x:v>
      </x:c>
      <x:c r="E85" s="9"/>
      <x:c r="F85" s="7" t="str">
        <x:v>检索已发现线索的官方来源。</x:v>
      </x:c>
    </x:row>
    <x:row r="86" ht="38" customHeight="1">
      <x:c r="A86" s="7" t="str">
        <x:v>朝阳医院 崔振国 2021 2月2日 死缓 陶勇 三人</x:v>
      </x:c>
      <x:c r="B86" s="7" t="str">
        <x:v>2018；2019；2020</x:v>
      </x:c>
      <x:c r="C86" s="7" t="str">
        <x:v>全国</x:v>
      </x:c>
      <x:c r="D86" s="2" t="str">
        <x:v>已检索</x:v>
      </x:c>
      <x:c r="E86" s="9"/>
      <x:c r="F86" s="7" t="str">
        <x:v>补核来源与模糊线索。</x:v>
      </x:c>
    </x:row>
    <x:row r="87" ht="38" customHeight="1">
      <x:c r="A87" s="7" t="str">
        <x:v>安顺 公安 7月12日 21 15 2020 site:cctv.com</x:v>
      </x:c>
      <x:c r="B87" s="7" t="str">
        <x:v>2018；2019；2020</x:v>
      </x:c>
      <x:c r="C87" s="7" t="str">
        <x:v>全国</x:v>
      </x:c>
      <x:c r="D87" s="2" t="str">
        <x:v>已检索</x:v>
      </x:c>
      <x:c r="E87" s="9"/>
      <x:c r="F87" s="7" t="str">
        <x:v>补核来源与模糊线索。</x:v>
      </x:c>
    </x:row>
    <x:row r="88" ht="38" customHeight="1">
      <x:c r="A88" s="7" t="str">
        <x:v>南宁 2018 4 16 大乌村 韦 抓获</x:v>
      </x:c>
      <x:c r="B88" s="7" t="str">
        <x:v>2018；2019；2020</x:v>
      </x:c>
      <x:c r="C88" s="7" t="str">
        <x:v>全国</x:v>
      </x:c>
      <x:c r="D88" s="2" t="str">
        <x:v>已检索</x:v>
      </x:c>
      <x:c r="E88" s="9"/>
      <x:c r="F88" s="7" t="str">
        <x:v>补核来源与模糊线索。</x:v>
      </x:c>
    </x:row>
    <x:row r="89" ht="38" customHeight="1">
      <x:c r="A89" s="7" t="str">
        <x:v>2019 2 21 吉安 八中 砍人 官方</x:v>
      </x:c>
      <x:c r="B89" s="7" t="str">
        <x:v>2018；2019；2020</x:v>
      </x:c>
      <x:c r="C89" s="7" t="str">
        <x:v>全国</x:v>
      </x:c>
      <x:c r="D89" s="2" t="str">
        <x:v>已检索</x:v>
      </x:c>
      <x:c r="E89" s="9"/>
      <x:c r="F89" s="7" t="str">
        <x:v>补核来源与模糊线索。</x:v>
      </x:c>
    </x:row>
    <x:row r="90" ht="38" customHeight="1">
      <x:c r="A90" s="7" t="str">
        <x:v>2019 吉安 郭开滨 公安 11人</x:v>
      </x:c>
      <x:c r="B90" s="7" t="str">
        <x:v>2018；2019</x:v>
      </x:c>
      <x:c r="C90" s="7" t="str">
        <x:v>全国</x:v>
      </x:c>
      <x:c r="D90" s="2" t="str">
        <x:v>已检索</x:v>
      </x:c>
      <x:c r="E90" s="9"/>
      <x:c r="F90" s="7" t="str">
        <x:v>官方初报与排除事件检索。</x:v>
      </x:c>
    </x:row>
    <x:row r="91" ht="38" customHeight="1">
      <x:c r="A91" s="7" t="str">
        <x:v>2019 唐山 丰润 伤害学生 案件 通报 3月14日</x:v>
      </x:c>
      <x:c r="B91" s="7" t="str">
        <x:v>2018；2019</x:v>
      </x:c>
      <x:c r="C91" s="7" t="str">
        <x:v>全国</x:v>
      </x:c>
      <x:c r="D91" s="2" t="str">
        <x:v>已检索</x:v>
      </x:c>
      <x:c r="E91" s="9"/>
      <x:c r="F91" s="7" t="str">
        <x:v>官方初报与排除事件检索。</x:v>
      </x:c>
    </x:row>
    <x:row r="92" ht="38" customHeight="1">
      <x:c r="A92" s="7" t="str">
        <x:v>2018 11月12日 赵维达 陌生女子</x:v>
      </x:c>
      <x:c r="B92" s="7" t="str">
        <x:v>2018；2019</x:v>
      </x:c>
      <x:c r="C92" s="7" t="str">
        <x:v>全国</x:v>
      </x:c>
      <x:c r="D92" s="2" t="str">
        <x:v>已检索</x:v>
      </x:c>
      <x:c r="E92" s="9"/>
      <x:c r="F92" s="7" t="str">
        <x:v>官方初报与排除事件检索。</x:v>
      </x:c>
    </x:row>
    <x:row r="93" ht="38" customHeight="1">
      <x:c r="A93" s="7" t="str">
        <x:v>重庆 万州 公交 坠江 15人 调查 2018 11月2日</x:v>
      </x:c>
      <x:c r="B93" s="7" t="str">
        <x:v>2018；2019</x:v>
      </x:c>
      <x:c r="C93" s="7" t="str">
        <x:v>全国</x:v>
      </x:c>
      <x:c r="D93" s="2" t="str">
        <x:v>已检索</x:v>
      </x:c>
      <x:c r="E93" s="9"/>
      <x:c r="F93" s="7" t="str">
        <x:v>官方初报与排除事件检索。</x:v>
      </x:c>
    </x:row>
    <x:row r="94" ht="38" customHeight="1">
      <x:c r="A94" s="7" t="str">
        <x:v>2019 2月5日 白银 郭某 8死7伤 警方</x:v>
      </x:c>
      <x:c r="B94" s="7" t="str">
        <x:v>2018；2019</x:v>
      </x:c>
      <x:c r="C94" s="7" t="str">
        <x:v>全国</x:v>
      </x:c>
      <x:c r="D94" s="2" t="str">
        <x:v>已检索</x:v>
      </x:c>
      <x:c r="E94" s="9"/>
      <x:c r="F94" s="7" t="str">
        <x:v>补漏和排除核实。</x:v>
      </x:c>
    </x:row>
    <x:row r="95" ht="38" customHeight="1">
      <x:c r="A95" s="7" t="str">
        <x:v>2018 隆回 7月5日 一死 六伤 警方</x:v>
      </x:c>
      <x:c r="B95" s="7" t="str">
        <x:v>2018；2019</x:v>
      </x:c>
      <x:c r="C95" s="7" t="str">
        <x:v>全国</x:v>
      </x:c>
      <x:c r="D95" s="2" t="str">
        <x:v>已检索</x:v>
      </x:c>
      <x:c r="E95" s="9"/>
      <x:c r="F95" s="7" t="str">
        <x:v>补漏和排除核实。</x:v>
      </x:c>
    </x:row>
    <x:row r="96" ht="38" customHeight="1">
      <x:c r="A96" s="7" t="str">
        <x:v>2018 11 12 杭州 女子 商务楼 持刀</x:v>
      </x:c>
      <x:c r="B96" s="7" t="str">
        <x:v>2018；2019</x:v>
      </x:c>
      <x:c r="C96" s="7" t="str">
        <x:v>全国</x:v>
      </x:c>
      <x:c r="D96" s="2" t="str">
        <x:v>已检索</x:v>
      </x:c>
      <x:c r="E96" s="9"/>
      <x:c r="F96" s="7" t="str">
        <x:v>补漏和排除核实。</x:v>
      </x:c>
    </x:row>
    <x:row r="97" ht="38" customHeight="1">
      <x:c r="A97" s="7" t="str">
        <x:v>2019 南宁 安吉大道 1月11日 5人 伤</x:v>
      </x:c>
      <x:c r="B97" s="7" t="str">
        <x:v>2018；2019</x:v>
      </x:c>
      <x:c r="C97" s="7" t="str">
        <x:v>全国</x:v>
      </x:c>
      <x:c r="D97" s="2" t="str">
        <x:v>已检索</x:v>
      </x:c>
      <x:c r="E97" s="9"/>
      <x:c r="F97" s="7" t="str">
        <x:v>补漏和排除核实。</x:v>
      </x:c>
    </x:row>
    <x:row r="98" ht="38" customHeight="1">
      <x:c r="A98" s="7" t="str">
        <x:v>龙岩 邱日辉 居委会 干部 2018 12月26日 公安</x:v>
      </x:c>
      <x:c r="B98" s="7" t="str">
        <x:v>2018；2019</x:v>
      </x:c>
      <x:c r="C98" s="7" t="str">
        <x:v>全国</x:v>
      </x:c>
      <x:c r="D98" s="2" t="str">
        <x:v>已检索</x:v>
      </x:c>
      <x:c r="E98" s="9"/>
      <x:c r="F98" s="7" t="str">
        <x:v>核对随机性及工具细节。</x:v>
      </x:c>
    </x:row>
    <x:row r="99" ht="38" customHeight="1">
      <x:c r="A99" s="7" t="str">
        <x:v>恩施 于华 2019 持刀 学生 杀害</x:v>
      </x:c>
      <x:c r="B99" s="7" t="str">
        <x:v>2018；2019</x:v>
      </x:c>
      <x:c r="C99" s="7" t="str">
        <x:v>全国</x:v>
      </x:c>
      <x:c r="D99" s="2" t="str">
        <x:v>已检索</x:v>
      </x:c>
      <x:c r="E99" s="9"/>
      <x:c r="F99" s="7" t="str">
        <x:v>核对随机性及工具细节。</x:v>
      </x:c>
    </x:row>
    <x:row r="100" ht="38" customHeight="1">
      <x:c r="A100" s="7" t="str">
        <x:v>唐山 丰润 光华道 2019 3 14 site:guancha.cn</x:v>
      </x:c>
      <x:c r="B100" s="7" t="str">
        <x:v>2018；2019</x:v>
      </x:c>
      <x:c r="C100" s="7" t="str">
        <x:v>全国</x:v>
      </x:c>
      <x:c r="D100" s="2" t="str">
        <x:v>已检索</x:v>
      </x:c>
      <x:c r="E100" s="9"/>
      <x:c r="F100" s="7" t="str">
        <x:v>核对随机性及工具细节。</x:v>
      </x:c>
    </x:row>
    <x:row r="101" ht="38" customHeight="1">
      <x:c r="A101" s="7" t="str">
        <x:v>2018 10月10日 891路 公交 榔头 女孩 劫持 樊</x:v>
      </x:c>
      <x:c r="B101" s="7" t="str">
        <x:v>2018；2019</x:v>
      </x:c>
      <x:c r="C101" s="7" t="str">
        <x:v>重庆；湖北</x:v>
      </x:c>
      <x:c r="D101" s="2" t="str">
        <x:v>已检索</x:v>
      </x:c>
      <x:c r="E101" s="9"/>
      <x:c r="F101" s="7" t="str">
        <x:v>跟进交叉检索发现的边界候选。</x:v>
      </x:c>
    </x:row>
    <x:row r="102" ht="38" customHeight="1">
      <x:c r="A102" s="7" t="str">
        <x:v>2019 天门 华泰中学 陈某 捅伤 8名 同学 判决</x:v>
      </x:c>
      <x:c r="B102" s="7" t="str">
        <x:v>2018；2019</x:v>
      </x:c>
      <x:c r="C102" s="7" t="str">
        <x:v>重庆；湖北</x:v>
      </x:c>
      <x:c r="D102" s="2" t="str">
        <x:v>已检索</x:v>
      </x:c>
      <x:c r="E102" s="9"/>
      <x:c r="F102" s="7" t="str">
        <x:v>跟进交叉检索发现的边界候选。</x:v>
      </x:c>
    </x:row>
    <x:row r="103" ht="38" customHeight="1">
      <x:c r="A103" s="7" t="str">
        <x:v>重庆一公交司机勇斗行凶歹徒救女孩 2018；李某 锦龙路 2018 警方</x:v>
      </x:c>
      <x:c r="B103" s="7" t="str">
        <x:v>2018</x:v>
      </x:c>
      <x:c r="C103" s="7" t="str">
        <x:v>重庆</x:v>
      </x:c>
      <x:c r="D103" s="2" t="str">
        <x:v>已检索</x:v>
      </x:c>
      <x:c r="E103" s="9" t="n">
        <x:v>1</x:v>
      </x:c>
      <x:c r="F103" s="7" t="str">
        <x:v>澎湃搜索索引误配到2020年历史文章；弃用错配URL，另核警方通报转载及重庆晨报记者现场稿。</x:v>
      </x:c>
    </x:row>
    <x:row r="104" ht="38" customHeight="1">
      <x:c r="A104" s="7" t="str">
        <x:v>上城年鉴2019 2018年11月12日 赵维达 持刀 陌生女子</x:v>
      </x:c>
      <x:c r="B104" s="7" t="str">
        <x:v>2018</x:v>
      </x:c>
      <x:c r="C104" s="7" t="str">
        <x:v>浙江</x:v>
      </x:c>
      <x:c r="D104" s="2" t="str">
        <x:v>待核</x:v>
      </x:c>
      <x:c r="E104" s="9" t="n">
        <x:v>1</x:v>
      </x:c>
      <x:c r="F104" s="7" t="str">
        <x:v>搜索命中杭州上城区政府年鉴PDF；URL https://www.hzsc.gov.cn/module/download/downfile.jsp?classid=0&amp;filename=905f346d19c8469a9a991640e703ac05.pdf 多次正文下载超时，未作为已核实事件入表。</x:v>
      </x:c>
    </x:row>
    <x:row r="105" ht="38" customHeight="1">
      <x:c r="A105" s="7" t="str">
        <x:v>2019-01-11 南宁 高新区 安吉大道 持刀 5人</x:v>
      </x:c>
      <x:c r="B105" s="7" t="str">
        <x:v>2019</x:v>
      </x:c>
      <x:c r="C105" s="7" t="str">
        <x:v>广西</x:v>
      </x:c>
      <x:c r="D105" s="2" t="str">
        <x:v>待核</x:v>
      </x:c>
      <x:c r="E105" s="9" t="n">
        <x:v>1</x:v>
      </x:c>
      <x:c r="F105" s="7" t="str">
        <x:v>汇编有条目，独立检索未找到足以核实的可靠正文，不纳入已核实事件。</x:v>
      </x:c>
    </x:row>
    <x:row r="106" ht="38" customHeight="1">
      <x:c r="A106" s="7" t="str">
        <x:v>2019-08-28 广州番禺 持刀 三人 郑某</x:v>
      </x:c>
      <x:c r="B106" s="7" t="str">
        <x:v>2019</x:v>
      </x:c>
      <x:c r="C106" s="7" t="str">
        <x:v>广东</x:v>
      </x:c>
      <x:c r="D106" s="2" t="str">
        <x:v>已检索</x:v>
      </x:c>
      <x:c r="E106" s="9" t="n">
        <x:v>1</x:v>
      </x:c>
      <x:c r="F106" s="7" t="str">
        <x:v>汇编错置案发年份；原事件为2021-08-28，已交B组核对，不在本组重复。</x:v>
      </x:c>
    </x:row>
    <x:row r="107" ht="38" customHeight="1">
      <x:c r="A107" s="7" t="str">
        <x:v>公开来源HTTP正文访问恢复</x:v>
      </x:c>
      <x:c r="B107" s="7" t="str">
        <x:v>2018；2019；2020</x:v>
      </x:c>
      <x:c r="C107" s="7" t="str">
        <x:v>全国</x:v>
      </x:c>
      <x:c r="D107" s="2" t="str">
        <x:v>已检索</x:v>
      </x:c>
      <x:c r="E107" s="9"/>
      <x:c r="F107" s="7" t="str">
        <x:v>人民网部分HTTPS域名证书失配，改公开HTTP读取；最高检、山东法院、澎湃、搜狐和新浪部分web打开失败，使用公开HTML读取成功。</x:v>
      </x:c>
    </x:row>
    <x:row r="108" ht="38" customHeight="1">
      <x:c r="A108" s="7" t="str">
        <x:v>官方通报之外的来源发现：CDT无差别杀人、拉清单恶性伤害案件、维基校园袭击案列表</x:v>
      </x:c>
      <x:c r="B108" s="7" t="str">
        <x:v>2018；2019；2020</x:v>
      </x:c>
      <x:c r="C108" s="7" t="str">
        <x:v>全国</x:v>
      </x:c>
      <x:c r="D108" s="2" t="str">
        <x:v>已检索</x:v>
      </x:c>
      <x:c r="E108" s="9"/>
      <x:c r="F108" s="7" t="str">
        <x:v>仅用为候选发现入口；事件逐案回查正文。检出汇编伤亡、日期、省份等错误，未把汇编等同事实来源。</x:v>
      </x:c>
    </x:row>
    <x:row r="109" ht="38" customHeight="1">
      <x:c r="A109" s="7" t="str">
        <x:v>2021 中国 随机伤人 无差别 持刀 事件</x:v>
      </x:c>
      <x:c r="B109" s="7" t="str">
        <x:v>2021</x:v>
      </x:c>
      <x:c r="C109" s="7" t="str">
        <x:v>全国</x:v>
      </x:c>
      <x:c r="D109" s="2" t="str">
        <x:v>已检索</x:v>
      </x:c>
      <x:c r="E109" s="9"/>
      <x:c r="F109" s="7" t="str">
        <x:v>发现大连、安庆、昆明、北流、南阳、郴州、任丘等线索后逐案回查；不能据汇编标题直接纳入。</x:v>
      </x:c>
    </x:row>
    <x:row r="110" ht="38" customHeight="1">
      <x:c r="A110" s="7" t="str">
        <x:v>2022 中国 随机伤人 持刀 驾车 事件</x:v>
      </x:c>
      <x:c r="B110" s="7" t="str">
        <x:v>2022</x:v>
      </x:c>
      <x:c r="C110" s="7" t="str">
        <x:v>全国</x:v>
      </x:c>
      <x:c r="D110" s="2" t="str">
        <x:v>已检索</x:v>
      </x:c>
      <x:c r="E110" s="9"/>
      <x:c r="F110" s="7" t="str">
        <x:v>发现瑞金、安福、上海威海路、东莞、舞阳等并核实。</x:v>
      </x:c>
    </x:row>
    <x:row r="111" ht="38" customHeight="1">
      <x:c r="A111" s="7" t="str">
        <x:v>2023 中国 无差别 随机伤人 事件</x:v>
      </x:c>
      <x:c r="B111" s="7" t="str">
        <x:v>2023</x:v>
      </x:c>
      <x:c r="C111" s="7" t="str">
        <x:v>全国</x:v>
      </x:c>
      <x:c r="D111" s="2" t="str">
        <x:v>已检索</x:v>
      </x:c>
      <x:c r="E111" s="9"/>
      <x:c r="F111" s="7" t="str">
        <x:v>发现广州、山科大、兴县、长春、罗平等，逐案区分核心和待核。</x:v>
      </x:c>
    </x:row>
    <x:row r="112" ht="38" customHeight="1">
      <x:c r="A112" s="7" t="str">
        <x:v>2021 2022 2023 中国 校园 袭击 案件</x:v>
      </x:c>
      <x:c r="B112" s="7" t="str">
        <x:v>2021；2022；2023</x:v>
      </x:c>
      <x:c r="C112" s="7" t="str">
        <x:v>全国</x:v>
      </x:c>
      <x:c r="D112" s="2" t="str">
        <x:v>已检索</x:v>
      </x:c>
      <x:c r="E112" s="9"/>
      <x:c r="F112" s="7" t="str">
        <x:v>校园袭击汇编只用作线索，回查昆明、北流、安福、廉江等官方和媒体。</x:v>
      </x:c>
    </x:row>
    <x:row r="113" ht="38" customHeight="1">
      <x:c r="A113" s="7" t="str">
        <x:v>2021 2022 2023 持刀 驾车 纵火 爆炸 公交 报复社会</x:v>
      </x:c>
      <x:c r="B113" s="7" t="str">
        <x:v>2021；2022；2023</x:v>
      </x:c>
      <x:c r="C113" s="7" t="str">
        <x:v>全国</x:v>
      </x:c>
      <x:c r="D113" s="2" t="str">
        <x:v>已检索</x:v>
      </x:c>
      <x:c r="E113" s="9"/>
      <x:c r="F113" s="7" t="str">
        <x:v>多轮场景补漏；多名伤亡与随机性的证据门槛分别判断。</x:v>
      </x:c>
    </x:row>
    <x:row r="114" ht="38" customHeight="1">
      <x:c r="A114" s="7" t="str">
        <x:v>大连 2021 5月22日 刘东 判决 执行死刑</x:v>
      </x:c>
      <x:c r="B114" s="7" t="str">
        <x:v>2021</x:v>
      </x:c>
      <x:c r="C114" s="7" t="str">
        <x:v>辽宁</x:v>
      </x:c>
      <x:c r="D114" s="2" t="str">
        <x:v>已检索</x:v>
      </x:c>
      <x:c r="E114" s="9"/>
      <x:c r="F114" s="7" t="str">
        <x:v>法院执行报道确认5死8伤，替代初报；2023-04-07执行。</x:v>
      </x:c>
    </x:row>
    <x:row r="115" ht="38" customHeight="1">
      <x:c r="A115" s="7" t="str">
        <x:v>安庆 7死13伤 吴亮 2021 11月15日 宣判</x:v>
      </x:c>
      <x:c r="B115" s="7" t="str">
        <x:v>2021</x:v>
      </x:c>
      <x:c r="C115" s="7" t="str">
        <x:v>安徽</x:v>
      </x:c>
      <x:c r="D115" s="2" t="str">
        <x:v>已检索</x:v>
      </x:c>
      <x:c r="E115" s="9"/>
      <x:c r="F115" s="7" t="str">
        <x:v>宣判日及最终伤亡核实，2022-02-15执行。</x:v>
      </x:c>
    </x:row>
    <x:row r="116" ht="38" customHeight="1">
      <x:c r="A116" s="7" t="str">
        <x:v>广州 2023 温庆运 二审 执行死刑 伤亡</x:v>
      </x:c>
      <x:c r="B116" s="7" t="str">
        <x:v>2023</x:v>
      </x:c>
      <x:c r="C116" s="7" t="str">
        <x:v>广东</x:v>
      </x:c>
      <x:c r="D116" s="2" t="str">
        <x:v>已检索</x:v>
      </x:c>
      <x:c r="E116" s="9"/>
      <x:c r="F116" s="7" t="str">
        <x:v>判决采访与执行通报明确6死，伤者称20余；司法伤情评估29人不等同精确受伤者数。</x:v>
      </x:c>
    </x:row>
    <x:row r="117" ht="38" customHeight="1">
      <x:c r="A117" s="7" t="str">
        <x:v>上海 瑞金 侯晓飞 判决 2023</x:v>
      </x:c>
      <x:c r="B117" s="7" t="str">
        <x:v>2022</x:v>
      </x:c>
      <x:c r="C117" s="7" t="str">
        <x:v>上海</x:v>
      </x:c>
      <x:c r="D117" s="2" t="str">
        <x:v>已检索</x:v>
      </x:c>
      <x:c r="E117" s="9"/>
      <x:c r="F117" s="7" t="str">
        <x:v>完整一审通报核实15伤，其中6重伤；0死亡。</x:v>
      </x:c>
    </x:row>
    <x:row r="118" ht="38" customHeight="1">
      <x:c r="A118" s="7" t="str">
        <x:v>"侯晓飞" "执行死刑"</x:v>
      </x:c>
      <x:c r="B118" s="7" t="str">
        <x:v>2022</x:v>
      </x:c>
      <x:c r="C118" s="7" t="str">
        <x:v>上海</x:v>
      </x:c>
      <x:c r="D118" s="2" t="str">
        <x:v>已检索</x:v>
      </x:c>
      <x:c r="E118" s="9"/>
      <x:c r="F118" s="7" t="str">
        <x:v>未检出可核实执行或二审结果；不可将死刑判决写成执行。</x:v>
      </x:c>
    </x:row>
    <x:row r="119" ht="38" customHeight="1">
      <x:c r="A119" s="7" t="str">
        <x:v>"浙医一院" "卢某" "判" "2021"</x:v>
      </x:c>
      <x:c r="B119" s="7" t="str">
        <x:v>2021</x:v>
      </x:c>
      <x:c r="C119" s="7" t="str">
        <x:v>浙江</x:v>
      </x:c>
      <x:c r="D119" s="2" t="str">
        <x:v>已检索</x:v>
      </x:c>
      <x:c r="E119" s="9"/>
      <x:c r="F119" s="7" t="str">
        <x:v>检出警方情况和既往2014年案件，未检出2021本案公开裁判。</x:v>
      </x:c>
    </x:row>
    <x:row r="120" ht="38" customHeight="1">
      <x:c r="A120" s="7" t="str">
        <x:v>南京 2021 5月29日 吉某 判决 死刑 胖哥</x:v>
      </x:c>
      <x:c r="B120" s="7" t="str">
        <x:v>2021</x:v>
      </x:c>
      <x:c r="C120" s="7" t="str">
        <x:v>江苏</x:v>
      </x:c>
      <x:c r="D120" s="2" t="str">
        <x:v>已检索</x:v>
      </x:c>
      <x:c r="E120" s="9"/>
      <x:c r="F120" s="7" t="str">
        <x:v>2025媒体公布最高法裁定，确认7名受害者、3司法重伤；修正年龄并补一审二审核准。</x:v>
      </x:c>
    </x:row>
    <x:row r="121" ht="38" customHeight="1">
      <x:c r="A121" s="7" t="str">
        <x:v>"吉某" "2025" "执行死刑" "南京"</x:v>
      </x:c>
      <x:c r="B121" s="7" t="str">
        <x:v>2021</x:v>
      </x:c>
      <x:c r="C121" s="7" t="str">
        <x:v>江苏</x:v>
      </x:c>
      <x:c r="D121" s="2" t="str">
        <x:v>已检索</x:v>
      </x:c>
      <x:c r="E121" s="9"/>
      <x:c r="F121" s="7" t="str">
        <x:v>仅找到核准死刑，尚未找到执行证明。</x:v>
      </x:c>
    </x:row>
    <x:row r="122" ht="38" customHeight="1">
      <x:c r="A122" s="7" t="str">
        <x:v>北流 2021 幼儿园 曾某 判决</x:v>
      </x:c>
      <x:c r="B122" s="7" t="str">
        <x:v>2021</x:v>
      </x:c>
      <x:c r="C122" s="7" t="str">
        <x:v>广西</x:v>
      </x:c>
      <x:c r="D122" s="2" t="str">
        <x:v>已检索</x:v>
      </x:c>
      <x:c r="E122" s="9"/>
      <x:c r="F122" s="7" t="str">
        <x:v>仅检出官方初步司法精神鉴定与2死16伤通报，无可核实后续裁判。</x:v>
      </x:c>
    </x:row>
    <x:row r="123" ht="38" customHeight="1">
      <x:c r="A123" s="7" t="str">
        <x:v>昆明 2021 1月22日 王某 劫持 伤亡</x:v>
      </x:c>
      <x:c r="B123" s="7" t="str">
        <x:v>2021</x:v>
      </x:c>
      <x:c r="C123" s="7" t="str">
        <x:v>云南</x:v>
      </x:c>
      <x:c r="D123" s="2" t="str">
        <x:v>已检索</x:v>
      </x:c>
      <x:c r="E123" s="9"/>
      <x:c r="F123" s="7" t="str">
        <x:v>警方1死7伤、嫌疑人击毙；汇编2死说法没有可靠后续来源。</x:v>
      </x:c>
    </x:row>
    <x:row r="124" ht="38" customHeight="1">
      <x:c r="A124" s="7" t="str">
        <x:v>"昆明" "1月22日" "7人" "6人"；"昆明" "2021" "2人死亡" "劫持"</x:v>
      </x:c>
      <x:c r="B124" s="7" t="str">
        <x:v>2021</x:v>
      </x:c>
      <x:c r="C124" s="7" t="str">
        <x:v>云南</x:v>
      </x:c>
      <x:c r="D124" s="2" t="str">
        <x:v>已检索</x:v>
      </x:c>
      <x:c r="E124" s="9"/>
      <x:c r="F124" s="7" t="str">
        <x:v>对照官网转载，2名受害者死亡仅见网传，不采纳。</x:v>
      </x:c>
    </x:row>
    <x:row r="125" ht="38" customHeight="1">
      <x:c r="A125" s="7" t="str">
        <x:v>2021 南阳 杨某禄 66 棍棒 判决</x:v>
      </x:c>
      <x:c r="B125" s="7" t="str">
        <x:v>2021</x:v>
      </x:c>
      <x:c r="C125" s="7" t="str">
        <x:v>河南</x:v>
      </x:c>
      <x:c r="D125" s="2" t="str">
        <x:v>已检索</x:v>
      </x:c>
      <x:c r="E125" s="9"/>
      <x:c r="F125" s="7" t="str">
        <x:v>警方确认因生活失意报复社会14伤；未检出裁判。</x:v>
      </x:c>
    </x:row>
    <x:row r="126" ht="38" customHeight="1">
      <x:c r="A126" s="7" t="str">
        <x:v>2021 郴州 白露塘 学生 5人 伤人</x:v>
      </x:c>
      <x:c r="B126" s="7" t="str">
        <x:v>2021</x:v>
      </x:c>
      <x:c r="C126" s="7" t="str">
        <x:v>湖南</x:v>
      </x:c>
      <x:c r="D126" s="2" t="str">
        <x:v>已检索</x:v>
      </x:c>
      <x:c r="E126" s="9"/>
      <x:c r="F126" s="7" t="str">
        <x:v>生活报现场采访确认事件；确切最终伤亡未获得官方材料，留空。</x:v>
      </x:c>
    </x:row>
    <x:row r="127" ht="38" customHeight="1">
      <x:c r="A127" s="7" t="str">
        <x:v>2021 任丘 华北油田 采一中学 持刀</x:v>
      </x:c>
      <x:c r="B127" s="7" t="str">
        <x:v>2021</x:v>
      </x:c>
      <x:c r="C127" s="7" t="str">
        <x:v>河北</x:v>
      </x:c>
      <x:c r="D127" s="2" t="str">
        <x:v>已检索</x:v>
      </x:c>
      <x:c r="E127" s="9"/>
      <x:c r="F127" s="7" t="str">
        <x:v>极目采访教育部门及医院确认事件，伤亡人数和随机性不足。</x:v>
      </x:c>
    </x:row>
    <x:row r="128" ht="38" customHeight="1">
      <x:c r="A128" s="7" t="str">
        <x:v>2021 成都 华阳 伏龙小区 持刀 4伤</x:v>
      </x:c>
      <x:c r="B128" s="7" t="str">
        <x:v>2021</x:v>
      </x:c>
      <x:c r="C128" s="7" t="str">
        <x:v>四川</x:v>
      </x:c>
      <x:c r="D128" s="2" t="str">
        <x:v>已检索</x:v>
      </x:c>
      <x:c r="E128" s="9"/>
      <x:c r="F128" s="7" t="str">
        <x:v>警方称与母亲争吵后伤害他人，关系未明，pending。</x:v>
      </x:c>
    </x:row>
    <x:row r="129" ht="38" customHeight="1">
      <x:c r="A129" s="7" t="str">
        <x:v>2021 东莞 清溪 李某 持刀 6伤</x:v>
      </x:c>
      <x:c r="B129" s="7" t="str">
        <x:v>2021</x:v>
      </x:c>
      <x:c r="C129" s="7" t="str">
        <x:v>广东</x:v>
      </x:c>
      <x:c r="D129" s="2" t="str">
        <x:v>已检索</x:v>
      </x:c>
      <x:c r="E129" s="9"/>
      <x:c r="F129" s="7" t="str">
        <x:v>找到平安清溪通报，动机关系未披露。</x:v>
      </x:c>
    </x:row>
    <x:row r="130" ht="38" customHeight="1">
      <x:c r="A130" s="7" t="str">
        <x:v>2021 临洮 洮阳镇 2死1伤 张某某</x:v>
      </x:c>
      <x:c r="B130" s="7" t="str">
        <x:v>2021</x:v>
      </x:c>
      <x:c r="C130" s="7" t="str">
        <x:v>甘肃</x:v>
      </x:c>
      <x:c r="D130" s="2" t="str">
        <x:v>已检索</x:v>
      </x:c>
      <x:c r="E130" s="9"/>
      <x:c r="F130" s="7" t="str">
        <x:v>县政府通报加财新采访；三名女孩遇袭，随机性仍不能充分确认。</x:v>
      </x:c>
    </x:row>
    <x:row r="131" ht="38" customHeight="1">
      <x:c r="A131" s="7" t="str">
        <x:v>广州 番禺 清河中路 郑某 43 8月28日</x:v>
      </x:c>
      <x:c r="B131" s="7" t="str">
        <x:v>2021</x:v>
      </x:c>
      <x:c r="C131" s="7" t="str">
        <x:v>广东</x:v>
      </x:c>
      <x:c r="D131" s="2" t="str">
        <x:v>已检索</x:v>
      </x:c>
      <x:c r="E131" s="9"/>
      <x:c r="F131" s="7" t="str">
        <x:v>核实案发2021-08-28；部分2019汇编错年。</x:v>
      </x:c>
    </x:row>
    <x:row r="132" ht="38" customHeight="1">
      <x:c r="A132" s="7" t="str">
        <x:v>2021 河津 东关 商务酒店 持刀 3人</x:v>
      </x:c>
      <x:c r="B132" s="7" t="str">
        <x:v>2021</x:v>
      </x:c>
      <x:c r="C132" s="7" t="str">
        <x:v>山西</x:v>
      </x:c>
      <x:c r="D132" s="2" t="str">
        <x:v>已检索</x:v>
      </x:c>
      <x:c r="E132" s="9"/>
      <x:c r="F132" s="7" t="str">
        <x:v>警方明确三名劝阻群众受伤，expanded。</x:v>
      </x:c>
    </x:row>
    <x:row r="133" ht="38" customHeight="1">
      <x:c r="A133" s="7" t="str">
        <x:v>2021 上海 博山路 刘某 26岁 判决</x:v>
      </x:c>
      <x:c r="B133" s="7" t="str">
        <x:v>2021</x:v>
      </x:c>
      <x:c r="C133" s="7" t="str">
        <x:v>上海</x:v>
      </x:c>
      <x:c r="D133" s="2" t="str">
        <x:v>已检索</x:v>
      </x:c>
      <x:c r="E133" s="9"/>
      <x:c r="F133" s="7" t="str">
        <x:v>官方通报和现场采访，未检出后续裁判；死者数量无最终确认。</x:v>
      </x:c>
    </x:row>
    <x:row r="134" ht="38" customHeight="1">
      <x:c r="A134" s="7" t="str">
        <x:v>2021 长沙 望城 工厂 持刀 3人死亡 警方 通报</x:v>
      </x:c>
      <x:c r="B134" s="7" t="str">
        <x:v>2021</x:v>
      </x:c>
      <x:c r="C134" s="7" t="str">
        <x:v>湖南</x:v>
      </x:c>
      <x:c r="D134" s="2" t="str">
        <x:v>已检索</x:v>
      </x:c>
      <x:c r="E134" s="9"/>
      <x:c r="F134" s="7" t="str">
        <x:v>工友争执后的定向伤害，排除随机核心。</x:v>
      </x:c>
    </x:row>
    <x:row r="135" ht="38" customHeight="1">
      <x:c r="A135" s="7" t="str">
        <x:v>广州 番禺 爆炸案 5死5伤 新华网 2021-03-23</x:v>
      </x:c>
      <x:c r="B135" s="7" t="str">
        <x:v>2021</x:v>
      </x:c>
      <x:c r="C135" s="7" t="str">
        <x:v>广东</x:v>
      </x:c>
      <x:c r="D135" s="2" t="str">
        <x:v>已检索</x:v>
      </x:c>
      <x:c r="E135" s="9"/>
      <x:c r="F135" s="7" t="str">
        <x:v>回查警方完整转载，5死亡含嫌疑人，受害者死亡4人；随机性待核。</x:v>
      </x:c>
    </x:row>
    <x:row r="136" ht="38" customHeight="1">
      <x:c r="A136" s="7" t="str">
        <x:v>2022 沈阳 232 公交 爆炸 原因</x:v>
      </x:c>
      <x:c r="B136" s="7" t="str">
        <x:v>2022</x:v>
      </x:c>
      <x:c r="C136" s="7" t="str">
        <x:v>辽宁</x:v>
      </x:c>
      <x:c r="D136" s="2" t="str">
        <x:v>已检索</x:v>
      </x:c>
      <x:c r="E136" s="9"/>
      <x:c r="F136" s="7" t="str">
        <x:v>原因未确认，1死42伤保留pending。</x:v>
      </x:c>
    </x:row>
    <x:row r="137" ht="38" customHeight="1">
      <x:c r="A137" s="7" t="str">
        <x:v>2022 福建 南靖 货车 撞人 3死9伤</x:v>
      </x:c>
      <x:c r="B137" s="7" t="str">
        <x:v>2022</x:v>
      </x:c>
      <x:c r="C137" s="7" t="str">
        <x:v>福建</x:v>
      </x:c>
      <x:c r="D137" s="2" t="str">
        <x:v>已检索</x:v>
      </x:c>
      <x:c r="E137" s="9"/>
      <x:c r="F137" s="7" t="str">
        <x:v>警方通报未确认故意性，pending。</x:v>
      </x:c>
    </x:row>
    <x:row r="138" ht="38" customHeight="1">
      <x:c r="A138" s="7" t="str">
        <x:v>"2022" "邯郸" "超量" "4人"</x:v>
      </x:c>
      <x:c r="B138" s="7" t="str">
        <x:v>2022</x:v>
      </x:c>
      <x:c r="C138" s="7" t="str">
        <x:v>河北</x:v>
      </x:c>
      <x:c r="D138" s="2" t="str">
        <x:v>已检索</x:v>
      </x:c>
      <x:c r="E138" s="9"/>
      <x:c r="F138" s="7" t="str">
        <x:v>官方称超量服药，4死10伤；刑拘罪名不能直接作为随机袭击证据。</x:v>
      </x:c>
    </x:row>
    <x:row r="139" ht="38" customHeight="1">
      <x:c r="A139" s="7" t="str">
        <x:v>2022 岷县 4月 7人 孩子 伤害</x:v>
      </x:c>
      <x:c r="B139" s="7" t="str">
        <x:v>2022</x:v>
      </x:c>
      <x:c r="C139" s="7" t="str">
        <x:v>甘肃</x:v>
      </x:c>
      <x:c r="D139" s="2" t="str">
        <x:v>已检索</x:v>
      </x:c>
      <x:c r="E139" s="9"/>
      <x:c r="F139" s="7" t="str">
        <x:v>官方日期4/14、同院住户争吵；非4/1幼儿园案，关系不足保守待核。</x:v>
      </x:c>
    </x:row>
    <x:row r="140" ht="38" customHeight="1">
      <x:c r="A140" s="7" t="str">
        <x:v>2022 东莞 东城 万达 6月2日 持刀</x:v>
      </x:c>
      <x:c r="B140" s="7" t="str">
        <x:v>2022</x:v>
      </x:c>
      <x:c r="C140" s="7" t="str">
        <x:v>广东</x:v>
      </x:c>
      <x:c r="D140" s="2" t="str">
        <x:v>已检索</x:v>
      </x:c>
      <x:c r="E140" s="9"/>
      <x:c r="F140" s="7" t="str">
        <x:v>警方证实6伤，随机说法主要网述，pending。</x:v>
      </x:c>
    </x:row>
    <x:row r="141" ht="38" customHeight="1">
      <x:c r="A141" s="7" t="str">
        <x:v>2022 上海 7月4日 威海路 持刀 6人</x:v>
      </x:c>
      <x:c r="B141" s="7" t="str">
        <x:v>2022</x:v>
      </x:c>
      <x:c r="C141" s="7" t="str">
        <x:v>上海</x:v>
      </x:c>
      <x:c r="D141" s="2" t="str">
        <x:v>已检索</x:v>
      </x:c>
      <x:c r="E141" s="9"/>
      <x:c r="F141" s="7" t="str">
        <x:v>警方确认与原单位纠纷，财新独立调查称随机攻击进出员工；core群体中的不特定个体。</x:v>
      </x:c>
    </x:row>
    <x:row r="142" ht="38" customHeight="1">
      <x:c r="A142" s="7" t="str">
        <x:v>2022 沐川 李强 持枪 3死2伤</x:v>
      </x:c>
      <x:c r="B142" s="7" t="str">
        <x:v>2022</x:v>
      </x:c>
      <x:c r="C142" s="7" t="str">
        <x:v>四川</x:v>
      </x:c>
      <x:c r="D142" s="2" t="str">
        <x:v>已检索</x:v>
      </x:c>
      <x:c r="E142" s="9"/>
      <x:c r="F142" s="7" t="str">
        <x:v>警方及财新亲属采访确认受害者为同一家族，excluded。</x:v>
      </x:c>
    </x:row>
    <x:row r="143" ht="38" customHeight="1">
      <x:c r="A143" s="7" t="str">
        <x:v>2022 舞阳 7月28日 撞人 28伤 刑事</x:v>
      </x:c>
      <x:c r="B143" s="7" t="str">
        <x:v>2022</x:v>
      </x:c>
      <x:c r="C143" s="7" t="str">
        <x:v>河南</x:v>
      </x:c>
      <x:c r="D143" s="2" t="str">
        <x:v>已检索</x:v>
      </x:c>
      <x:c r="E143" s="9"/>
      <x:c r="F143" s="7" t="str">
        <x:v>官方为交通肇事逃逸，未找到足以证实故意随机袭击的裁判。</x:v>
      </x:c>
    </x:row>
    <x:row r="144" ht="38" customHeight="1">
      <x:c r="A144" s="7" t="str">
        <x:v>安福 幼儿园 刘小辉 2022 车祸 死亡</x:v>
      </x:c>
      <x:c r="B144" s="7" t="str">
        <x:v>2022</x:v>
      </x:c>
      <x:c r="C144" s="7" t="str">
        <x:v>江西</x:v>
      </x:c>
      <x:c r="D144" s="2" t="str">
        <x:v>已检索</x:v>
      </x:c>
      <x:c r="E144" s="9"/>
      <x:c r="F144" s="7" t="str">
        <x:v>警方后续确认逃亡车祸死亡，受害者修订4死5伤。</x:v>
      </x:c>
    </x:row>
    <x:row r="145" ht="38" customHeight="1">
      <x:c r="A145" s="7" t="str">
        <x:v>"林伊豪" "记者" "2026"；"曾某彬" "法院" "2026"</x:v>
      </x:c>
      <x:c r="B145" s="7" t="str">
        <x:v>2022</x:v>
      </x:c>
      <x:c r="C145" s="7" t="str">
        <x:v>福建</x:v>
      </x:c>
      <x:c r="D145" s="2" t="str">
        <x:v>已检索</x:v>
      </x:c>
      <x:c r="E145" s="9"/>
      <x:c r="F145" s="7" t="str">
        <x:v>找到新晚报完整判决报道，随意选择对象、1死亡；2025按案发17岁重审无期。</x:v>
      </x:c>
    </x:row>
    <x:row r="146" ht="38" customHeight="1">
      <x:c r="A146" s="7" t="str">
        <x:v>"2022年8月8日" "郸城" "伤"</x:v>
      </x:c>
      <x:c r="B146" s="7" t="str">
        <x:v>2022</x:v>
      </x:c>
      <x:c r="C146" s="7" t="str">
        <x:v>河南</x:v>
      </x:c>
      <x:c r="D146" s="2" t="str">
        <x:v>已检索</x:v>
      </x:c>
      <x:c r="E146" s="9"/>
      <x:c r="F146" s="7" t="str">
        <x:v>人民网完整警方通报，2伤，关系不明。</x:v>
      </x:c>
    </x:row>
    <x:row r="147" ht="38" customHeight="1">
      <x:c r="A147" s="7" t="str">
        <x:v>"吴英杰" "何某" "2023"</x:v>
      </x:c>
      <x:c r="B147" s="7" t="str">
        <x:v>2023</x:v>
      </x:c>
      <x:c r="C147" s="7" t="str">
        <x:v>重庆</x:v>
      </x:c>
      <x:c r="D147" s="2" t="str">
        <x:v>已检索</x:v>
      </x:c>
      <x:c r="E147" s="9"/>
      <x:c r="F147" s="7" t="str">
        <x:v>找到封面采访与重庆日报人物报道，明确警方认定地铁随机伤害，1伤。</x:v>
      </x:c>
    </x:row>
    <x:row r="148" ht="38" customHeight="1">
      <x:c r="A148" s="7" t="str">
        <x:v>"2023" "邯郸" "3月31日" "撞人" "爆炸"</x:v>
      </x:c>
      <x:c r="B148" s="7" t="str">
        <x:v>2023</x:v>
      </x:c>
      <x:c r="C148" s="7" t="str">
        <x:v>河北</x:v>
      </x:c>
      <x:c r="D148" s="2" t="str">
        <x:v>已检索</x:v>
      </x:c>
      <x:c r="E148" s="9"/>
      <x:c r="F148" s="7" t="str">
        <x:v>顶端采访应急部门确认事件，否认爆炸物，伤亡动机未核实。</x:v>
      </x:c>
    </x:row>
    <x:row r="149" ht="38" customHeight="1">
      <x:c r="A149" s="7" t="str">
        <x:v>2023 重庆 建新西路 淦某 菜刀 4路人</x:v>
      </x:c>
      <x:c r="B149" s="7" t="str">
        <x:v>2023</x:v>
      </x:c>
      <x:c r="C149" s="7" t="str">
        <x:v>重庆</x:v>
      </x:c>
      <x:c r="D149" s="2" t="str">
        <x:v>已检索</x:v>
      </x:c>
      <x:c r="E149" s="9"/>
      <x:c r="F149" s="7" t="str">
        <x:v>完整警方通报，4路人伤，core。</x:v>
      </x:c>
    </x:row>
    <x:row r="150" ht="38" customHeight="1">
      <x:c r="A150" s="7" t="str">
        <x:v>2023 平顶山 4月8日 梁某 7人 3人</x:v>
      </x:c>
      <x:c r="B150" s="7" t="str">
        <x:v>2023</x:v>
      </x:c>
      <x:c r="C150" s="7" t="str">
        <x:v>河南</x:v>
      </x:c>
      <x:c r="D150" s="2" t="str">
        <x:v>已检索</x:v>
      </x:c>
      <x:c r="E150" s="9"/>
      <x:c r="F150" s="7" t="str">
        <x:v>伤亡重叠口径和目标关系皆存在空白，pending、伤者数留空。</x:v>
      </x:c>
    </x:row>
    <x:row r="151" ht="38" customHeight="1">
      <x:c r="A151" s="7" t="str">
        <x:v>"山东科技大学" "付某" "12月26日" "死刑"</x:v>
      </x:c>
      <x:c r="B151" s="7" t="str">
        <x:v>2023</x:v>
      </x:c>
      <x:c r="C151" s="7" t="str">
        <x:v>山东</x:v>
      </x:c>
      <x:c r="D151" s="2" t="str">
        <x:v>已检索</x:v>
      </x:c>
      <x:c r="E151" s="9"/>
      <x:c r="F151" s="7" t="str">
        <x:v>获取紫牛新闻起诉与判决内容；1死6伤，一审死刑，未检出上诉结果。</x:v>
      </x:c>
    </x:row>
    <x:row r="152" ht="38" customHeight="1">
      <x:c r="A152" s="7" t="str">
        <x:v>"付圣峰" "2023" "死刑"</x:v>
      </x:c>
      <x:c r="B152" s="7" t="str">
        <x:v>2023</x:v>
      </x:c>
      <x:c r="C152" s="7" t="str">
        <x:v>山东</x:v>
      </x:c>
      <x:c r="D152" s="2" t="str">
        <x:v>已检索</x:v>
      </x:c>
      <x:c r="E152" s="9"/>
      <x:c r="F152" s="7" t="str">
        <x:v>找到一审转载；未发现额外二审或执行结果。</x:v>
      </x:c>
    </x:row>
    <x:row r="153" ht="38" customHeight="1">
      <x:c r="A153" s="7" t="str">
        <x:v>"2023" "中山" "铲车" "5月12"</x:v>
      </x:c>
      <x:c r="B153" s="7" t="str">
        <x:v>2023</x:v>
      </x:c>
      <x:c r="C153" s="7" t="str">
        <x:v>广东</x:v>
      </x:c>
      <x:c r="D153" s="2" t="str">
        <x:v>已检索</x:v>
      </x:c>
      <x:c r="E153" s="9"/>
      <x:c r="F153" s="7" t="str">
        <x:v>警方4伤，没有故意袭击结论，pending。</x:v>
      </x:c>
    </x:row>
    <x:row r="154" ht="38" customHeight="1">
      <x:c r="A154" s="7" t="str">
        <x:v>2023 兴县 郭某亮 7死11伤 判决</x:v>
      </x:c>
      <x:c r="B154" s="7" t="str">
        <x:v>2023</x:v>
      </x:c>
      <x:c r="C154" s="7" t="str">
        <x:v>山西</x:v>
      </x:c>
      <x:c r="D154" s="2" t="str">
        <x:v>已检索</x:v>
      </x:c>
      <x:c r="E154" s="9"/>
      <x:c r="F154" s="7" t="str">
        <x:v>找到县政府与央视事实，未检出后续判决。</x:v>
      </x:c>
    </x:row>
    <x:row r="155" ht="38" customHeight="1">
      <x:c r="A155" s="7" t="str">
        <x:v>2023 贵阳 盐务街 百草巷 剪刀</x:v>
      </x:c>
      <x:c r="B155" s="7" t="str">
        <x:v>2023</x:v>
      </x:c>
      <x:c r="C155" s="7" t="str">
        <x:v>贵州</x:v>
      </x:c>
      <x:c r="D155" s="2" t="str">
        <x:v>已检索</x:v>
      </x:c>
      <x:c r="E155" s="9"/>
      <x:c r="F155" s="7" t="str">
        <x:v>官方确认数名路过行人受伤，未给确切数。</x:v>
      </x:c>
    </x:row>
    <x:row r="156" ht="38" customHeight="1">
      <x:c r="A156" s="7" t="str">
        <x:v>2023 南部 桂博路 雍某 8人 持刀</x:v>
      </x:c>
      <x:c r="B156" s="7" t="str">
        <x:v>2023</x:v>
      </x:c>
      <x:c r="C156" s="7" t="str">
        <x:v>四川</x:v>
      </x:c>
      <x:c r="D156" s="2" t="str">
        <x:v>已检索</x:v>
      </x:c>
      <x:c r="E156" s="9"/>
      <x:c r="F156" s="7" t="str">
        <x:v>警方8伤，关系未明；木棒阻止报道不足确认所有伤者身份。</x:v>
      </x:c>
    </x:row>
    <x:row r="157" ht="38" customHeight="1">
      <x:c r="A157" s="7" t="str">
        <x:v>2023 天津 山西路 孙某 剪刀</x:v>
      </x:c>
      <x:c r="B157" s="7" t="str">
        <x:v>2023</x:v>
      </x:c>
      <x:c r="C157" s="7" t="str">
        <x:v>天津</x:v>
      </x:c>
      <x:c r="D157" s="2" t="str">
        <x:v>已检索</x:v>
      </x:c>
      <x:c r="E157" s="9"/>
      <x:c r="F157" s="7" t="str">
        <x:v>警方单人受害事件，随机性不足，pending。</x:v>
      </x:c>
    </x:row>
    <x:row r="158" ht="38" customHeight="1">
      <x:c r="A158" s="7" t="str">
        <x:v>2023 长沙 6月6日 兰某 滨河路 9人</x:v>
      </x:c>
      <x:c r="B158" s="7" t="str">
        <x:v>2023</x:v>
      </x:c>
      <x:c r="C158" s="7" t="str">
        <x:v>湖南</x:v>
      </x:c>
      <x:c r="D158" s="2" t="str">
        <x:v>已检索</x:v>
      </x:c>
      <x:c r="E158" s="9"/>
      <x:c r="F158" s="7" t="str">
        <x:v>警方撞人逃逸确认，故意随机袭击结论未找到。</x:v>
      </x:c>
    </x:row>
    <x:row r="159" ht="38" customHeight="1">
      <x:c r="A159" s="7" t="str">
        <x:v>2023 秦皇岛 建国路 持刀 6月16日</x:v>
      </x:c>
      <x:c r="B159" s="7" t="str">
        <x:v>2023</x:v>
      </x:c>
      <x:c r="C159" s="7" t="str">
        <x:v>河北</x:v>
      </x:c>
      <x:c r="D159" s="2" t="str">
        <x:v>已检索</x:v>
      </x:c>
      <x:c r="E159" s="9"/>
      <x:c r="F159" s="7" t="str">
        <x:v>警方采访确认控制嫌疑人，人数及起因未知。</x:v>
      </x:c>
    </x:row>
    <x:row r="160" ht="38" customHeight="1">
      <x:c r="A160" s="7" t="str">
        <x:v>长春 2023 高空抛物 6月17 6月22 判决 执行</x:v>
      </x:c>
      <x:c r="B160" s="7" t="str">
        <x:v>2023</x:v>
      </x:c>
      <x:c r="C160" s="7" t="str">
        <x:v>吉林</x:v>
      </x:c>
      <x:c r="D160" s="2" t="str">
        <x:v>已检索</x:v>
      </x:c>
      <x:c r="E160" s="9"/>
      <x:c r="F160" s="7" t="str">
        <x:v>最高检转载法治日报逐人事实1死2伤，按两个日期拆分；界面执行报道简写1死1伤不用于覆盖法院逐人事实。</x:v>
      </x:c>
    </x:row>
    <x:row r="161" ht="38" customHeight="1">
      <x:c r="A161" s="7" t="str">
        <x:v>"临高" "6月30日" "2023" "持刀"</x:v>
      </x:c>
      <x:c r="B161" s="7" t="str">
        <x:v>2023</x:v>
      </x:c>
      <x:c r="C161" s="7" t="str">
        <x:v>海南</x:v>
      </x:c>
      <x:c r="D161" s="2" t="str">
        <x:v>已检索</x:v>
      </x:c>
      <x:c r="E161" s="9"/>
      <x:c r="F161" s="7" t="str">
        <x:v>警方只称伤者均无生命危险，人数随机性未知。</x:v>
      </x:c>
    </x:row>
    <x:row r="162" ht="38" customHeight="1">
      <x:c r="A162" s="7" t="str">
        <x:v>廉江 2023 吴某杰 幼儿园 判决 死刑</x:v>
      </x:c>
      <x:c r="B162" s="7" t="str">
        <x:v>2023</x:v>
      </x:c>
      <x:c r="C162" s="7" t="str">
        <x:v>广东</x:v>
      </x:c>
      <x:c r="D162" s="2" t="str">
        <x:v>已检索</x:v>
      </x:c>
      <x:c r="E162" s="9"/>
      <x:c r="F162" s="7" t="str">
        <x:v>仅找到警方及教育部门确认6死1伤，随机性及后续裁判未核实。</x:v>
      </x:c>
    </x:row>
    <x:row r="163" ht="38" customHeight="1">
      <x:c r="A163" s="7" t="str">
        <x:v>罗平 2023 陈某赢 判决</x:v>
      </x:c>
      <x:c r="B163" s="7" t="str">
        <x:v>2023</x:v>
      </x:c>
      <x:c r="C163" s="7" t="str">
        <x:v>云南</x:v>
      </x:c>
      <x:c r="D163" s="2" t="str">
        <x:v>已检索</x:v>
      </x:c>
      <x:c r="E163" s="9"/>
      <x:c r="F163" s="7" t="str">
        <x:v>警方先伤母后逃窜伤8人，总2死7伤；未检出后续裁判。</x:v>
      </x:c>
    </x:row>
    <x:row r="164" ht="38" customHeight="1">
      <x:c r="A164" s="7" t="str">
        <x:v>"枣阳" "8月17日" "2023" "4人"</x:v>
      </x:c>
      <x:c r="B164" s="7" t="str">
        <x:v>2023</x:v>
      </x:c>
      <x:c r="C164" s="7" t="str">
        <x:v>湖北</x:v>
      </x:c>
      <x:c r="D164" s="2" t="str">
        <x:v>已检索</x:v>
      </x:c>
      <x:c r="E164" s="9"/>
      <x:c r="F164" s="7" t="str">
        <x:v>湖北经视目击采访4伤；独立官方或第二采访来源未检出。</x:v>
      </x:c>
    </x:row>
    <x:row r="165" ht="38" customHeight="1">
      <x:c r="A165" s="7" t="str">
        <x:v>"深圳" "2023年11月9日" "唐某" "18时"</x:v>
      </x:c>
      <x:c r="B165" s="7" t="str">
        <x:v>2023</x:v>
      </x:c>
      <x:c r="C165" s="7" t="str">
        <x:v>广东</x:v>
      </x:c>
      <x:c r="D165" s="2" t="str">
        <x:v>已检索</x:v>
      </x:c>
      <x:c r="E165" s="9"/>
      <x:c r="F165" s="7" t="str">
        <x:v>官方明确18时而非汇编20时；1死3伤，未披露随机性。</x:v>
      </x:c>
    </x:row>
    <x:row r="166" ht="38" customHeight="1">
      <x:c r="A166" s="7" t="str">
        <x:v>2023 成都 新都 同福路 12月24日 持刀</x:v>
      </x:c>
      <x:c r="B166" s="7" t="str">
        <x:v>2023</x:v>
      </x:c>
      <x:c r="C166" s="7" t="str">
        <x:v>四川</x:v>
      </x:c>
      <x:c r="D166" s="2" t="str">
        <x:v>已检索</x:v>
      </x:c>
      <x:c r="E166" s="9"/>
      <x:c r="F166" s="7" t="str">
        <x:v>官方没给伤者人数，未采信汇编5伤。</x:v>
      </x:c>
    </x:row>
    <x:row r="167" ht="38" customHeight="1">
      <x:c r="A167" s="7" t="str">
        <x:v>"2023" "青岛" "李沧" "9月23日" "持刀"</x:v>
      </x:c>
      <x:c r="B167" s="7" t="str">
        <x:v>2023</x:v>
      </x:c>
      <x:c r="C167" s="7" t="str">
        <x:v>山东</x:v>
      </x:c>
      <x:c r="D167" s="2" t="str">
        <x:v>待核</x:v>
      </x:c>
      <x:c r="E167" s="9"/>
      <x:c r="F167" s="7" t="str">
        <x:v>只命中无来源汇编的2伤说法，未形成事件入库。</x:v>
      </x:c>
    </x:row>
    <x:row r="168" ht="38" customHeight="1">
      <x:c r="A168" s="7" t="str">
        <x:v>2023 重庆 4月8日 公园 持刀 1死3伤</x:v>
      </x:c>
      <x:c r="B168" s="7" t="str">
        <x:v>2023</x:v>
      </x:c>
      <x:c r="C168" s="7" t="str">
        <x:v>重庆</x:v>
      </x:c>
      <x:c r="D168" s="2" t="str">
        <x:v>待核</x:v>
      </x:c>
      <x:c r="E168" s="9"/>
      <x:c r="F168" s="7" t="str">
        <x:v>汇编线索未找到可靠原始通报；可能日期混淆，未入事件表。</x:v>
      </x:c>
    </x:row>
    <x:row r="169" ht="38" customHeight="1">
      <x:c r="A169" s="7" t="str">
        <x:v>2023 长沙 5月6日 幼儿园 2死14伤</x:v>
      </x:c>
      <x:c r="B169" s="7" t="str">
        <x:v>2023</x:v>
      </x:c>
      <x:c r="C169" s="7" t="str">
        <x:v>湖南</x:v>
      </x:c>
      <x:c r="D169" s="2" t="str">
        <x:v>待核</x:v>
      </x:c>
      <x:c r="E169" s="9"/>
      <x:c r="F169" s="7" t="str">
        <x:v>汇编线索未找到可靠原始报道，不与另一个母女交通事故合并。</x:v>
      </x:c>
    </x:row>
    <x:row r="170" ht="38" customHeight="1">
      <x:c r="A170" s="7" t="str">
        <x:v>"2021" "福州" "随机" "伤人"</x:v>
      </x:c>
      <x:c r="B170" s="7" t="str">
        <x:v>2021</x:v>
      </x:c>
      <x:c r="C170" s="7" t="str">
        <x:v>福建</x:v>
      </x:c>
      <x:c r="D170" s="2" t="str">
        <x:v>已检索</x:v>
      </x:c>
      <x:c r="E170" s="9"/>
      <x:c r="F170" s="7" t="str">
        <x:v>未检出可新增可靠事件，检索主要噪声为随机试验等。</x:v>
      </x:c>
    </x:row>
    <x:row r="171" ht="38" customHeight="1">
      <x:c r="A171" s="7" t="str">
        <x:v>"2022" "公交" "纵火" "刑"；"2021" "2022" "2023" "公交车纵火"</x:v>
      </x:c>
      <x:c r="B171" s="7" t="str">
        <x:v>2021；2022；2023</x:v>
      </x:c>
      <x:c r="C171" s="7" t="str">
        <x:v>全国</x:v>
      </x:c>
      <x:c r="D171" s="2" t="str">
        <x:v>已检索</x:v>
      </x:c>
      <x:c r="E171" s="9"/>
      <x:c r="F171" s="7" t="str">
        <x:v>检出旧年公交纵火和小说，不以网页更新时间当案发年份。</x:v>
      </x:c>
    </x:row>
    <x:row r="172" ht="38" customHeight="1">
      <x:c r="A172" s="7" t="str">
        <x:v>"2021" "随机伤人" "法院"；"2022" "随机伤人" "法院"；"2023" "随机伤人" "法院"</x:v>
      </x:c>
      <x:c r="B172" s="7" t="str">
        <x:v>2021；2022；2023</x:v>
      </x:c>
      <x:c r="C172" s="7" t="str">
        <x:v>全国</x:v>
      </x:c>
      <x:c r="D172" s="2" t="str">
        <x:v>已检索</x:v>
      </x:c>
      <x:c r="E172" s="9"/>
      <x:c r="F172" s="7" t="str">
        <x:v>多数结果为境外案件或不相关判决；不纳入中国大陆样本。</x:v>
      </x:c>
    </x:row>
    <x:row r="173" ht="38" customHeight="1">
      <x:c r="A173" s="7" t="str">
        <x:v>正文访问：搜狐青岛判决转载、人民日报若干HTTPS、最高检长春转载、凤凰清溪等</x:v>
      </x:c>
      <x:c r="B173" s="7" t="str">
        <x:v>2021；2022；2023</x:v>
      </x:c>
      <x:c r="C173" s="7" t="str">
        <x:v>全国</x:v>
      </x:c>
      <x:c r="D173" s="2" t="str">
        <x:v>访问失败</x:v>
      </x:c>
      <x:c r="E173" s="9"/>
      <x:c r="F173" s="7" t="str">
        <x:v>web.open多次Cache miss或SSL错误；随后对同一公开页面用普通HTTP读取并解析正文，成功者用于核实；青岛改用新浪紫牛全文。</x:v>
      </x:c>
    </x:row>
    <x:row r="174" ht="38" customHeight="1">
      <x:c r="A174" s="7" t="str">
        <x:v>星岛2026福建案 https://www.stheadline.com/zh-hans/realtime-china/3560896/</x:v>
      </x:c>
      <x:c r="B174" s="7" t="str">
        <x:v>2022</x:v>
      </x:c>
      <x:c r="C174" s="7" t="str">
        <x:v>福建</x:v>
      </x:c>
      <x:c r="D174" s="2" t="str">
        <x:v>访问失败</x:v>
      </x:c>
      <x:c r="E174" s="9"/>
      <x:c r="F174" s="7" t="str">
        <x:v>该入口访问失败；找到新晚报2026-04-07完整判决报道，已核实替代来源。</x:v>
      </x:c>
    </x:row>
    <x:row r="175" ht="38" customHeight="1">
      <x:c r="A175" s="7" t="str">
        <x:v>2024 随机伤人 持刀 驾车 事件 通报 汇总</x:v>
      </x:c>
      <x:c r="B175" s="7" t="str">
        <x:v>2024；2025；2026</x:v>
      </x:c>
      <x:c r="C175" s="7" t="str">
        <x:v>全国</x:v>
      </x:c>
      <x:c r="D175" s="2" t="str">
        <x:v>已检索</x:v>
      </x:c>
      <x:c r="E175" s="9"/>
      <x:c r="F175" s="7" t="str">
        <x:v>全国宽泛发现检索；后续逐案打开核验。</x:v>
      </x:c>
    </x:row>
    <x:row r="176" ht="38" customHeight="1">
      <x:c r="A176" s="7" t="str">
        <x:v>2025 随机伤人 持刀 驾车 事件 警方 通报</x:v>
      </x:c>
      <x:c r="B176" s="7" t="str">
        <x:v>2024；2025；2026</x:v>
      </x:c>
      <x:c r="C176" s="7" t="str">
        <x:v>全国</x:v>
      </x:c>
      <x:c r="D176" s="2" t="str">
        <x:v>已检索</x:v>
      </x:c>
      <x:c r="E176" s="9"/>
      <x:c r="F176" s="7" t="str">
        <x:v>全国宽泛发现检索；后续逐案打开核验。</x:v>
      </x:c>
    </x:row>
    <x:row r="177" ht="38" customHeight="1">
      <x:c r="A177" s="7" t="str">
        <x:v>2026 随机伤人 持刀 驾车 事件 警方 通报</x:v>
      </x:c>
      <x:c r="B177" s="7" t="str">
        <x:v>2024；2025；2026</x:v>
      </x:c>
      <x:c r="C177" s="7" t="str">
        <x:v>全国</x:v>
      </x:c>
      <x:c r="D177" s="2" t="str">
        <x:v>已检索</x:v>
      </x:c>
      <x:c r="E177" s="9"/>
      <x:c r="F177" s="7" t="str">
        <x:v>全国宽泛发现检索；后续逐案打开核验。</x:v>
      </x:c>
    </x:row>
    <x:row r="178" ht="38" customHeight="1">
      <x:c r="A178" s="7" t="str">
        <x:v>2024 报复社会 袭击 案件 判决 2025</x:v>
      </x:c>
      <x:c r="B178" s="7" t="str">
        <x:v>2024；2025；2026</x:v>
      </x:c>
      <x:c r="C178" s="7" t="str">
        <x:v>全国</x:v>
      </x:c>
      <x:c r="D178" s="2" t="str">
        <x:v>已检索</x:v>
      </x:c>
      <x:c r="E178" s="9"/>
      <x:c r="F178" s="7" t="str">
        <x:v>全国宽泛发现检索；后续逐案打开核验。</x:v>
      </x:c>
    </x:row>
    <x:row r="179" ht="38" customHeight="1">
      <x:c r="A179" s="7" t="str">
        <x:v>2025 中国 持刀 伤人 警方通报</x:v>
      </x:c>
      <x:c r="B179" s="7" t="str">
        <x:v>2025；2026</x:v>
      </x:c>
      <x:c r="C179" s="7" t="str">
        <x:v>全国</x:v>
      </x:c>
      <x:c r="D179" s="2" t="str">
        <x:v>已检索</x:v>
      </x:c>
      <x:c r="E179" s="9"/>
      <x:c r="F179" s="7" t="str">
        <x:v>中英文近期发现检索。</x:v>
      </x:c>
    </x:row>
    <x:row r="180" ht="38" customHeight="1">
      <x:c r="A180" s="7" t="str">
        <x:v>2026 中国 持刀 伤人 警方通报</x:v>
      </x:c>
      <x:c r="B180" s="7" t="str">
        <x:v>2025；2026</x:v>
      </x:c>
      <x:c r="C180" s="7" t="str">
        <x:v>全国</x:v>
      </x:c>
      <x:c r="D180" s="2" t="str">
        <x:v>已检索</x:v>
      </x:c>
      <x:c r="E180" s="9"/>
      <x:c r="F180" s="7" t="str">
        <x:v>中英文近期发现检索。</x:v>
      </x:c>
    </x:row>
    <x:row r="181" ht="38" customHeight="1">
      <x:c r="A181" s="7" t="str">
        <x:v>2025 China stabbing attack car rammed crowds police</x:v>
      </x:c>
      <x:c r="B181" s="7" t="str">
        <x:v>2025；2026</x:v>
      </x:c>
      <x:c r="C181" s="7" t="str">
        <x:v>全国</x:v>
      </x:c>
      <x:c r="D181" s="2" t="str">
        <x:v>已检索</x:v>
      </x:c>
      <x:c r="E181" s="9"/>
      <x:c r="F181" s="7" t="str">
        <x:v>中英文近期发现检索。</x:v>
      </x:c>
    </x:row>
    <x:row r="182" ht="38" customHeight="1">
      <x:c r="A182" s="7" t="str">
        <x:v>2026 China stabbing attack car rammed crowds police</x:v>
      </x:c>
      <x:c r="B182" s="7" t="str">
        <x:v>2025；2026</x:v>
      </x:c>
      <x:c r="C182" s="7" t="str">
        <x:v>全国</x:v>
      </x:c>
      <x:c r="D182" s="2" t="str">
        <x:v>已检索</x:v>
      </x:c>
      <x:c r="E182" s="9"/>
      <x:c r="F182" s="7" t="str">
        <x:v>中英文近期发现检索。</x:v>
      </x:c>
    </x:row>
    <x:row r="183" ht="38" customHeight="1">
      <x:c r="A183" s="7" t="str">
        <x:v>樊维秋 判决 35 45 2024 12 27</x:v>
      </x:c>
      <x:c r="B183" s="7" t="str">
        <x:v>2024；2025；2026</x:v>
      </x:c>
      <x:c r="C183" s="7" t="str">
        <x:v>广东；江苏；湖南；上海</x:v>
      </x:c>
      <x:c r="D183" s="2" t="str">
        <x:v>已检索</x:v>
      </x:c>
      <x:c r="E183" s="9"/>
      <x:c r="F183" s="7" t="str">
        <x:v>案件判决与伤亡修订检索。</x:v>
      </x:c>
    </x:row>
    <x:row r="184" ht="38" customHeight="1">
      <x:c r="A184" s="7" t="str">
        <x:v>徐加金 2024 12 17 判决 动机</x:v>
      </x:c>
      <x:c r="B184" s="7" t="str">
        <x:v>2024；2025；2026</x:v>
      </x:c>
      <x:c r="C184" s="7" t="str">
        <x:v>广东；江苏；湖南；上海</x:v>
      </x:c>
      <x:c r="D184" s="2" t="str">
        <x:v>已检索</x:v>
      </x:c>
      <x:c r="E184" s="9"/>
      <x:c r="F184" s="7" t="str">
        <x:v>案件判决与伤亡修订检索。</x:v>
      </x:c>
    </x:row>
    <x:row r="185" ht="38" customHeight="1">
      <x:c r="A185" s="7" t="str">
        <x:v>黄文 常德 2024 12 23 判决 30</x:v>
      </x:c>
      <x:c r="B185" s="7" t="str">
        <x:v>2024；2025；2026</x:v>
      </x:c>
      <x:c r="C185" s="7" t="str">
        <x:v>广东；江苏；湖南；上海</x:v>
      </x:c>
      <x:c r="D185" s="2" t="str">
        <x:v>已检索</x:v>
      </x:c>
      <x:c r="E185" s="9"/>
      <x:c r="F185" s="7" t="str">
        <x:v>案件判决与伤亡修订检索。</x:v>
      </x:c>
    </x:row>
    <x:row r="186" ht="38" customHeight="1">
      <x:c r="A186" s="7" t="str">
        <x:v>上海 林卫虎 2024 9 30 判决</x:v>
      </x:c>
      <x:c r="B186" s="7" t="str">
        <x:v>2024；2025；2026</x:v>
      </x:c>
      <x:c r="C186" s="7" t="str">
        <x:v>广东；江苏；湖南；上海</x:v>
      </x:c>
      <x:c r="D186" s="2" t="str">
        <x:v>已检索</x:v>
      </x:c>
      <x:c r="E186" s="9"/>
      <x:c r="F186" s="7" t="str">
        <x:v>案件判决与伤亡修订检索。</x:v>
      </x:c>
    </x:row>
    <x:row r="187" ht="38" customHeight="1">
      <x:c r="A187" s="7" t="str">
        <x:v>珠海 樊维秋 执行死刑 35 43 2025 1 20</x:v>
      </x:c>
      <x:c r="B187" s="7" t="str">
        <x:v>2024；2025；2026</x:v>
      </x:c>
      <x:c r="C187" s="7" t="str">
        <x:v>广东；江苏；山东；浙江</x:v>
      </x:c>
      <x:c r="D187" s="2" t="str">
        <x:v>已检索</x:v>
      </x:c>
      <x:c r="E187" s="9"/>
      <x:c r="F187" s="7" t="str">
        <x:v>官方案情及法院后续检索。</x:v>
      </x:c>
    </x:row>
    <x:row r="188" ht="38" customHeight="1">
      <x:c r="A188" s="7" t="str">
        <x:v>宜兴 2024 11 16 徐某金 考试 实习报酬</x:v>
      </x:c>
      <x:c r="B188" s="7" t="str">
        <x:v>2024；2025；2026</x:v>
      </x:c>
      <x:c r="C188" s="7" t="str">
        <x:v>广东；江苏；山东；浙江</x:v>
      </x:c>
      <x:c r="D188" s="2" t="str">
        <x:v>已检索</x:v>
      </x:c>
      <x:c r="E188" s="9"/>
      <x:c r="F188" s="7" t="str">
        <x:v>官方案情及法院后续检索。</x:v>
      </x:c>
    </x:row>
    <x:row r="189" ht="38" customHeight="1">
      <x:c r="A189" s="7" t="str">
        <x:v>德州 2024 3 1 王某涛 判决</x:v>
      </x:c>
      <x:c r="B189" s="7" t="str">
        <x:v>2024；2025；2026</x:v>
      </x:c>
      <x:c r="C189" s="7" t="str">
        <x:v>广东；江苏；山东；浙江</x:v>
      </x:c>
      <x:c r="D189" s="2" t="str">
        <x:v>已检索</x:v>
      </x:c>
      <x:c r="E189" s="9"/>
      <x:c r="F189" s="7" t="str">
        <x:v>官方案情及法院后续检索。</x:v>
      </x:c>
    </x:row>
    <x:row r="190" ht="38" customHeight="1">
      <x:c r="A190" s="7" t="str">
        <x:v>台州职业技术学院 张某某 2024 3 19 判决 故意</x:v>
      </x:c>
      <x:c r="B190" s="7" t="str">
        <x:v>2024；2025；2026</x:v>
      </x:c>
      <x:c r="C190" s="7" t="str">
        <x:v>广东；江苏；山东；浙江</x:v>
      </x:c>
      <x:c r="D190" s="2" t="str">
        <x:v>已检索</x:v>
      </x:c>
      <x:c r="E190" s="9"/>
      <x:c r="F190" s="7" t="str">
        <x:v>官方案情及法院后续检索。</x:v>
      </x:c>
    </x:row>
    <x:row r="191" ht="38" customHeight="1">
      <x:c r="A191" s="7" t="str">
        <x:v>樊维秋 被执行死刑 site:news.cn</x:v>
      </x:c>
      <x:c r="B191" s="7" t="str">
        <x:v>2024；2025；2026</x:v>
      </x:c>
      <x:c r="C191" s="7" t="str">
        <x:v>广东；江苏；山东；浙江</x:v>
      </x:c>
      <x:c r="D191" s="2" t="str">
        <x:v>已检索</x:v>
      </x:c>
      <x:c r="E191" s="9"/>
      <x:c r="F191" s="7" t="str">
        <x:v>查找原始警情与裁判后续；同名判决不直接匹配。</x:v>
      </x:c>
    </x:row>
    <x:row r="192" ht="38" customHeight="1">
      <x:c r="A192" s="7" t="str">
        <x:v>宜兴 无锡 工艺 2024 11 16 警情通报 实习报酬 site:thepaper.cn</x:v>
      </x:c>
      <x:c r="B192" s="7" t="str">
        <x:v>2024；2025；2026</x:v>
      </x:c>
      <x:c r="C192" s="7" t="str">
        <x:v>广东；江苏；山东；浙江</x:v>
      </x:c>
      <x:c r="D192" s="2" t="str">
        <x:v>已检索</x:v>
      </x:c>
      <x:c r="E192" s="9"/>
      <x:c r="F192" s="7" t="str">
        <x:v>查找原始警情与裁判后续；同名判决不直接匹配。</x:v>
      </x:c>
    </x:row>
    <x:row r="193" ht="38" customHeight="1">
      <x:c r="A193" s="7" t="str">
        <x:v>德州 2024 3 1 警情通报 2 6 site:news.cn</x:v>
      </x:c>
      <x:c r="B193" s="7" t="str">
        <x:v>2024；2025；2026</x:v>
      </x:c>
      <x:c r="C193" s="7" t="str">
        <x:v>广东；江苏；山东；浙江</x:v>
      </x:c>
      <x:c r="D193" s="2" t="str">
        <x:v>已检索</x:v>
      </x:c>
      <x:c r="E193" s="9"/>
      <x:c r="F193" s="7" t="str">
        <x:v>查找原始警情与裁判后续；同名判决不直接匹配。</x:v>
      </x:c>
    </x:row>
    <x:row r="194" ht="38" customHeight="1">
      <x:c r="A194" s="7" t="str">
        <x:v>台州职业技术学院 张凯翔 危害公共安全 判决</x:v>
      </x:c>
      <x:c r="B194" s="7" t="str">
        <x:v>2024；2025；2026</x:v>
      </x:c>
      <x:c r="C194" s="7" t="str">
        <x:v>广东；江苏；山东；浙江</x:v>
      </x:c>
      <x:c r="D194" s="2" t="str">
        <x:v>已检索</x:v>
      </x:c>
      <x:c r="E194" s="9"/>
      <x:c r="F194" s="7" t="str">
        <x:v>查找原始警情与裁判后续；同名判决不直接匹配。</x:v>
      </x:c>
    </x:row>
    <x:row r="195" ht="38" customHeight="1">
      <x:c r="A195" s="7" t="str">
        <x:v>镇雄 医院 李伟 2024 5 7 判决 原因</x:v>
      </x:c>
      <x:c r="B195" s="7" t="str">
        <x:v>2024；2025；2026</x:v>
      </x:c>
      <x:c r="C195" s="7" t="str">
        <x:v>云南；江西；湖南</x:v>
      </x:c>
      <x:c r="D195" s="2" t="str">
        <x:v>已检索</x:v>
      </x:c>
      <x:c r="E195" s="9"/>
      <x:c r="F195" s="7" t="str">
        <x:v>逐案动机、对象与后续核查。</x:v>
      </x:c>
    </x:row>
    <x:row r="196" ht="38" customHeight="1">
      <x:c r="A196" s="7" t="str">
        <x:v>贵溪 潘某某 2024 5 20 判决 动机</x:v>
      </x:c>
      <x:c r="B196" s="7" t="str">
        <x:v>2024；2025；2026</x:v>
      </x:c>
      <x:c r="C196" s="7" t="str">
        <x:v>云南；江西；湖南</x:v>
      </x:c>
      <x:c r="D196" s="2" t="str">
        <x:v>已检索</x:v>
      </x:c>
      <x:c r="E196" s="9"/>
      <x:c r="F196" s="7" t="str">
        <x:v>逐案动机、对象与后续核查。</x:v>
      </x:c>
    </x:row>
    <x:row r="197" ht="38" customHeight="1">
      <x:c r="A197" s="7" t="str">
        <x:v>郴州 石榴湾 黄某朋 2024 5 20 通报</x:v>
      </x:c>
      <x:c r="B197" s="7" t="str">
        <x:v>2024；2025；2026</x:v>
      </x:c>
      <x:c r="C197" s="7" t="str">
        <x:v>云南；江西；湖南</x:v>
      </x:c>
      <x:c r="D197" s="2" t="str">
        <x:v>已检索</x:v>
      </x:c>
      <x:c r="E197" s="9"/>
      <x:c r="F197" s="7" t="str">
        <x:v>逐案动机、对象与后续核查。</x:v>
      </x:c>
    </x:row>
    <x:row r="198" ht="38" customHeight="1">
      <x:c r="A198" s="7" t="str">
        <x:v>祁东 三友小学 2024 3 4 嫌疑人 通报</x:v>
      </x:c>
      <x:c r="B198" s="7" t="str">
        <x:v>2024；2025；2026</x:v>
      </x:c>
      <x:c r="C198" s="7" t="str">
        <x:v>云南；江西；湖南</x:v>
      </x:c>
      <x:c r="D198" s="2" t="str">
        <x:v>已检索</x:v>
      </x:c>
      <x:c r="E198" s="9"/>
      <x:c r="F198" s="7" t="str">
        <x:v>逐案动机、对象与后续核查。</x:v>
      </x:c>
    </x:row>
    <x:row r="199" ht="38" customHeight="1">
      <x:c r="A199" s="7" t="str">
        <x:v>"镇雄" "无差别" "2024" 医院</x:v>
      </x:c>
      <x:c r="B199" s="7" t="str">
        <x:v>2024；2025；2026</x:v>
      </x:c>
      <x:c r="C199" s="7" t="str">
        <x:v>云南；湖南；浙江</x:v>
      </x:c>
      <x:c r="D199" s="2" t="str">
        <x:v>已检索</x:v>
      </x:c>
      <x:c r="E199" s="9"/>
      <x:c r="F199" s="7" t="str">
        <x:v>补充随机性及完整通报依据。</x:v>
      </x:c>
    </x:row>
    <x:row r="200" ht="38" customHeight="1">
      <x:c r="A200" s="7" t="str">
        <x:v>"三友小学" "3月4日" 2024</x:v>
      </x:c>
      <x:c r="B200" s="7" t="str">
        <x:v>2024；2025；2026</x:v>
      </x:c>
      <x:c r="C200" s="7" t="str">
        <x:v>云南；湖南；浙江</x:v>
      </x:c>
      <x:c r="D200" s="2" t="str">
        <x:v>已检索</x:v>
      </x:c>
      <x:c r="E200" s="9"/>
      <x:c r="F200" s="7" t="str">
        <x:v>补充随机性及完整通报依据。</x:v>
      </x:c>
    </x:row>
    <x:row r="201" ht="38" customHeight="1">
      <x:c r="A201" s="7" t="str">
        <x:v>"苏仙" "黄某朋" "2024"</x:v>
      </x:c>
      <x:c r="B201" s="7" t="str">
        <x:v>2024；2025；2026</x:v>
      </x:c>
      <x:c r="C201" s="7" t="str">
        <x:v>云南；湖南；浙江</x:v>
      </x:c>
      <x:c r="D201" s="2" t="str">
        <x:v>已检索</x:v>
      </x:c>
      <x:c r="E201" s="9"/>
      <x:c r="F201" s="7" t="str">
        <x:v>补充随机性及完整通报依据。</x:v>
      </x:c>
    </x:row>
    <x:row r="202" ht="38" customHeight="1">
      <x:c r="A202" s="7" t="str">
        <x:v>"台州职业技术学院" "3人死亡" "16人" "公安"</x:v>
      </x:c>
      <x:c r="B202" s="7" t="str">
        <x:v>2024；2025；2026</x:v>
      </x:c>
      <x:c r="C202" s="7" t="str">
        <x:v>云南；湖南；浙江</x:v>
      </x:c>
      <x:c r="D202" s="2" t="str">
        <x:v>已检索</x:v>
      </x:c>
      <x:c r="E202" s="9"/>
      <x:c r="F202" s="7" t="str">
        <x:v>补充随机性及完整通报依据。</x:v>
      </x:c>
    </x:row>
    <x:row r="203" ht="38" customHeight="1">
      <x:c r="A203" s="7" t="str">
        <x:v>2024 "北山公园" "崔某" 通报</x:v>
      </x:c>
      <x:c r="B203" s="7" t="str">
        <x:v>2024；2025；2026</x:v>
      </x:c>
      <x:c r="C203" s="7" t="str">
        <x:v>吉林；上海；江苏；广东；云南</x:v>
      </x:c>
      <x:c r="D203" s="2" t="str">
        <x:v>已检索</x:v>
      </x:c>
      <x:c r="E203" s="9"/>
      <x:c r="F203" s="7" t="str">
        <x:v>案件事实、对象关系及裁判检索。</x:v>
      </x:c>
    </x:row>
    <x:row r="204" ht="38" customHeight="1">
      <x:c r="A204" s="7" t="str">
        <x:v>2024 "合川路" "持刀" 通报</x:v>
      </x:c>
      <x:c r="B204" s="7" t="str">
        <x:v>2024；2025；2026</x:v>
      </x:c>
      <x:c r="C204" s="7" t="str">
        <x:v>吉林；上海；江苏；广东；云南</x:v>
      </x:c>
      <x:c r="D204" s="2" t="str">
        <x:v>已检索</x:v>
      </x:c>
      <x:c r="E204" s="9"/>
      <x:c r="F204" s="7" t="str">
        <x:v>案件事实、对象关系及裁判检索。</x:v>
      </x:c>
    </x:row>
    <x:row r="205" ht="38" customHeight="1">
      <x:c r="A205" s="7" t="str">
        <x:v>2025 "周加胜" "钟长春" 判决 执行</x:v>
      </x:c>
      <x:c r="B205" s="7" t="str">
        <x:v>2024；2025；2026</x:v>
      </x:c>
      <x:c r="C205" s="7" t="str">
        <x:v>吉林；上海；江苏；广东；云南</x:v>
      </x:c>
      <x:c r="D205" s="2" t="str">
        <x:v>已检索</x:v>
      </x:c>
      <x:c r="E205" s="9"/>
      <x:c r="F205" s="7" t="str">
        <x:v>案件事实、对象关系及裁判检索。</x:v>
      </x:c>
    </x:row>
    <x:row r="206" ht="38" customHeight="1">
      <x:c r="A206" s="7" t="str">
        <x:v>"2024" "镇雄" "随机" "澎湃"</x:v>
      </x:c>
      <x:c r="B206" s="7" t="str">
        <x:v>2024；2025；2026</x:v>
      </x:c>
      <x:c r="C206" s="7" t="str">
        <x:v>吉林；上海；江苏；广东；云南</x:v>
      </x:c>
      <x:c r="D206" s="2" t="str">
        <x:v>已检索</x:v>
      </x:c>
      <x:c r="E206" s="9"/>
      <x:c r="F206" s="7" t="str">
        <x:v>案件事实、对象关系及裁判检索。</x:v>
      </x:c>
    </x:row>
    <x:row r="207" ht="38" customHeight="1">
      <x:c r="A207" s="7" t="str">
        <x:v>"吉林市警方通报北山公园伤人案件"</x:v>
      </x:c>
      <x:c r="B207" s="7" t="str">
        <x:v>2024；2025；2026</x:v>
      </x:c>
      <x:c r="C207" s="7" t="str">
        <x:v>吉林；上海；江苏；广东</x:v>
      </x:c>
      <x:c r="D207" s="2" t="str">
        <x:v>已检索</x:v>
      </x:c>
      <x:c r="E207" s="9"/>
      <x:c r="F207" s="7" t="str">
        <x:v>原通报及执行死刑后续检索。</x:v>
      </x:c>
    </x:row>
    <x:row r="208" ht="38" customHeight="1">
      <x:c r="A208" s="7" t="str">
        <x:v>"上海地铁合川路站54岁男子持刀伤3人"</x:v>
      </x:c>
      <x:c r="B208" s="7" t="str">
        <x:v>2024；2025；2026</x:v>
      </x:c>
      <x:c r="C208" s="7" t="str">
        <x:v>吉林；上海；江苏；广东</x:v>
      </x:c>
      <x:c r="D208" s="2" t="str">
        <x:v>已检索</x:v>
      </x:c>
      <x:c r="E208" s="9"/>
      <x:c r="F208" s="7" t="str">
        <x:v>原通报及执行死刑后续检索。</x:v>
      </x:c>
    </x:row>
    <x:row r="209" ht="38" customHeight="1">
      <x:c r="A209" s="7" t="str">
        <x:v>"周加胜" "执行死刑"</x:v>
      </x:c>
      <x:c r="B209" s="7" t="str">
        <x:v>2024；2025；2026</x:v>
      </x:c>
      <x:c r="C209" s="7" t="str">
        <x:v>吉林；上海；江苏；广东</x:v>
      </x:c>
      <x:c r="D209" s="2" t="str">
        <x:v>已检索</x:v>
      </x:c>
      <x:c r="E209" s="9"/>
      <x:c r="F209" s="7" t="str">
        <x:v>原通报及执行死刑后续检索。</x:v>
      </x:c>
    </x:row>
    <x:row r="210" ht="38" customHeight="1">
      <x:c r="A210" s="7" t="str">
        <x:v>"钟长春" "执行死刑"</x:v>
      </x:c>
      <x:c r="B210" s="7" t="str">
        <x:v>2024；2025；2026</x:v>
      </x:c>
      <x:c r="C210" s="7" t="str">
        <x:v>吉林；上海；江苏；广东</x:v>
      </x:c>
      <x:c r="D210" s="2" t="str">
        <x:v>已检索</x:v>
      </x:c>
      <x:c r="E210" s="9"/>
      <x:c r="F210" s="7" t="str">
        <x:v>原通报及执行死刑后续检索。</x:v>
      </x:c>
    </x:row>
    <x:row r="211" ht="38" customHeight="1">
      <x:c r="A211" s="7" t="str">
        <x:v>Suzhou Shenzhen Japanese attacks executed April 2025 Zhou Zhong Reuters</x:v>
      </x:c>
      <x:c r="B211" s="7" t="str">
        <x:v>2024；2025</x:v>
      </x:c>
      <x:c r="C211" s="7" t="str">
        <x:v>江苏；广东；吉林；湖南</x:v>
      </x:c>
      <x:c r="D211" s="2" t="str">
        <x:v>已检索</x:v>
      </x:c>
      <x:c r="E211" s="9"/>
      <x:c r="F211" s="7" t="str">
        <x:v>使用外事官方资料补充涉及外籍受害者案件后续。</x:v>
      </x:c>
    </x:row>
    <x:row r="212" ht="38" customHeight="1">
      <x:c r="A212" s="7" t="str">
        <x:v>site:mofa.go.jp 蘇州 深圳 死刑 2025</x:v>
      </x:c>
      <x:c r="B212" s="7" t="str">
        <x:v>2024；2025</x:v>
      </x:c>
      <x:c r="C212" s="7" t="str">
        <x:v>江苏；广东；吉林；湖南</x:v>
      </x:c>
      <x:c r="D212" s="2" t="str">
        <x:v>已检索</x:v>
      </x:c>
      <x:c r="E212" s="9"/>
      <x:c r="F212" s="7" t="str">
        <x:v>使用外事官方资料补充涉及外籍受害者案件后续。</x:v>
      </x:c>
    </x:row>
    <x:row r="213" ht="38" customHeight="1">
      <x:c r="A213" s="7" t="str">
        <x:v>"北山公园" "2024-06-11" site:cctv.com</x:v>
      </x:c>
      <x:c r="B213" s="7" t="str">
        <x:v>2024；2025</x:v>
      </x:c>
      <x:c r="C213" s="7" t="str">
        <x:v>江苏；广东；吉林；湖南</x:v>
      </x:c>
      <x:c r="D213" s="2" t="str">
        <x:v>已检索</x:v>
      </x:c>
      <x:c r="E213" s="9"/>
      <x:c r="F213" s="7" t="str">
        <x:v>使用外事官方资料补充涉及外籍受害者案件后续。</x:v>
      </x:c>
    </x:row>
    <x:row r="214" ht="38" customHeight="1">
      <x:c r="A214" s="7" t="str">
        <x:v>"祁东" "三友小学" "顶端"</x:v>
      </x:c>
      <x:c r="B214" s="7" t="str">
        <x:v>2024；2025</x:v>
      </x:c>
      <x:c r="C214" s="7" t="str">
        <x:v>江苏；广东；吉林；湖南</x:v>
      </x:c>
      <x:c r="D214" s="2" t="str">
        <x:v>已检索</x:v>
      </x:c>
      <x:c r="E214" s="9"/>
      <x:c r="F214" s="7" t="str">
        <x:v>使用外事官方资料补充涉及外籍受害者案件后续。</x:v>
      </x:c>
    </x:row>
    <x:row r="215" ht="38" customHeight="1">
      <x:c r="A215" s="7" t="str">
        <x:v>北山公园 刺伤 五人 央视</x:v>
      </x:c>
      <x:c r="B215" s="7" t="str">
        <x:v>2024</x:v>
      </x:c>
      <x:c r="C215" s="7" t="str">
        <x:v>吉林；湖南；江苏；广东</x:v>
      </x:c>
      <x:c r="D215" s="2" t="str">
        <x:v>已检索</x:v>
      </x:c>
      <x:c r="E215" s="9"/>
      <x:c r="F215" s="7" t="str">
        <x:v>通报正文补查。</x:v>
      </x:c>
    </x:row>
    <x:row r="216" ht="38" customHeight="1">
      <x:c r="A216" s="7" t="str">
        <x:v>苏仙 公园 3死2伤 2024 央视</x:v>
      </x:c>
      <x:c r="B216" s="7" t="str">
        <x:v>2024</x:v>
      </x:c>
      <x:c r="C216" s="7" t="str">
        <x:v>吉林；湖南；江苏；广东</x:v>
      </x:c>
      <x:c r="D216" s="2" t="str">
        <x:v>已检索</x:v>
      </x:c>
      <x:c r="E216" s="9"/>
      <x:c r="F216" s="7" t="str">
        <x:v>通报正文补查。</x:v>
      </x:c>
    </x:row>
    <x:row r="217" ht="38" customHeight="1">
      <x:c r="A217" s="7" t="str">
        <x:v>苏州 日本母子 [校车工作人员姓名略] 6月24日 通报</x:v>
      </x:c>
      <x:c r="B217" s="7" t="str">
        <x:v>2024</x:v>
      </x:c>
      <x:c r="C217" s="7" t="str">
        <x:v>吉林；湖南；江苏；广东</x:v>
      </x:c>
      <x:c r="D217" s="2" t="str">
        <x:v>已检索</x:v>
      </x:c>
      <x:c r="E217" s="9"/>
      <x:c r="F217" s="7" t="str">
        <x:v>通报正文补查。</x:v>
      </x:c>
    </x:row>
    <x:row r="218" ht="38" customHeight="1">
      <x:c r="A218" s="7" t="str">
        <x:v>深圳 日本人学校 男童 2024 9 19 通报</x:v>
      </x:c>
      <x:c r="B218" s="7" t="str">
        <x:v>2024</x:v>
      </x:c>
      <x:c r="C218" s="7" t="str">
        <x:v>吉林；湖南；江苏；广东</x:v>
      </x:c>
      <x:c r="D218" s="2" t="str">
        <x:v>已检索</x:v>
      </x:c>
      <x:c r="E218" s="9"/>
      <x:c r="F218" s="7" t="str">
        <x:v>通报正文补查。</x:v>
      </x:c>
    </x:row>
    <x:row r="219" ht="38" customHeight="1">
      <x:c r="A219" s="7" t="str">
        <x:v>吉林 北山 公园 刺伤 通报 2024</x:v>
      </x:c>
      <x:c r="B219" s="7" t="str">
        <x:v>2024</x:v>
      </x:c>
      <x:c r="C219" s="7" t="str">
        <x:v>全国</x:v>
      </x:c>
      <x:c r="D219" s="2" t="str">
        <x:v>已检索</x:v>
      </x:c>
      <x:c r="E219" s="9"/>
      <x:c r="F219" s="7" t="str">
        <x:v>逐案补查。</x:v>
      </x:c>
    </x:row>
    <x:row r="220" ht="38" customHeight="1">
      <x:c r="A220" s="7" t="str">
        <x:v>郴州 苏仙 公园 黄某朋 2024</x:v>
      </x:c>
      <x:c r="B220" s="7" t="str">
        <x:v>2024</x:v>
      </x:c>
      <x:c r="C220" s="7" t="str">
        <x:v>全国</x:v>
      </x:c>
      <x:c r="D220" s="2" t="str">
        <x:v>已检索</x:v>
      </x:c>
      <x:c r="E220" s="9"/>
      <x:c r="F220" s="7" t="str">
        <x:v>逐案补查。</x:v>
      </x:c>
    </x:row>
    <x:row r="221" ht="38" customHeight="1">
      <x:c r="A221" s="7" t="str">
        <x:v>苏州 6月24日 [校车工作人员姓名略] 通报 2024</x:v>
      </x:c>
      <x:c r="B221" s="7" t="str">
        <x:v>2024</x:v>
      </x:c>
      <x:c r="C221" s="7" t="str">
        <x:v>全国</x:v>
      </x:c>
      <x:c r="D221" s="2" t="str">
        <x:v>已检索</x:v>
      </x:c>
      <x:c r="E221" s="9"/>
      <x:c r="F221" s="7" t="str">
        <x:v>逐案补查。</x:v>
      </x:c>
    </x:row>
    <x:row r="222" ht="38" customHeight="1">
      <x:c r="A222" s="7" t="str">
        <x:v>广州 天河 10月8日 60岁 北京 10月28日 50岁 2024 持刀</x:v>
      </x:c>
      <x:c r="B222" s="7" t="str">
        <x:v>2024</x:v>
      </x:c>
      <x:c r="C222" s="7" t="str">
        <x:v>全国</x:v>
      </x:c>
      <x:c r="D222" s="2" t="str">
        <x:v>已检索</x:v>
      </x:c>
      <x:c r="E222" s="9"/>
      <x:c r="F222" s="7" t="str">
        <x:v>逐案补查。</x:v>
      </x:c>
    </x:row>
    <x:row r="223" ht="38" customHeight="1">
      <x:c r="A223" s="7" t="str">
        <x:v>北京 海淀 10月28日 50岁 持刀 2024</x:v>
      </x:c>
      <x:c r="B223" s="7" t="str">
        <x:v>2024</x:v>
      </x:c>
      <x:c r="C223" s="7" t="str">
        <x:v>北京；四川；湖南；广东</x:v>
      </x:c>
      <x:c r="D223" s="2" t="str">
        <x:v>已检索</x:v>
      </x:c>
      <x:c r="E223" s="9"/>
      <x:c r="F223" s="7" t="str">
        <x:v>逐案核实伤亡和非定向袭击特征。</x:v>
      </x:c>
    </x:row>
    <x:row r="224" ht="38" customHeight="1">
      <x:c r="A224" s="7" t="str">
        <x:v>成都 2024 12月10日 曲某某 剪刀 3人</x:v>
      </x:c>
      <x:c r="B224" s="7" t="str">
        <x:v>2024</x:v>
      </x:c>
      <x:c r="C224" s="7" t="str">
        <x:v>北京；四川；湖南；广东</x:v>
      </x:c>
      <x:c r="D224" s="2" t="str">
        <x:v>已检索</x:v>
      </x:c>
      <x:c r="E224" s="9"/>
      <x:c r="F224" s="7" t="str">
        <x:v>逐案核实伤亡和非定向袭击特征。</x:v>
      </x:c>
    </x:row>
    <x:row r="225" ht="38" customHeight="1">
      <x:c r="A225" s="7" t="str">
        <x:v>长沙 2024 7月27日 粟某某 8人 死亡</x:v>
      </x:c>
      <x:c r="B225" s="7" t="str">
        <x:v>2024</x:v>
      </x:c>
      <x:c r="C225" s="7" t="str">
        <x:v>北京；四川；湖南；广东</x:v>
      </x:c>
      <x:c r="D225" s="2" t="str">
        <x:v>已检索</x:v>
      </x:c>
      <x:c r="E225" s="9"/>
      <x:c r="F225" s="7" t="str">
        <x:v>逐案核实伤亡和非定向袭击特征。</x:v>
      </x:c>
    </x:row>
    <x:row r="226" ht="38" customHeight="1">
      <x:c r="A226" s="7" t="str">
        <x:v>中山 2024 8月13日 黄某 失业 撞人 8人</x:v>
      </x:c>
      <x:c r="B226" s="7" t="str">
        <x:v>2024</x:v>
      </x:c>
      <x:c r="C226" s="7" t="str">
        <x:v>北京；四川；湖南；广东</x:v>
      </x:c>
      <x:c r="D226" s="2" t="str">
        <x:v>已检索</x:v>
      </x:c>
      <x:c r="E226" s="9"/>
      <x:c r="F226" s="7" t="str">
        <x:v>逐案核实伤亡和非定向袭击特征。</x:v>
      </x:c>
    </x:row>
    <x:row r="227" ht="38" customHeight="1">
      <x:c r="A227" s="7" t="str">
        <x:v>2025 持刀 随机 伤人 警方 通报</x:v>
      </x:c>
      <x:c r="B227" s="7" t="str">
        <x:v>2025；2026</x:v>
      </x:c>
      <x:c r="C227" s="7" t="str">
        <x:v>全国</x:v>
      </x:c>
      <x:c r="D227" s="2" t="str">
        <x:v>已检索</x:v>
      </x:c>
      <x:c r="E227" s="9"/>
      <x:c r="F227" s="7" t="str">
        <x:v>近期跨场景检索，网络传言仅列线索。</x:v>
      </x:c>
    </x:row>
    <x:row r="228" ht="38" customHeight="1">
      <x:c r="A228" s="7" t="str">
        <x:v>2026 持刀 随机 伤人 警方 通报</x:v>
      </x:c>
      <x:c r="B228" s="7" t="str">
        <x:v>2025；2026</x:v>
      </x:c>
      <x:c r="C228" s="7" t="str">
        <x:v>全国</x:v>
      </x:c>
      <x:c r="D228" s="2" t="str">
        <x:v>已检索</x:v>
      </x:c>
      <x:c r="E228" s="9"/>
      <x:c r="F228" s="7" t="str">
        <x:v>近期跨场景检索，网络传言仅列线索。</x:v>
      </x:c>
    </x:row>
    <x:row r="229" ht="38" customHeight="1">
      <x:c r="A229" s="7" t="str">
        <x:v>2025 纵火 公交 爆炸 报复社会 案件</x:v>
      </x:c>
      <x:c r="B229" s="7" t="str">
        <x:v>2025；2026</x:v>
      </x:c>
      <x:c r="C229" s="7" t="str">
        <x:v>全国</x:v>
      </x:c>
      <x:c r="D229" s="2" t="str">
        <x:v>已检索</x:v>
      </x:c>
      <x:c r="E229" s="9"/>
      <x:c r="F229" s="7" t="str">
        <x:v>近期跨场景检索，网络传言仅列线索。</x:v>
      </x:c>
    </x:row>
    <x:row r="230" ht="38" customHeight="1">
      <x:c r="A230" s="7" t="str">
        <x:v>2026 驾车 冲撞 行人 警方 通报</x:v>
      </x:c>
      <x:c r="B230" s="7" t="str">
        <x:v>2025；2026</x:v>
      </x:c>
      <x:c r="C230" s="7" t="str">
        <x:v>全国</x:v>
      </x:c>
      <x:c r="D230" s="2" t="str">
        <x:v>已检索</x:v>
      </x:c>
      <x:c r="E230" s="9"/>
      <x:c r="F230" s="7" t="str">
        <x:v>近期跨场景检索，网络传言仅列线索。</x:v>
      </x:c>
    </x:row>
    <x:row r="231" ht="38" customHeight="1">
      <x:c r="A231" s="7" t="str">
        <x:v>2026 房山 大韩继 大集 铲车 撞人 3月29</x:v>
      </x:c>
      <x:c r="B231" s="7" t="str">
        <x:v>2025；2026</x:v>
      </x:c>
      <x:c r="C231" s="7" t="str">
        <x:v>北京；辽宁；浙江；重庆</x:v>
      </x:c>
      <x:c r="D231" s="2" t="str">
        <x:v>已检索</x:v>
      </x:c>
      <x:c r="E231" s="9"/>
      <x:c r="F231" s="7" t="str">
        <x:v>集中核对近年社会传播较广的撞人及持刀线索。</x:v>
      </x:c>
    </x:row>
    <x:row r="232" ht="38" customHeight="1">
      <x:c r="A232" s="7" t="str">
        <x:v>2026 沈阳 太原街 4月4日 砍人</x:v>
      </x:c>
      <x:c r="B232" s="7" t="str">
        <x:v>2025；2026</x:v>
      </x:c>
      <x:c r="C232" s="7" t="str">
        <x:v>北京；辽宁；浙江；重庆</x:v>
      </x:c>
      <x:c r="D232" s="2" t="str">
        <x:v>已检索</x:v>
      </x:c>
      <x:c r="E232" s="9"/>
      <x:c r="F232" s="7" t="str">
        <x:v>集中核对近年社会传播较广的撞人及持刀线索。</x:v>
      </x:c>
    </x:row>
    <x:row r="233" ht="38" customHeight="1">
      <x:c r="A233" s="7" t="str">
        <x:v>2025 金华 苏孟 小学 4月22日 通报</x:v>
      </x:c>
      <x:c r="B233" s="7" t="str">
        <x:v>2025；2026</x:v>
      </x:c>
      <x:c r="C233" s="7" t="str">
        <x:v>北京；辽宁；浙江；重庆</x:v>
      </x:c>
      <x:c r="D233" s="2" t="str">
        <x:v>已检索</x:v>
      </x:c>
      <x:c r="E233" s="9"/>
      <x:c r="F233" s="7" t="str">
        <x:v>集中核对近年社会传播较广的撞人及持刀线索。</x:v>
      </x:c>
    </x:row>
    <x:row r="234" ht="38" customHeight="1">
      <x:c r="A234" s="7" t="str">
        <x:v>2025 重庆 铜梁 6月14日 撞人 通报</x:v>
      </x:c>
      <x:c r="B234" s="7" t="str">
        <x:v>2025；2026</x:v>
      </x:c>
      <x:c r="C234" s="7" t="str">
        <x:v>北京；辽宁；浙江；重庆</x:v>
      </x:c>
      <x:c r="D234" s="2" t="str">
        <x:v>已检索</x:v>
      </x:c>
      <x:c r="E234" s="9"/>
      <x:c r="F234" s="7" t="str">
        <x:v>集中核对近年社会传播较广的撞人及持刀线索。</x:v>
      </x:c>
    </x:row>
    <x:row r="235" ht="38" customHeight="1">
      <x:c r="A235" s="7" t="str">
        <x:v>2025 武汉大学 6月4日 朱某 持刀 通报</x:v>
      </x:c>
      <x:c r="B235" s="7" t="str">
        <x:v>2025</x:v>
      </x:c>
      <x:c r="C235" s="7" t="str"/>
      <x:c r="D235" s="2" t="str">
        <x:v>已检索</x:v>
      </x:c>
      <x:c r="E235" s="9"/>
      <x:c r="F235" s="7" t="str">
        <x:v>定向核查案件及警方通报；检索结果仅作线索，正文另行打开。</x:v>
      </x:c>
    </x:row>
    <x:row r="236" ht="38" customHeight="1">
      <x:c r="A236" s="7" t="str">
        <x:v>2025 耒阳 8月3日 段某 2死3伤 通报</x:v>
      </x:c>
      <x:c r="B236" s="7" t="str">
        <x:v>2025</x:v>
      </x:c>
      <x:c r="C236" s="7" t="str"/>
      <x:c r="D236" s="2" t="str">
        <x:v>已检索</x:v>
      </x:c>
      <x:c r="E236" s="9"/>
      <x:c r="F236" s="7" t="str">
        <x:v>定向核查案件及警方通报；检索结果仅作线索，正文另行打开。</x:v>
      </x:c>
    </x:row>
    <x:row r="237" ht="38" customHeight="1">
      <x:c r="A237" s="7" t="str">
        <x:v>2025 天津医院 4月28日 简某 警方 通报</x:v>
      </x:c>
      <x:c r="B237" s="7" t="str">
        <x:v>2025</x:v>
      </x:c>
      <x:c r="C237" s="7" t="str"/>
      <x:c r="D237" s="2" t="str">
        <x:v>已检索</x:v>
      </x:c>
      <x:c r="E237" s="9"/>
      <x:c r="F237" s="7" t="str">
        <x:v>定向核查案件及警方通报；检索结果仅作线索，正文另行打开。</x:v>
      </x:c>
    </x:row>
    <x:row r="238" ht="38" customHeight="1">
      <x:c r="A238" s="7" t="str">
        <x:v>2025 十堰 10月22日 重庆路小学 驾车 通报</x:v>
      </x:c>
      <x:c r="B238" s="7" t="str">
        <x:v>2025</x:v>
      </x:c>
      <x:c r="C238" s="7" t="str"/>
      <x:c r="D238" s="2" t="str">
        <x:v>已检索</x:v>
      </x:c>
      <x:c r="E238" s="9"/>
      <x:c r="F238" s="7" t="str">
        <x:v>定向核查案件及警方通报；检索结果仅作线索，正文另行打开。</x:v>
      </x:c>
    </x:row>
    <x:row r="239" ht="38" customHeight="1">
      <x:c r="A239" s="7" t="str">
        <x:v>2025 重庆 巴南 熊某 6月14日 鸣笛 纠纷 通报</x:v>
      </x:c>
      <x:c r="B239" s="7" t="str">
        <x:v>2025；2026</x:v>
      </x:c>
      <x:c r="C239" s="7" t="str"/>
      <x:c r="D239" s="2" t="str">
        <x:v>已检索</x:v>
      </x:c>
      <x:c r="E239" s="9"/>
      <x:c r="F239" s="7" t="str">
        <x:v>补查官方通报、受害关系及媒体采访。</x:v>
      </x:c>
    </x:row>
    <x:row r="240" ht="38" customHeight="1">
      <x:c r="A240" s="7" t="str">
        <x:v>2025 10月24日 十堰 陈某 危险方法 警情通报</x:v>
      </x:c>
      <x:c r="B240" s="7" t="str">
        <x:v>2025；2026</x:v>
      </x:c>
      <x:c r="C240" s="7" t="str"/>
      <x:c r="D240" s="2" t="str">
        <x:v>已检索</x:v>
      </x:c>
      <x:c r="E240" s="9"/>
      <x:c r="F240" s="7" t="str">
        <x:v>补查官方通报、受害关系及媒体采访。</x:v>
      </x:c>
    </x:row>
    <x:row r="241" ht="38" customHeight="1">
      <x:c r="A241" s="7" t="str">
        <x:v>2025 武汉大学 持刀 随机 食堂 学生 记者</x:v>
      </x:c>
      <x:c r="B241" s="7" t="str">
        <x:v>2025；2026</x:v>
      </x:c>
      <x:c r="C241" s="7" t="str"/>
      <x:c r="D241" s="2" t="str">
        <x:v>已检索</x:v>
      </x:c>
      <x:c r="E241" s="9"/>
      <x:c r="F241" s="7" t="str">
        <x:v>补查官方通报、受害关系及媒体采访。</x:v>
      </x:c>
    </x:row>
    <x:row r="242" ht="38" customHeight="1">
      <x:c r="A242" s="7" t="str">
        <x:v>上海 环球金融中心 银平 5月19日 日本人 刺 2025 2026</x:v>
      </x:c>
      <x:c r="B242" s="7" t="str">
        <x:v>2025；2026</x:v>
      </x:c>
      <x:c r="C242" s="7" t="str"/>
      <x:c r="D242" s="2" t="str">
        <x:v>已检索</x:v>
      </x:c>
      <x:c r="E242" s="9"/>
      <x:c r="F242" s="7" t="str">
        <x:v>补查官方通报、受害关系及媒体采访。</x:v>
      </x:c>
    </x:row>
    <x:row r="243" ht="38" customHeight="1">
      <x:c r="A243" s="7" t="str">
        <x:v>site:mfa.gov.cn 2026年5月20日 郭嘉昆 上海 精神</x:v>
      </x:c>
      <x:c r="B243" s="7" t="str">
        <x:v>2025；2026</x:v>
      </x:c>
      <x:c r="C243" s="7" t="str"/>
      <x:c r="D243" s="2" t="str">
        <x:v>已检索</x:v>
      </x:c>
      <x:c r="E243" s="9"/>
      <x:c r="F243" s="7" t="str">
        <x:v>定向核查新增线索。</x:v>
      </x:c>
    </x:row>
    <x:row r="244" ht="38" customHeight="1">
      <x:c r="A244" s="7" t="str">
        <x:v>2026 3月31日 武汉 青松路 伤人 通报</x:v>
      </x:c>
      <x:c r="B244" s="7" t="str">
        <x:v>2025；2026</x:v>
      </x:c>
      <x:c r="C244" s="7" t="str"/>
      <x:c r="D244" s="2" t="str">
        <x:v>已检索</x:v>
      </x:c>
      <x:c r="E244" s="9"/>
      <x:c r="F244" s="7" t="str">
        <x:v>定向核查新增线索。</x:v>
      </x:c>
    </x:row>
    <x:row r="245" ht="38" customHeight="1">
      <x:c r="A245" s="7" t="str">
        <x:v>2026 7月13日 杭州 甜品 金某 警方</x:v>
      </x:c>
      <x:c r="B245" s="7" t="str">
        <x:v>2025；2026</x:v>
      </x:c>
      <x:c r="C245" s="7" t="str"/>
      <x:c r="D245" s="2" t="str">
        <x:v>已检索</x:v>
      </x:c>
      <x:c r="E245" s="9"/>
      <x:c r="F245" s="7" t="str">
        <x:v>定向核查新增线索。</x:v>
      </x:c>
    </x:row>
    <x:row r="246" ht="38" customHeight="1">
      <x:c r="A246" s="7" t="str">
        <x:v>2025 金华 苏孟 小学 4月22日 scmp</x:v>
      </x:c>
      <x:c r="B246" s="7" t="str">
        <x:v>2025；2026</x:v>
      </x:c>
      <x:c r="C246" s="7" t="str"/>
      <x:c r="D246" s="2" t="str">
        <x:v>已检索</x:v>
      </x:c>
      <x:c r="E246" s="9"/>
      <x:c r="F246" s="7" t="str">
        <x:v>定向核查新增线索。</x:v>
      </x:c>
    </x:row>
    <x:row r="247" ht="38" customHeight="1">
      <x:c r="A247" s="7" t="str">
        <x:v>"2026年5月20日" "精神障碍" "外交部"</x:v>
      </x:c>
      <x:c r="B247" s="7" t="str">
        <x:v>2025；2026</x:v>
      </x:c>
      <x:c r="C247" s="7" t="str"/>
      <x:c r="D247" s="2" t="str">
        <x:v>已检索</x:v>
      </x:c>
      <x:c r="E247" s="9"/>
      <x:c r="F247" s="7" t="str">
        <x:v>定向核查通报与媒体原始报道。</x:v>
      </x:c>
    </x:row>
    <x:row r="248" ht="38" customHeight="1">
      <x:c r="A248" s="7" t="str">
        <x:v>"Jinhua" "school" "April 2025" "car"</x:v>
      </x:c>
      <x:c r="B248" s="7" t="str">
        <x:v>2025；2026</x:v>
      </x:c>
      <x:c r="C248" s="7" t="str"/>
      <x:c r="D248" s="2" t="str">
        <x:v>已检索</x:v>
      </x:c>
      <x:c r="E248" s="9"/>
      <x:c r="F248" s="7" t="str">
        <x:v>定向核查通报与媒体原始报道。</x:v>
      </x:c>
    </x:row>
    <x:row r="249" ht="38" customHeight="1">
      <x:c r="A249" s="7" t="str">
        <x:v>2025 5月15日 北京 健安西路 四人 通报</x:v>
      </x:c>
      <x:c r="B249" s="7" t="str">
        <x:v>2025；2026</x:v>
      </x:c>
      <x:c r="C249" s="7" t="str"/>
      <x:c r="D249" s="2" t="str">
        <x:v>已检索</x:v>
      </x:c>
      <x:c r="E249" s="9"/>
      <x:c r="F249" s="7" t="str">
        <x:v>定向核查通报与媒体原始报道。</x:v>
      </x:c>
    </x:row>
    <x:row r="250" ht="38" customHeight="1">
      <x:c r="A250" s="7" t="str">
        <x:v>2026 3月29日 房山 铲车 路透 法新</x:v>
      </x:c>
      <x:c r="B250" s="7" t="str">
        <x:v>2025；2026</x:v>
      </x:c>
      <x:c r="C250" s="7" t="str"/>
      <x:c r="D250" s="2" t="str">
        <x:v>已检索</x:v>
      </x:c>
      <x:c r="E250" s="9"/>
      <x:c r="F250" s="7" t="str">
        <x:v>定向核查通报与媒体原始报道。</x:v>
      </x:c>
    </x:row>
    <x:row r="251" ht="38" customHeight="1">
      <x:c r="A251" s="7" t="str">
        <x:v>2025 6月26日 密云 韩某某 35岁 争吵 学生 通报</x:v>
      </x:c>
      <x:c r="B251" s="7" t="str">
        <x:v>2024；2025</x:v>
      </x:c>
      <x:c r="C251" s="7" t="str"/>
      <x:c r="D251" s="2" t="str">
        <x:v>已检索</x:v>
      </x:c>
      <x:c r="E251" s="9"/>
      <x:c r="F251" s="7" t="str">
        <x:v>定向核查地区补漏及传言与官方差异。</x:v>
      </x:c>
    </x:row>
    <x:row r="252" ht="38" customHeight="1">
      <x:c r="A252" s="7" t="str">
        <x:v>2025 10月6日 泉港 永嘉天地 持刀 通报</x:v>
      </x:c>
      <x:c r="B252" s="7" t="str">
        <x:v>2024；2025</x:v>
      </x:c>
      <x:c r="C252" s="7" t="str"/>
      <x:c r="D252" s="2" t="str">
        <x:v>已检索</x:v>
      </x:c>
      <x:c r="E252" s="9"/>
      <x:c r="F252" s="7" t="str">
        <x:v>定向核查地区补漏及传言与官方差异。</x:v>
      </x:c>
    </x:row>
    <x:row r="253" ht="38" customHeight="1">
      <x:c r="A253" s="7" t="str">
        <x:v>2024 4月13日 吉安 持刀 2人 伤 警方</x:v>
      </x:c>
      <x:c r="B253" s="7" t="str">
        <x:v>2024；2025</x:v>
      </x:c>
      <x:c r="C253" s="7" t="str"/>
      <x:c r="D253" s="2" t="str">
        <x:v>已检索</x:v>
      </x:c>
      <x:c r="E253" s="9"/>
      <x:c r="F253" s="7" t="str">
        <x:v>定向核查地区补漏及传言与官方差异。</x:v>
      </x:c>
    </x:row>
    <x:row r="254" ht="38" customHeight="1">
      <x:c r="A254" s="7" t="str">
        <x:v>2024 10月23日 青岛 水泥罐车 醉酒 警方</x:v>
      </x:c>
      <x:c r="B254" s="7" t="str">
        <x:v>2024；2025</x:v>
      </x:c>
      <x:c r="C254" s="7" t="str"/>
      <x:c r="D254" s="2" t="str">
        <x:v>已检索</x:v>
      </x:c>
      <x:c r="E254" s="9"/>
      <x:c r="F254" s="7" t="str">
        <x:v>定向核查地区补漏及传言与官方差异。</x:v>
      </x:c>
    </x:row>
    <x:row r="255" ht="38" customHeight="1">
      <x:c r="A255" s="7" t="str">
        <x:v>2024 纵火 公交车 报复社会 放火 判决</x:v>
      </x:c>
      <x:c r="B255" s="7" t="str">
        <x:v>2024；2025；2026</x:v>
      </x:c>
      <x:c r="C255" s="7" t="str"/>
      <x:c r="D255" s="2" t="str">
        <x:v>已检索</x:v>
      </x:c>
      <x:c r="E255" s="9"/>
      <x:c r="F255" s="7" t="str">
        <x:v>纵火和公交场景补漏；区分案发年与宣判年。</x:v>
      </x:c>
    </x:row>
    <x:row r="256" ht="38" customHeight="1">
      <x:c r="A256" s="7" t="str">
        <x:v>2025 纵火 公交车 报复社会 放火 判决</x:v>
      </x:c>
      <x:c r="B256" s="7" t="str">
        <x:v>2024；2025；2026</x:v>
      </x:c>
      <x:c r="C256" s="7" t="str"/>
      <x:c r="D256" s="2" t="str">
        <x:v>已检索</x:v>
      </x:c>
      <x:c r="E256" s="9"/>
      <x:c r="F256" s="7" t="str">
        <x:v>纵火和公交场景补漏；区分案发年与宣判年。</x:v>
      </x:c>
    </x:row>
    <x:row r="257" ht="38" customHeight="1">
      <x:c r="A257" s="7" t="str">
        <x:v>2026 纵火 公交车 报复社会 放火 判决</x:v>
      </x:c>
      <x:c r="B257" s="7" t="str">
        <x:v>2024；2025；2026</x:v>
      </x:c>
      <x:c r="C257" s="7" t="str"/>
      <x:c r="D257" s="2" t="str">
        <x:v>已检索</x:v>
      </x:c>
      <x:c r="E257" s="9"/>
      <x:c r="F257" s="7" t="str">
        <x:v>纵火和公交场景补漏；区分案发年与宣判年。</x:v>
      </x:c>
    </x:row>
    <x:row r="258" ht="38" customHeight="1">
      <x:c r="A258" s="7" t="str">
        <x:v>2026 柳州 5月2日 峻岭 伤人 4死</x:v>
      </x:c>
      <x:c r="B258" s="7" t="str">
        <x:v>2024；2025；2026</x:v>
      </x:c>
      <x:c r="C258" s="7" t="str"/>
      <x:c r="D258" s="2" t="str">
        <x:v>已检索</x:v>
      </x:c>
      <x:c r="E258" s="9"/>
      <x:c r="F258" s="7" t="str">
        <x:v>纵火和公交场景补漏；区分案发年与宣判年。</x:v>
      </x:c>
    </x:row>
    <x:row r="259" ht="38" customHeight="1">
      <x:c r="A259" s="7" t="str">
        <x:v>2024 7月27日 长沙 月湖 8死 粟某 判决</x:v>
      </x:c>
      <x:c r="B259" s="7" t="str">
        <x:v>2024；2026</x:v>
      </x:c>
      <x:c r="C259" s="7" t="str"/>
      <x:c r="D259" s="2" t="str">
        <x:v>已检索</x:v>
      </x:c>
      <x:c r="E259" s="9"/>
      <x:c r="F259" s="7" t="str">
        <x:v>补漏并查后续。</x:v>
      </x:c>
    </x:row>
    <x:row r="260" ht="38" customHeight="1">
      <x:c r="A260" s="7" t="str">
        <x:v>2024 广东 封开 4月26日 持刀 开车 2人 通报</x:v>
      </x:c>
      <x:c r="B260" s="7" t="str">
        <x:v>2024；2026</x:v>
      </x:c>
      <x:c r="C260" s="7" t="str"/>
      <x:c r="D260" s="2" t="str">
        <x:v>已检索</x:v>
      </x:c>
      <x:c r="E260" s="9"/>
      <x:c r="F260" s="7" t="str">
        <x:v>补漏并查后续。</x:v>
      </x:c>
    </x:row>
    <x:row r="261" ht="38" customHeight="1">
      <x:c r="A261" s="7" t="str">
        <x:v>2024 油麻 中学 持刀 7月4日 通报</x:v>
      </x:c>
      <x:c r="B261" s="7" t="str">
        <x:v>2024；2026</x:v>
      </x:c>
      <x:c r="C261" s="7" t="str"/>
      <x:c r="D261" s="2" t="str">
        <x:v>已检索</x:v>
      </x:c>
      <x:c r="E261" s="9"/>
      <x:c r="F261" s="7" t="str">
        <x:v>补漏并查后续。</x:v>
      </x:c>
    </x:row>
    <x:row r="262" ht="38" customHeight="1">
      <x:c r="A262" s="7" t="str">
        <x:v>2026 5月3日 平阳 昆阳 撞人 通报</x:v>
      </x:c>
      <x:c r="B262" s="7" t="str">
        <x:v>2024；2026</x:v>
      </x:c>
      <x:c r="C262" s="7" t="str"/>
      <x:c r="D262" s="2" t="str">
        <x:v>已检索</x:v>
      </x:c>
      <x:c r="E262" s="9"/>
      <x:c r="F262" s="7" t="str">
        <x:v>补漏并查后续。</x:v>
      </x:c>
    </x:row>
    <x:row r="263" ht="38" customHeight="1">
      <x:c r="A263" s="7" t="str">
        <x:v>site:mofa.go.jp "2025年1月24日" "蘇州" "深セン"</x:v>
      </x:c>
      <x:c r="B263" s="7" t="str">
        <x:v>2024；2025；2026</x:v>
      </x:c>
      <x:c r="C263" s="7" t="str"/>
      <x:c r="D263" s="2" t="str">
        <x:v>已检索</x:v>
      </x:c>
      <x:c r="E263" s="9"/>
      <x:c r="F263" s="7" t="str">
        <x:v>后续判决执行与最终伤亡复核。</x:v>
      </x:c>
    </x:row>
    <x:row r="264" ht="38" customHeight="1">
      <x:c r="A264" s="7" t="str">
        <x:v>site:mofa.go.jp "2025年4月18日" "蘇州" "死刑"</x:v>
      </x:c>
      <x:c r="B264" s="7" t="str">
        <x:v>2024；2025；2026</x:v>
      </x:c>
      <x:c r="C264" s="7" t="str"/>
      <x:c r="D264" s="2" t="str">
        <x:v>已检索</x:v>
      </x:c>
      <x:c r="E264" s="9"/>
      <x:c r="F264" s="7" t="str">
        <x:v>后续判决执行与最终伤亡复核。</x:v>
      </x:c>
    </x:row>
    <x:row r="265" ht="38" customHeight="1">
      <x:c r="A265" s="7" t="str">
        <x:v>2024 镇雄 李某娜医院 卢某斌 判决 死刑</x:v>
      </x:c>
      <x:c r="B265" s="7" t="str">
        <x:v>2024；2025；2026</x:v>
      </x:c>
      <x:c r="C265" s="7" t="str"/>
      <x:c r="D265" s="2" t="str">
        <x:v>已检索</x:v>
      </x:c>
      <x:c r="E265" s="9"/>
      <x:c r="F265" s="7" t="str">
        <x:v>后续判决执行与最终伤亡复核。</x:v>
      </x:c>
    </x:row>
    <x:row r="266" ht="38" customHeight="1">
      <x:c r="A266" s="7" t="str">
        <x:v>2024 贵溪 潘某 展 某 明德 小学 判决 死刑</x:v>
      </x:c>
      <x:c r="B266" s="7" t="str">
        <x:v>2024；2025；2026</x:v>
      </x:c>
      <x:c r="C266" s="7" t="str"/>
      <x:c r="D266" s="2" t="str">
        <x:v>已检索</x:v>
      </x:c>
      <x:c r="E266" s="9"/>
      <x:c r="F266" s="7" t="str">
        <x:v>后续判决执行与最终伤亡复核。</x:v>
      </x:c>
    </x:row>
    <x:row r="267" ht="38" customHeight="1">
      <x:c r="A267" s="7" t="str">
        <x:v>2026 西宁 8月19日 街头 持刀 伤人</x:v>
      </x:c>
      <x:c r="B267" s="7" t="str">
        <x:v>2024；2025；2026</x:v>
      </x:c>
      <x:c r="C267" s="7" t="str"/>
      <x:c r="D267" s="2" t="str">
        <x:v>已检索</x:v>
      </x:c>
      <x:c r="E267" s="9"/>
      <x:c r="F267" s="7" t="str">
        <x:v>宽口径补漏；未见同案可靠来源则留待核。</x:v>
      </x:c>
    </x:row>
    <x:row r="268" ht="38" customHeight="1">
      <x:c r="A268" s="7" t="str">
        <x:v>2026 汕头 8月19日 持刀 伤人</x:v>
      </x:c>
      <x:c r="B268" s="7" t="str">
        <x:v>2024；2025；2026</x:v>
      </x:c>
      <x:c r="C268" s="7" t="str"/>
      <x:c r="D268" s="2" t="str">
        <x:v>已检索</x:v>
      </x:c>
      <x:c r="E268" s="9"/>
      <x:c r="F268" s="7" t="str">
        <x:v>宽口径补漏；未见同案可靠来源则留待核。</x:v>
      </x:c>
    </x:row>
    <x:row r="269" ht="38" customHeight="1">
      <x:c r="A269" s="7" t="str">
        <x:v>2025 杭州 报复社会 放火 任某 四处</x:v>
      </x:c>
      <x:c r="B269" s="7" t="str">
        <x:v>2024；2025；2026</x:v>
      </x:c>
      <x:c r="C269" s="7" t="str"/>
      <x:c r="D269" s="2" t="str">
        <x:v>已检索</x:v>
      </x:c>
      <x:c r="E269" s="9"/>
      <x:c r="F269" s="7" t="str">
        <x:v>宽口径补漏；未见同案可靠来源则留待核。</x:v>
      </x:c>
    </x:row>
    <x:row r="270" ht="38" customHeight="1">
      <x:c r="A270" s="7" t="str">
        <x:v>2024 随意 伤人 路人 判刑 2025 2026</x:v>
      </x:c>
      <x:c r="B270" s="7" t="str">
        <x:v>2024；2025；2026</x:v>
      </x:c>
      <x:c r="C270" s="7" t="str"/>
      <x:c r="D270" s="2" t="str">
        <x:v>已检索</x:v>
      </x:c>
      <x:c r="E270" s="9"/>
      <x:c r="F270" s="7" t="str">
        <x:v>宽口径补漏；未见同案可靠来源则留待核。</x:v>
      </x:c>
    </x:row>
    <x:row r="271" ht="38" customHeight="1">
      <x:c r="A271" s="7" t="str">
        <x:v>"任某" "四" "纵火" "2025" 新津</x:v>
      </x:c>
      <x:c r="B271" s="7" t="str">
        <x:v>2024；2025；2026</x:v>
      </x:c>
      <x:c r="C271" s="7" t="str"/>
      <x:c r="D271" s="2" t="str">
        <x:v>已检索</x:v>
      </x:c>
      <x:c r="E271" s="9"/>
      <x:c r="F271" s="7" t="str">
        <x:v>后续判决与纵火补漏。</x:v>
      </x:c>
    </x:row>
    <x:row r="272" ht="38" customHeight="1">
      <x:c r="A272" s="7" t="str">
        <x:v>"蘇州" "死刑執行" site:mofa.go.jp</x:v>
      </x:c>
      <x:c r="B272" s="7" t="str">
        <x:v>2024；2025；2026</x:v>
      </x:c>
      <x:c r="C272" s="7" t="str"/>
      <x:c r="D272" s="2" t="str">
        <x:v>已检索</x:v>
      </x:c>
      <x:c r="E272" s="9"/>
      <x:c r="F272" s="7" t="str">
        <x:v>后续判决与纵火补漏。</x:v>
      </x:c>
    </x:row>
    <x:row r="273" ht="38" customHeight="1">
      <x:c r="A273" s="7" t="str">
        <x:v>"深セン" "死刑判決" "令和7年1月" site:mofa.go.jp</x:v>
      </x:c>
      <x:c r="B273" s="7" t="str">
        <x:v>2024；2025；2026</x:v>
      </x:c>
      <x:c r="C273" s="7" t="str"/>
      <x:c r="D273" s="2" t="str">
        <x:v>已检索</x:v>
      </x:c>
      <x:c r="E273" s="9"/>
      <x:c r="F273" s="7" t="str">
        <x:v>后续判决与纵火补漏。</x:v>
      </x:c>
    </x:row>
    <x:row r="274" ht="38" customHeight="1">
      <x:c r="A274" s="7" t="str">
        <x:v>2026 5月1日 成都 李某某 1死11伤 逃逸 通报</x:v>
      </x:c>
      <x:c r="B274" s="7" t="str">
        <x:v>2024；2025；2026</x:v>
      </x:c>
      <x:c r="C274" s="7" t="str"/>
      <x:c r="D274" s="2" t="str">
        <x:v>已检索</x:v>
      </x:c>
      <x:c r="E274" s="9"/>
      <x:c r="F274" s="7" t="str">
        <x:v>高传播事故或爆炸线索核实，防止将交通事故等同随机袭击。</x:v>
      </x:c>
    </x:row>
    <x:row r="275" ht="38" customHeight="1">
      <x:c r="A275" s="7" t="str">
        <x:v>2025 7月21日 昆明 刘某 2死9伤 警方 通报</x:v>
      </x:c>
      <x:c r="B275" s="7" t="str">
        <x:v>2024；2025；2026</x:v>
      </x:c>
      <x:c r="C275" s="7" t="str"/>
      <x:c r="D275" s="2" t="str">
        <x:v>已检索</x:v>
      </x:c>
      <x:c r="E275" s="9"/>
      <x:c r="F275" s="7" t="str">
        <x:v>高传播事故或爆炸线索核实，防止将交通事故等同随机袭击。</x:v>
      </x:c>
    </x:row>
    <x:row r="276" ht="38" customHeight="1">
      <x:c r="A276" s="7" t="str">
        <x:v>2024 9月3日 东平 校车 11死13伤 通报</x:v>
      </x:c>
      <x:c r="B276" s="7" t="str">
        <x:v>2024；2025；2026</x:v>
      </x:c>
      <x:c r="C276" s="7" t="str"/>
      <x:c r="D276" s="2" t="str">
        <x:v>已检索</x:v>
      </x:c>
      <x:c r="E276" s="9"/>
      <x:c r="F276" s="7" t="str">
        <x:v>高传播事故或爆炸线索核实，防止将交通事故等同随机袭击。</x:v>
      </x:c>
    </x:row>
    <x:row r="277" ht="38" customHeight="1">
      <x:c r="A277" s="7" t="str">
        <x:v>2025 1月26日 沈阳 大东 副食品 爆炸 官方</x:v>
      </x:c>
      <x:c r="B277" s="7" t="str">
        <x:v>2024；2025；2026</x:v>
      </x:c>
      <x:c r="C277" s="7" t="str"/>
      <x:c r="D277" s="2" t="str">
        <x:v>已检索</x:v>
      </x:c>
      <x:c r="E277" s="9"/>
      <x:c r="F277" s="7" t="str">
        <x:v>高传播事故或爆炸线索核实，防止将交通事故等同随机袭击。</x:v>
      </x:c>
    </x:row>
    <x:row r="278" ht="38" customHeight="1">
      <x:c r="A278" s="7" t="str">
        <x:v>苏州 校车 持刀 周加胜 2025 1月23日 判决</x:v>
      </x:c>
      <x:c r="B278" s="7" t="str">
        <x:v>2024；2025</x:v>
      </x:c>
      <x:c r="C278" s="7" t="str"/>
      <x:c r="D278" s="2" t="str">
        <x:v>已检索</x:v>
      </x:c>
      <x:c r="E278" s="9"/>
      <x:c r="F278" s="7" t="str">
        <x:v>判决/事故性质收尾核对。</x:v>
      </x:c>
    </x:row>
    <x:row r="279" ht="38" customHeight="1">
      <x:c r="A279" s="7" t="str">
        <x:v>深圳 日本 男童 钟长春 2025 1月24日 引人 关注 判决</x:v>
      </x:c>
      <x:c r="B279" s="7" t="str">
        <x:v>2024；2025</x:v>
      </x:c>
      <x:c r="C279" s="7" t="str"/>
      <x:c r="D279" s="2" t="str">
        <x:v>已检索</x:v>
      </x:c>
      <x:c r="E279" s="9"/>
      <x:c r="F279" s="7" t="str">
        <x:v>判决/事故性质收尾核对。</x:v>
      </x:c>
    </x:row>
    <x:row r="280" ht="38" customHeight="1">
      <x:c r="A280" s="7" t="str">
        <x:v>昆明 7月20日 李某某 49岁 交通肇事逃逸 2025 通报</x:v>
      </x:c>
      <x:c r="B280" s="7" t="str">
        <x:v>2024；2025</x:v>
      </x:c>
      <x:c r="C280" s="7" t="str"/>
      <x:c r="D280" s="2" t="str">
        <x:v>已检索</x:v>
      </x:c>
      <x:c r="E280" s="9"/>
      <x:c r="F280" s="7" t="str">
        <x:v>判决/事故性质收尾核对。</x:v>
      </x:c>
    </x:row>
    <x:row r="281" ht="38" customHeight="1">
      <x:c r="A281" s="7" t="str">
        <x:v>https://www.sdgbxh.sdu.edu.cn/info/1018/3677.htm</x:v>
      </x:c>
      <x:c r="B281" s="7" t="str">
        <x:v>2024；2025；2026</x:v>
      </x:c>
      <x:c r="C281" s="7" t="str"/>
      <x:c r="D281" s="2" t="str">
        <x:v>访问失败</x:v>
      </x:c>
      <x:c r="E281" s="9"/>
      <x:c r="F281" s="7" t="str">
        <x:v>台州职业技术学院3·19事故保卫案例；多次超时，仅检索摘要，未据摘要升级分类。</x:v>
      </x:c>
    </x:row>
    <x:row r="282" ht="38" customHeight="1">
      <x:c r="A282" s="7" t="str">
        <x:v>https://mnewstv.com/article.php?id=40904</x:v>
      </x:c>
      <x:c r="B282" s="7" t="str">
        <x:v>2024；2025；2026</x:v>
      </x:c>
      <x:c r="C282" s="7" t="str"/>
      <x:c r="D282" s="2" t="str">
        <x:v>访问失败</x:v>
      </x:c>
      <x:c r="E282" s="9"/>
      <x:c r="F282" s="7" t="str">
        <x:v>跳转系统维护页；汕头、西宁改查原始媒体来源。</x:v>
      </x:c>
    </x:row>
    <x:row r="283" ht="38" customHeight="1">
      <x:c r="A283" s="7" t="str">
        <x:v>https://www.ctdsb.net/c1476_202608/2834621.html</x:v>
      </x:c>
      <x:c r="B283" s="7" t="str">
        <x:v>2024；2025；2026</x:v>
      </x:c>
      <x:c r="C283" s="7" t="str"/>
      <x:c r="D283" s="2" t="str">
        <x:v>访问失败</x:v>
      </x:c>
      <x:c r="E283" s="9"/>
      <x:c r="F283" s="7" t="str">
        <x:v>西宁报道正文两次超时，已取得华声在线转载红星正文，未把极目搜索摘要当第二独立正文。</x:v>
      </x:c>
    </x:row>
    <x:row r="284" ht="38" customHeight="1">
      <x:c r="A284" s="7" t="str">
        <x:v>https://www.jl.nanchongpeace.gov.cn/ajzj/20250514/2971597.html</x:v>
      </x:c>
      <x:c r="B284" s="7" t="str">
        <x:v>2024；2025；2026</x:v>
      </x:c>
      <x:c r="C284" s="7" t="str"/>
      <x:c r="D284" s="2" t="str">
        <x:v>访问失败</x:v>
      </x:c>
      <x:c r="E284" s="9"/>
      <x:c r="F284" s="7" t="str">
        <x:v>抓取失败，换南充长安网同稿正文成功。</x:v>
      </x:c>
    </x:row>
    <x:row r="285" ht="38" customHeight="1">
      <x:c r="A285" s="7" t="str">
        <x:v>https://news.cnr.cn/native/gd/kx/20250615/t20250615_527211866.shtml</x:v>
      </x:c>
      <x:c r="B285" s="7" t="str">
        <x:v>2024；2025；2026</x:v>
      </x:c>
      <x:c r="C285" s="7" t="str"/>
      <x:c r="D285" s="2" t="str">
        <x:v>访问失败</x:v>
      </x:c>
      <x:c r="E285" s="9"/>
      <x:c r="F285" s="7" t="str">
        <x:v>Unicode解码失败，换四川在线完整警方通报。</x:v>
      </x:c>
    </x:row>
    <x:row r="286" ht="38" customHeight="1">
      <x:c r="A286" s="7" t="str">
        <x:v>https://news.cnr.cn/kuaixun/20260503/t20260503_527608591.shtml</x:v>
      </x:c>
      <x:c r="B286" s="7" t="str">
        <x:v>2024；2025；2026</x:v>
      </x:c>
      <x:c r="C286" s="7" t="str"/>
      <x:c r="D286" s="2" t="str">
        <x:v>访问失败</x:v>
      </x:c>
      <x:c r="E286" s="9"/>
      <x:c r="F286" s="7" t="str">
        <x:v>Unicode解码失败，换中国江苏网完整警方通报。</x:v>
      </x:c>
    </x:row>
    <x:row r="287" ht="38" customHeight="1">
      <x:c r="A287" s="7" t="str">
        <x:v>https://hn.people.com.cn/n2/2024/0727/c336521-40925663.html</x:v>
      </x:c>
      <x:c r="B287" s="7" t="str">
        <x:v>2024；2025；2026</x:v>
      </x:c>
      <x:c r="C287" s="7" t="str"/>
      <x:c r="D287" s="2" t="str">
        <x:v>访问失败</x:v>
      </x:c>
      <x:c r="E287" s="9"/>
      <x:c r="F287" s="7" t="str">
        <x:v>超时，换央广网长沙月湖案完整通报。</x:v>
      </x:c>
    </x:row>
    <x:row r="288" ht="38" customHeight="1">
      <x:c r="A288" s="7" t="str">
        <x:v>https://sc.people.com.cn/n2/2026/0501/c345509-41569755.html</x:v>
      </x:c>
      <x:c r="B288" s="7" t="str">
        <x:v>2024；2025；2026</x:v>
      </x:c>
      <x:c r="C288" s="7" t="str"/>
      <x:c r="D288" s="2" t="str">
        <x:v>访问失败</x:v>
      </x:c>
      <x:c r="E288" s="9"/>
      <x:c r="F288" s="7" t="str">
        <x:v>502，换界面新闻成都通报正文。</x:v>
      </x:c>
    </x:row>
    <x:row r="289" ht="38" customHeight="1">
      <x:c r="A289" s="7" t="str">
        <x:v>https://news.cnr.cn/local/dftj/20250721/t20250721_527274945.shtml</x:v>
      </x:c>
      <x:c r="B289" s="7" t="str">
        <x:v>2024；2025；2026</x:v>
      </x:c>
      <x:c r="C289" s="7" t="str"/>
      <x:c r="D289" s="2" t="str">
        <x:v>访问失败</x:v>
      </x:c>
      <x:c r="E289" s="9"/>
      <x:c r="F289" s="7" t="str">
        <x:v>Unicode解码失败，换云南网昆明通报。</x:v>
      </x:c>
    </x:row>
    <x:row r="290" ht="38" customHeight="1">
      <x:c r="A290" s="7" t="str">
        <x:v>https://yn.people.com.cn/n2/2025/0721/c361322-41297752.html</x:v>
      </x:c>
      <x:c r="B290" s="7" t="str">
        <x:v>2024；2025；2026</x:v>
      </x:c>
      <x:c r="C290" s="7" t="str"/>
      <x:c r="D290" s="2" t="str">
        <x:v>访问失败</x:v>
      </x:c>
      <x:c r="E290" s="9"/>
      <x:c r="F290" s="7" t="str">
        <x:v>超时，换云南网昆明通报。</x:v>
      </x:c>
    </x:row>
    <x:row r="291" ht="38" customHeight="1">
      <x:c r="A291" s="7" t="str">
        <x:v>https://news.cnhubei.com/content/2025-07/21/content_19352135.html</x:v>
      </x:c>
      <x:c r="B291" s="7" t="str">
        <x:v>2024；2025；2026</x:v>
      </x:c>
      <x:c r="C291" s="7" t="str"/>
      <x:c r="D291" s="2" t="str">
        <x:v>访问失败</x:v>
      </x:c>
      <x:c r="E291" s="9"/>
      <x:c r="F291" s="7" t="str">
        <x:v>正文抓取未成功，换云南网。</x:v>
      </x:c>
    </x:row>
    <x:row r="292" ht="38" customHeight="1">
      <x:c r="A292" s="7" t="str">
        <x:v>https://global.hk01.com/article/60335629</x:v>
      </x:c>
      <x:c r="B292" s="7" t="str">
        <x:v>2024；2025；2026</x:v>
      </x:c>
      <x:c r="C292" s="7" t="str"/>
      <x:c r="D292" s="2" t="str">
        <x:v>访问失败</x:v>
      </x:c>
      <x:c r="E292" s="9"/>
      <x:c r="F292" s="7" t="str">
        <x:v>访问失败，改www.hk01.com文章成功。</x:v>
      </x:c>
    </x:row>
    <x:row r="293" ht="38" customHeight="1">
      <x:c r="A293" s="7" t="str">
        <x:v>https://www.chinanews.com/sh/2024/07-27/10258593.shtml</x:v>
      </x:c>
      <x:c r="B293" s="7" t="str">
        <x:v>2024；2025；2026</x:v>
      </x:c>
      <x:c r="C293" s="7" t="str"/>
      <x:c r="D293" s="2" t="str">
        <x:v>访问失败</x:v>
      </x:c>
      <x:c r="E293" s="9"/>
      <x:c r="F293" s="7" t="str">
        <x:v>长沙月湖案访问失败；央广网替代。</x:v>
      </x:c>
    </x:row>
    <x:row r="294" ht="38" customHeight="1">
      <x:c r="A294" s="7" t="str">
        <x:v>https://www.infzm.com/contents/271110?source=131</x:v>
      </x:c>
      <x:c r="B294" s="7" t="str">
        <x:v>2024；2025；2026</x:v>
      </x:c>
      <x:c r="C294" s="7" t="str"/>
      <x:c r="D294" s="2" t="str">
        <x:v>访问失败</x:v>
      </x:c>
      <x:c r="E294" s="9"/>
      <x:c r="F294" s="7" t="str">
        <x:v>镇雄医院调查报道访问失败；无法追加其中个人经历细节。</x:v>
      </x:c>
    </x:row>
    <x:row r="295" ht="38" customHeight="1">
      <x:c r="A295" s="7" t="str">
        <x:v>https://www.japantimes.co.jp/news/2025/01/24/japan/crime-legal/chinese-man-japan-boy-stabbing-case/</x:v>
      </x:c>
      <x:c r="B295" s="7" t="str">
        <x:v>2024；2025；2026</x:v>
      </x:c>
      <x:c r="C295" s="7" t="str"/>
      <x:c r="D295" s="2" t="str">
        <x:v>访问失败</x:v>
      </x:c>
      <x:c r="E295" s="9"/>
      <x:c r="F295" s="7" t="str">
        <x:v>访问失败；改用联合早报驻场报道与FNN引用日方判决说明。</x:v>
      </x:c>
    </x:row>
    <x:row r="296" ht="38" customHeight="1">
      <x:c r="A296" s="7" t="str">
        <x:v>线索待核：莒县洛河镇宅科村2024-02-10杀人网传</x:v>
      </x:c>
      <x:c r="B296" s="7" t="str">
        <x:v>2024</x:v>
      </x:c>
      <x:c r="C296" s="7" t="str">
        <x:v>山东</x:v>
      </x:c>
      <x:c r="D296" s="2" t="str">
        <x:v>待核</x:v>
      </x:c>
      <x:c r="E296" s="9"/>
      <x:c r="F296" s="7" t="str">
        <x:v>仅汇编/社交线索，未核实发生规模及是否超出特定对象。</x:v>
      </x:c>
    </x:row>
    <x:row r="297" ht="38" customHeight="1">
      <x:c r="A297" s="7" t="str">
        <x:v>线索待核：沈阳铁西2024-03-19车辆冲撞、4-24持刀、7-4街头伤人</x:v>
      </x:c>
      <x:c r="B297" s="7" t="str">
        <x:v>2024</x:v>
      </x:c>
      <x:c r="C297" s="7" t="str">
        <x:v>辽宁</x:v>
      </x:c>
      <x:c r="D297" s="2" t="str">
        <x:v>待核</x:v>
      </x:c>
      <x:c r="E297" s="9"/>
      <x:c r="F297" s="7" t="str">
        <x:v>事件日期及具体被害关系仍需官方原文核对，防混同多起事件。</x:v>
      </x:c>
    </x:row>
    <x:row r="298" ht="38" customHeight="1">
      <x:c r="A298" s="7" t="str">
        <x:v>线索待核：桂平油麻一中2024-07-04持刀线索</x:v>
      </x:c>
      <x:c r="B298" s="7" t="str">
        <x:v>2024</x:v>
      </x:c>
      <x:c r="C298" s="7" t="str">
        <x:v>广西</x:v>
      </x:c>
      <x:c r="D298" s="2" t="str">
        <x:v>待核</x:v>
      </x:c>
      <x:c r="E298" s="9"/>
      <x:c r="F298" s="7" t="str">
        <x:v>定向搜索主要命中网络汇编，无可靠正文与正式通报。</x:v>
      </x:c>
    </x:row>
    <x:row r="299" ht="38" customHeight="1">
      <x:c r="A299" s="7" t="str">
        <x:v>线索待核：长沙2024-07-21五一广场车辆碰撞、宜章8-25持刀</x:v>
      </x:c>
      <x:c r="B299" s="7" t="str">
        <x:v>2024</x:v>
      </x:c>
      <x:c r="C299" s="7" t="str">
        <x:v>湖南</x:v>
      </x:c>
      <x:c r="D299" s="2" t="str">
        <x:v>待核</x:v>
      </x:c>
      <x:c r="E299" s="9"/>
      <x:c r="F299" s="7" t="str">
        <x:v>从汇编发现，缺逐案官方原文核实。</x:v>
      </x:c>
    </x:row>
    <x:row r="300" ht="38" customHeight="1">
      <x:c r="A300" s="7" t="str">
        <x:v>线索待核：深圳2024-08-02吉祥地铁站车辆碰撞、佛山8-3商场持刀</x:v>
      </x:c>
      <x:c r="B300" s="7" t="str">
        <x:v>2024</x:v>
      </x:c>
      <x:c r="C300" s="7" t="str">
        <x:v>广东</x:v>
      </x:c>
      <x:c r="D300" s="2" t="str">
        <x:v>待核</x:v>
      </x:c>
      <x:c r="E300" s="9"/>
      <x:c r="F300" s="7" t="str">
        <x:v>汇编候选，尚无可审计随机性证据。</x:v>
      </x:c>
    </x:row>
    <x:row r="301" ht="38" customHeight="1">
      <x:c r="A301" s="7" t="str">
        <x:v>线索待核：渠县2024-08-17土溪镇车辆碰撞</x:v>
      </x:c>
      <x:c r="B301" s="7" t="str">
        <x:v>2024</x:v>
      </x:c>
      <x:c r="C301" s="7" t="str">
        <x:v>四川</x:v>
      </x:c>
      <x:c r="D301" s="2" t="str">
        <x:v>待核</x:v>
      </x:c>
      <x:c r="E301" s="9"/>
      <x:c r="F301" s="7" t="str">
        <x:v>汇编线索，需确认交通事故或故意。</x:v>
      </x:c>
    </x:row>
    <x:row r="302" ht="38" customHeight="1">
      <x:c r="A302" s="7" t="str">
        <x:v>线索待核：苏州2024-09-11平江路持刀、泗洪9-19泗州学校车辆碰撞</x:v>
      </x:c>
      <x:c r="B302" s="7" t="str">
        <x:v>2024</x:v>
      </x:c>
      <x:c r="C302" s="7" t="str">
        <x:v>江苏</x:v>
      </x:c>
      <x:c r="D302" s="2" t="str">
        <x:v>待核</x:v>
      </x:c>
      <x:c r="E302" s="9"/>
      <x:c r="F302" s="7" t="str">
        <x:v>汇编候选，未取得可靠逐案正文。</x:v>
      </x:c>
    </x:row>
    <x:row r="303" ht="38" customHeight="1">
      <x:c r="A303" s="7" t="str">
        <x:v>线索待核：景德镇学院2024-10-24车辆碰撞</x:v>
      </x:c>
      <x:c r="B303" s="7" t="str">
        <x:v>2024</x:v>
      </x:c>
      <x:c r="C303" s="7" t="str">
        <x:v>江西</x:v>
      </x:c>
      <x:c r="D303" s="2" t="str">
        <x:v>待核</x:v>
      </x:c>
      <x:c r="E303" s="9"/>
      <x:c r="F303" s="7" t="str">
        <x:v>汇编候选，需确认故意及伤亡。</x:v>
      </x:c>
    </x:row>
    <x:row r="304" ht="38" customHeight="1">
      <x:c r="A304" s="7" t="str">
        <x:v>线索待核：宝丰第四小学2024-12-19车辆碰撞</x:v>
      </x:c>
      <x:c r="B304" s="7" t="str">
        <x:v>2024</x:v>
      </x:c>
      <x:c r="C304" s="7" t="str">
        <x:v>河南</x:v>
      </x:c>
      <x:c r="D304" s="2" t="str">
        <x:v>待核</x:v>
      </x:c>
      <x:c r="E304" s="9"/>
      <x:c r="F304" s="7" t="str">
        <x:v>汇编候选，未取得可靠逐案正文。</x:v>
      </x:c>
    </x:row>
    <x:row r="305" ht="38" customHeight="1">
      <x:c r="A305" s="7" t="str">
        <x:v>线索待核：利辛2025-01-27刘安桥车辆碰撞</x:v>
      </x:c>
      <x:c r="B305" s="7" t="str">
        <x:v>2025</x:v>
      </x:c>
      <x:c r="C305" s="7" t="str">
        <x:v>安徽</x:v>
      </x:c>
      <x:c r="D305" s="2" t="str">
        <x:v>待核</x:v>
      </x:c>
      <x:c r="E305" s="9"/>
      <x:c r="F305" s="7" t="str">
        <x:v>社交汇编线索，伤亡及故意性未核。</x:v>
      </x:c>
    </x:row>
    <x:row r="306" ht="38" customHeight="1">
      <x:c r="A306" s="7" t="str">
        <x:v>线索待核：南京六合程桥2025-01-31持刀线索</x:v>
      </x:c>
      <x:c r="B306" s="7" t="str">
        <x:v>2025</x:v>
      </x:c>
      <x:c r="C306" s="7" t="str">
        <x:v>江苏</x:v>
      </x:c>
      <x:c r="D306" s="2" t="str">
        <x:v>待核</x:v>
      </x:c>
      <x:c r="E306" s="9"/>
      <x:c r="F306" s="7" t="str">
        <x:v>社交汇编线索，伤亡及被害关系未核。</x:v>
      </x:c>
    </x:row>
    <x:row r="307" ht="38" customHeight="1">
      <x:c r="A307" s="7" t="str">
        <x:v>线索待核：诸暨大唐大润发2025-03-23持刀</x:v>
      </x:c>
      <x:c r="B307" s="7" t="str">
        <x:v>2025</x:v>
      </x:c>
      <x:c r="C307" s="7" t="str">
        <x:v>浙江</x:v>
      </x:c>
      <x:c r="D307" s="2" t="str">
        <x:v>待核</x:v>
      </x:c>
      <x:c r="E307" s="9"/>
      <x:c r="F307" s="7" t="str">
        <x:v>社交汇编线索，未纳确认事件。</x:v>
      </x:c>
    </x:row>
    <x:row r="308" ht="38" customHeight="1">
      <x:c r="A308" s="7" t="str">
        <x:v>线索待核：石家庄益东商场2025-04-03爆炸线索</x:v>
      </x:c>
      <x:c r="B308" s="7" t="str">
        <x:v>2025</x:v>
      </x:c>
      <x:c r="C308" s="7" t="str">
        <x:v>河北</x:v>
      </x:c>
      <x:c r="D308" s="2" t="str">
        <x:v>待核</x:v>
      </x:c>
      <x:c r="E308" s="9"/>
      <x:c r="F308" s="7" t="str">
        <x:v>爆炸原因及人为性未核。</x:v>
      </x:c>
    </x:row>
    <x:row r="309" ht="38" customHeight="1">
      <x:c r="A309" s="7" t="str">
        <x:v>线索待核：武汉江夏2025-04-25面馆持刀</x:v>
      </x:c>
      <x:c r="B309" s="7" t="str">
        <x:v>2025</x:v>
      </x:c>
      <x:c r="C309" s="7" t="str">
        <x:v>湖北</x:v>
      </x:c>
      <x:c r="D309" s="2" t="str">
        <x:v>待核</x:v>
      </x:c>
      <x:c r="E309" s="9"/>
      <x:c r="F309" s="7" t="str">
        <x:v>社交汇编线索，未核实是否定向雇佣纠纷。</x:v>
      </x:c>
    </x:row>
    <x:row r="310" ht="38" customHeight="1">
      <x:c r="A310" s="7" t="str">
        <x:v>线索待核：温州平阳2026-05-03车辆冲撞</x:v>
      </x:c>
      <x:c r="B310" s="7" t="str">
        <x:v>2026</x:v>
      </x:c>
      <x:c r="C310" s="7" t="str">
        <x:v>浙江</x:v>
      </x:c>
      <x:c r="D310" s="2" t="str">
        <x:v>待核</x:v>
      </x:c>
      <x:c r="E310" s="9"/>
      <x:c r="F310" s="7" t="str">
        <x:v>定向搜索见网传，故意与逃逸说法冲突，伤亡未经核实。</x:v>
      </x:c>
    </x:row>
    <x:row r="311" ht="38" customHeight="1">
      <x:c r="A311" s="7" t="str">
        <x:v>线索待核：深圳2026-03-26两起伤人、广州地铁2026-04-30喷液线索</x:v>
      </x:c>
      <x:c r="B311" s="7" t="str">
        <x:v>2026</x:v>
      </x:c>
      <x:c r="C311" s="7" t="str">
        <x:v>广东</x:v>
      </x:c>
      <x:c r="D311" s="2" t="str">
        <x:v>待核</x:v>
      </x:c>
      <x:c r="E311" s="9"/>
      <x:c r="F311" s="7" t="str">
        <x:v>均从汇编或网媒关联报道发现，缺直接可信确认。</x:v>
      </x:c>
    </x:row>
    <x:row r="312" ht="38" customHeight="1">
      <x:c r="A312" s="7" t="str">
        <x:v>线索待核：两江2026-03-22车辆碰撞</x:v>
      </x:c>
      <x:c r="B312" s="7" t="str">
        <x:v>2026</x:v>
      </x:c>
      <x:c r="C312" s="7" t="str">
        <x:v>重庆</x:v>
      </x:c>
      <x:c r="D312" s="2" t="str">
        <x:v>待核</x:v>
      </x:c>
      <x:c r="E312" s="9"/>
      <x:c r="F312" s="7" t="str">
        <x:v>汇编候选，未取得可靠正文。</x:v>
      </x:c>
    </x:row>
    <x:row r="313" ht="38" customHeight="1">
      <x:c r="A313" s="7" t="str">
        <x:v>北京 随机伤人 砍人</x:v>
      </x:c>
      <x:c r="B313" s="7" t="str">
        <x:v>2018–2026（宽泛地区补漏，无搜索引擎日期限制）</x:v>
      </x:c>
      <x:c r="C313" s="7" t="str">
        <x:v>北京</x:v>
      </x:c>
      <x:c r="D313" s="2" t="str">
        <x:v>已检索</x:v>
      </x:c>
      <x:c r="E313" s="9"/>
      <x:c r="F313" s="7" t="str">
        <x:v>2026-09-16执行。与分年及既有清单交叉检索互补；无检出不表示实际零发生。</x:v>
      </x:c>
    </x:row>
    <x:row r="314" ht="38" customHeight="1">
      <x:c r="A314" s="7" t="str">
        <x:v>天津 无差别 袭击 伤人</x:v>
      </x:c>
      <x:c r="B314" s="7" t="str">
        <x:v>2018–2026（宽泛地区补漏，无搜索引擎日期限制）</x:v>
      </x:c>
      <x:c r="C314" s="7" t="str">
        <x:v>天津</x:v>
      </x:c>
      <x:c r="D314" s="2" t="str">
        <x:v>已检索</x:v>
      </x:c>
      <x:c r="E314" s="9"/>
      <x:c r="F314" s="7" t="str">
        <x:v>2026-09-16执行。与分年及既有清单交叉检索互补；无检出不表示实际零发生。</x:v>
      </x:c>
    </x:row>
    <x:row r="315" ht="38" customHeight="1">
      <x:c r="A315" s="7" t="str">
        <x:v>河北 报复社会 驾车 伤人</x:v>
      </x:c>
      <x:c r="B315" s="7" t="str">
        <x:v>2018–2026（宽泛地区补漏，无搜索引擎日期限制）</x:v>
      </x:c>
      <x:c r="C315" s="7" t="str">
        <x:v>河北</x:v>
      </x:c>
      <x:c r="D315" s="2" t="str">
        <x:v>已检索</x:v>
      </x:c>
      <x:c r="E315" s="9"/>
      <x:c r="F315" s="7" t="str">
        <x:v>2026-09-16执行。与分年及既有清单交叉检索互补；无检出不表示实际零发生。</x:v>
      </x:c>
    </x:row>
    <x:row r="316" ht="38" customHeight="1">
      <x:c r="A316" s="7" t="str">
        <x:v>山西 随机伤人</x:v>
      </x:c>
      <x:c r="B316" s="7" t="str">
        <x:v>2018–2026（宽泛地区补漏，无搜索引擎日期限制）</x:v>
      </x:c>
      <x:c r="C316" s="7" t="str">
        <x:v>山西</x:v>
      </x:c>
      <x:c r="D316" s="2" t="str">
        <x:v>已检索</x:v>
      </x:c>
      <x:c r="E316" s="9"/>
      <x:c r="F316" s="7" t="str">
        <x:v>2026-09-16执行。与分年及既有清单交叉检索互补；无检出不表示实际零发生。</x:v>
      </x:c>
    </x:row>
    <x:row r="317" ht="38" customHeight="1">
      <x:c r="A317" s="7" t="str">
        <x:v>内蒙古 持刀 伤人 随机</x:v>
      </x:c>
      <x:c r="B317" s="7" t="str">
        <x:v>2018–2026（宽泛地区补漏，无搜索引擎日期限制）</x:v>
      </x:c>
      <x:c r="C317" s="7" t="str">
        <x:v>内蒙古</x:v>
      </x:c>
      <x:c r="D317" s="2" t="str">
        <x:v>已检索</x:v>
      </x:c>
      <x:c r="E317" s="9"/>
      <x:c r="F317" s="7" t="str">
        <x:v>2026-09-16执行。与分年及既有清单交叉检索互补；无检出不表示实际零发生。</x:v>
      </x:c>
    </x:row>
    <x:row r="318" ht="38" customHeight="1">
      <x:c r="A318" s="7" t="str">
        <x:v>辽宁 无差别 伤人 袭击</x:v>
      </x:c>
      <x:c r="B318" s="7" t="str">
        <x:v>2018–2026（宽泛地区补漏，无搜索引擎日期限制）</x:v>
      </x:c>
      <x:c r="C318" s="7" t="str">
        <x:v>辽宁</x:v>
      </x:c>
      <x:c r="D318" s="2" t="str">
        <x:v>已检索</x:v>
      </x:c>
      <x:c r="E318" s="9"/>
      <x:c r="F318" s="7" t="str">
        <x:v>2026-09-16执行。与分年及既有清单交叉检索互补；无检出不表示实际零发生。</x:v>
      </x:c>
    </x:row>
    <x:row r="319" ht="38" customHeight="1">
      <x:c r="A319" s="7" t="str">
        <x:v>吉林 随机 伤人 警方</x:v>
      </x:c>
      <x:c r="B319" s="7" t="str">
        <x:v>2018–2026（宽泛地区补漏，无搜索引擎日期限制）</x:v>
      </x:c>
      <x:c r="C319" s="7" t="str">
        <x:v>吉林</x:v>
      </x:c>
      <x:c r="D319" s="2" t="str">
        <x:v>已检索</x:v>
      </x:c>
      <x:c r="E319" s="9"/>
      <x:c r="F319" s="7" t="str">
        <x:v>2026-09-16执行。与分年及既有清单交叉检索互补；无检出不表示实际零发生。</x:v>
      </x:c>
    </x:row>
    <x:row r="320" ht="38" customHeight="1">
      <x:c r="A320" s="7" t="str">
        <x:v>黑龙江 随机伤人</x:v>
      </x:c>
      <x:c r="B320" s="7" t="str">
        <x:v>2018–2026（宽泛地区补漏，无搜索引擎日期限制）</x:v>
      </x:c>
      <x:c r="C320" s="7" t="str">
        <x:v>黑龙江</x:v>
      </x:c>
      <x:c r="D320" s="2" t="str">
        <x:v>已检索</x:v>
      </x:c>
      <x:c r="E320" s="9"/>
      <x:c r="F320" s="7" t="str">
        <x:v>2026-09-16执行。与分年及既有清单交叉检索互补；无检出不表示实际零发生。</x:v>
      </x:c>
    </x:row>
    <x:row r="321" ht="38" customHeight="1">
      <x:c r="A321" s="7" t="str">
        <x:v>上海 随机伤人</x:v>
      </x:c>
      <x:c r="B321" s="7" t="str">
        <x:v>2018–2026（宽泛地区补漏，无搜索引擎日期限制）</x:v>
      </x:c>
      <x:c r="C321" s="7" t="str">
        <x:v>上海</x:v>
      </x:c>
      <x:c r="D321" s="2" t="str">
        <x:v>已检索</x:v>
      </x:c>
      <x:c r="E321" s="9"/>
      <x:c r="F321" s="7" t="str">
        <x:v>2026-09-16执行。与分年及既有清单交叉检索互补；无检出不表示实际零发生。</x:v>
      </x:c>
    </x:row>
    <x:row r="322" ht="38" customHeight="1">
      <x:c r="A322" s="7" t="str">
        <x:v>江苏 随机伤人</x:v>
      </x:c>
      <x:c r="B322" s="7" t="str">
        <x:v>2018–2026（宽泛地区补漏，无搜索引擎日期限制）</x:v>
      </x:c>
      <x:c r="C322" s="7" t="str">
        <x:v>江苏</x:v>
      </x:c>
      <x:c r="D322" s="2" t="str">
        <x:v>已检索</x:v>
      </x:c>
      <x:c r="E322" s="9"/>
      <x:c r="F322" s="7" t="str">
        <x:v>2026-09-16执行。与分年及既有清单交叉检索互补；无检出不表示实际零发生。</x:v>
      </x:c>
    </x:row>
    <x:row r="323" ht="38" customHeight="1">
      <x:c r="A323" s="7" t="str">
        <x:v>浙江 随机伤人</x:v>
      </x:c>
      <x:c r="B323" s="7" t="str">
        <x:v>2018–2026（宽泛地区补漏，无搜索引擎日期限制）</x:v>
      </x:c>
      <x:c r="C323" s="7" t="str">
        <x:v>浙江</x:v>
      </x:c>
      <x:c r="D323" s="2" t="str">
        <x:v>已检索</x:v>
      </x:c>
      <x:c r="E323" s="9"/>
      <x:c r="F323" s="7" t="str">
        <x:v>2026-09-16执行。与分年及既有清单交叉检索互补；无检出不表示实际零发生。</x:v>
      </x:c>
    </x:row>
    <x:row r="324" ht="38" customHeight="1">
      <x:c r="A324" s="7" t="str">
        <x:v>安徽 随机伤人</x:v>
      </x:c>
      <x:c r="B324" s="7" t="str">
        <x:v>2018–2026（宽泛地区补漏，无搜索引擎日期限制）</x:v>
      </x:c>
      <x:c r="C324" s="7" t="str">
        <x:v>安徽</x:v>
      </x:c>
      <x:c r="D324" s="2" t="str">
        <x:v>已检索</x:v>
      </x:c>
      <x:c r="E324" s="9"/>
      <x:c r="F324" s="7" t="str">
        <x:v>2026-09-16执行。与分年及既有清单交叉检索互补；无检出不表示实际零发生。</x:v>
      </x:c>
    </x:row>
    <x:row r="325" ht="38" customHeight="1">
      <x:c r="A325" s="7" t="str">
        <x:v>福建 "持刀" "随机"</x:v>
      </x:c>
      <x:c r="B325" s="7" t="str">
        <x:v>2018–2026（宽泛地区补漏，无搜索引擎日期限制）</x:v>
      </x:c>
      <x:c r="C325" s="7" t="str">
        <x:v>福建</x:v>
      </x:c>
      <x:c r="D325" s="2" t="str">
        <x:v>已检索</x:v>
      </x:c>
      <x:c r="E325" s="9"/>
      <x:c r="F325" s="7" t="str">
        <x:v>2026-09-16执行。与分年及既有清单交叉检索互补；无检出不表示实际零发生。</x:v>
      </x:c>
    </x:row>
    <x:row r="326" ht="38" customHeight="1">
      <x:c r="A326" s="7" t="str">
        <x:v>江西 "持刀" "随机"</x:v>
      </x:c>
      <x:c r="B326" s="7" t="str">
        <x:v>2018–2026（宽泛地区补漏，无搜索引擎日期限制）</x:v>
      </x:c>
      <x:c r="C326" s="7" t="str">
        <x:v>江西</x:v>
      </x:c>
      <x:c r="D326" s="2" t="str">
        <x:v>已检索</x:v>
      </x:c>
      <x:c r="E326" s="9"/>
      <x:c r="F326" s="7" t="str">
        <x:v>2026-09-16执行。与分年及既有清单交叉检索互补；无检出不表示实际零发生。</x:v>
      </x:c>
    </x:row>
    <x:row r="327" ht="38" customHeight="1">
      <x:c r="A327" s="7" t="str">
        <x:v>山东 "驾车" "报复社会"</x:v>
      </x:c>
      <x:c r="B327" s="7" t="str">
        <x:v>2018–2026（宽泛地区补漏，无搜索引擎日期限制）</x:v>
      </x:c>
      <x:c r="C327" s="7" t="str">
        <x:v>山东</x:v>
      </x:c>
      <x:c r="D327" s="2" t="str">
        <x:v>已检索</x:v>
      </x:c>
      <x:c r="E327" s="9"/>
      <x:c r="F327" s="7" t="str">
        <x:v>2026-09-16执行。与分年及既有清单交叉检索互补；无检出不表示实际零发生。</x:v>
      </x:c>
    </x:row>
    <x:row r="328" ht="38" customHeight="1">
      <x:c r="A328" s="7" t="str">
        <x:v>河南 "随机伤人"</x:v>
      </x:c>
      <x:c r="B328" s="7" t="str">
        <x:v>2018–2026（宽泛地区补漏，无搜索引擎日期限制）</x:v>
      </x:c>
      <x:c r="C328" s="7" t="str">
        <x:v>河南</x:v>
      </x:c>
      <x:c r="D328" s="2" t="str">
        <x:v>已检索</x:v>
      </x:c>
      <x:c r="E328" s="9"/>
      <x:c r="F328" s="7" t="str">
        <x:v>2026-09-16执行。与分年及既有清单交叉检索互补；无检出不表示实际零发生。</x:v>
      </x:c>
    </x:row>
    <x:row r="329" ht="38" customHeight="1">
      <x:c r="A329" s="7" t="str">
        <x:v>湖北 "随机伤人"</x:v>
      </x:c>
      <x:c r="B329" s="7" t="str">
        <x:v>2018–2026（宽泛地区补漏，无搜索引擎日期限制）</x:v>
      </x:c>
      <x:c r="C329" s="7" t="str">
        <x:v>湖北</x:v>
      </x:c>
      <x:c r="D329" s="2" t="str">
        <x:v>已检索</x:v>
      </x:c>
      <x:c r="E329" s="9"/>
      <x:c r="F329" s="7" t="str">
        <x:v>2026-09-16执行。与分年及既有清单交叉检索互补；无检出不表示实际零发生。</x:v>
      </x:c>
    </x:row>
    <x:row r="330" ht="38" customHeight="1">
      <x:c r="A330" s="7" t="str">
        <x:v>湖南 "随机伤人"</x:v>
      </x:c>
      <x:c r="B330" s="7" t="str">
        <x:v>2018–2026（宽泛地区补漏，无搜索引擎日期限制）</x:v>
      </x:c>
      <x:c r="C330" s="7" t="str">
        <x:v>湖南</x:v>
      </x:c>
      <x:c r="D330" s="2" t="str">
        <x:v>已检索</x:v>
      </x:c>
      <x:c r="E330" s="9"/>
      <x:c r="F330" s="7" t="str">
        <x:v>2026-09-16执行。与分年及既有清单交叉检索互补；无检出不表示实际零发生。</x:v>
      </x:c>
    </x:row>
    <x:row r="331" ht="38" customHeight="1">
      <x:c r="A331" s="7" t="str">
        <x:v>广东 "随机伤人"</x:v>
      </x:c>
      <x:c r="B331" s="7" t="str">
        <x:v>2018–2026（宽泛地区补漏，无搜索引擎日期限制）</x:v>
      </x:c>
      <x:c r="C331" s="7" t="str">
        <x:v>广东</x:v>
      </x:c>
      <x:c r="D331" s="2" t="str">
        <x:v>已检索</x:v>
      </x:c>
      <x:c r="E331" s="9"/>
      <x:c r="F331" s="7" t="str">
        <x:v>2026-09-16执行。与分年及既有清单交叉检索互补；无检出不表示实际零发生。</x:v>
      </x:c>
    </x:row>
    <x:row r="332" ht="38" customHeight="1">
      <x:c r="A332" s="7" t="str">
        <x:v>广西 "随机伤人"</x:v>
      </x:c>
      <x:c r="B332" s="7" t="str">
        <x:v>2018–2026（宽泛地区补漏，无搜索引擎日期限制）</x:v>
      </x:c>
      <x:c r="C332" s="7" t="str">
        <x:v>广西</x:v>
      </x:c>
      <x:c r="D332" s="2" t="str">
        <x:v>已检索</x:v>
      </x:c>
      <x:c r="E332" s="9"/>
      <x:c r="F332" s="7" t="str">
        <x:v>2026-09-16执行。与分年及既有清单交叉检索互补；无检出不表示实际零发生。</x:v>
      </x:c>
    </x:row>
    <x:row r="333" ht="38" customHeight="1">
      <x:c r="A333" s="7" t="str">
        <x:v>海南 "随机伤人"</x:v>
      </x:c>
      <x:c r="B333" s="7" t="str">
        <x:v>2018–2026（宽泛地区补漏，无搜索引擎日期限制）</x:v>
      </x:c>
      <x:c r="C333" s="7" t="str">
        <x:v>海南</x:v>
      </x:c>
      <x:c r="D333" s="2" t="str">
        <x:v>已检索</x:v>
      </x:c>
      <x:c r="E333" s="9"/>
      <x:c r="F333" s="7" t="str">
        <x:v>2026-09-16执行。与分年及既有清单交叉检索互补；无检出不表示实际零发生。</x:v>
      </x:c>
    </x:row>
    <x:row r="334" ht="38" customHeight="1">
      <x:c r="A334" s="7" t="str">
        <x:v>重庆 "随机伤人"</x:v>
      </x:c>
      <x:c r="B334" s="7" t="str">
        <x:v>2018–2026（宽泛地区补漏，无搜索引擎日期限制）</x:v>
      </x:c>
      <x:c r="C334" s="7" t="str">
        <x:v>重庆</x:v>
      </x:c>
      <x:c r="D334" s="2" t="str">
        <x:v>已检索</x:v>
      </x:c>
      <x:c r="E334" s="9"/>
      <x:c r="F334" s="7" t="str">
        <x:v>2026-09-16执行。与分年及既有清单交叉检索互补；无检出不表示实际零发生。</x:v>
      </x:c>
    </x:row>
    <x:row r="335" ht="38" customHeight="1">
      <x:c r="A335" s="7" t="str">
        <x:v>四川 "随机伤人"</x:v>
      </x:c>
      <x:c r="B335" s="7" t="str">
        <x:v>2018–2026（宽泛地区补漏，无搜索引擎日期限制）</x:v>
      </x:c>
      <x:c r="C335" s="7" t="str">
        <x:v>四川</x:v>
      </x:c>
      <x:c r="D335" s="2" t="str">
        <x:v>已检索</x:v>
      </x:c>
      <x:c r="E335" s="9"/>
      <x:c r="F335" s="7" t="str">
        <x:v>2026-09-16执行。与分年及既有清单交叉检索互补；无检出不表示实际零发生。</x:v>
      </x:c>
    </x:row>
    <x:row r="336" ht="38" customHeight="1">
      <x:c r="A336" s="7" t="str">
        <x:v>贵州 "随机伤人"</x:v>
      </x:c>
      <x:c r="B336" s="7" t="str">
        <x:v>2018–2026（宽泛地区补漏，无搜索引擎日期限制）</x:v>
      </x:c>
      <x:c r="C336" s="7" t="str">
        <x:v>贵州</x:v>
      </x:c>
      <x:c r="D336" s="2" t="str">
        <x:v>已检索</x:v>
      </x:c>
      <x:c r="E336" s="9"/>
      <x:c r="F336" s="7" t="str">
        <x:v>2026-09-16执行。与分年及既有清单交叉检索互补；无检出不表示实际零发生。</x:v>
      </x:c>
    </x:row>
    <x:row r="337" ht="38" customHeight="1">
      <x:c r="A337" s="7" t="str">
        <x:v>云南 "无差别" "伤人"</x:v>
      </x:c>
      <x:c r="B337" s="7" t="str">
        <x:v>2018–2026（宽泛地区补漏，无搜索引擎日期限制）</x:v>
      </x:c>
      <x:c r="C337" s="7" t="str">
        <x:v>云南</x:v>
      </x:c>
      <x:c r="D337" s="2" t="str">
        <x:v>已检索</x:v>
      </x:c>
      <x:c r="E337" s="9"/>
      <x:c r="F337" s="7" t="str">
        <x:v>2026-09-16执行。与分年及既有清单交叉检索互补；无检出不表示实际零发生。</x:v>
      </x:c>
    </x:row>
    <x:row r="338" ht="38" customHeight="1">
      <x:c r="A338" s="7" t="str">
        <x:v>西藏 "持刀伤人"</x:v>
      </x:c>
      <x:c r="B338" s="7" t="str">
        <x:v>2018–2026（宽泛地区补漏，无搜索引擎日期限制）</x:v>
      </x:c>
      <x:c r="C338" s="7" t="str">
        <x:v>西藏</x:v>
      </x:c>
      <x:c r="D338" s="2" t="str">
        <x:v>已检索</x:v>
      </x:c>
      <x:c r="E338" s="9"/>
      <x:c r="F338" s="7" t="str">
        <x:v>2026-09-16执行。与分年及既有清单交叉检索互补；无检出不表示实际零发生。</x:v>
      </x:c>
    </x:row>
    <x:row r="339" ht="38" customHeight="1">
      <x:c r="A339" s="7" t="str">
        <x:v>陕西 "随机" "伤人"</x:v>
      </x:c>
      <x:c r="B339" s="7" t="str">
        <x:v>2018–2026（宽泛地区补漏，无搜索引擎日期限制）</x:v>
      </x:c>
      <x:c r="C339" s="7" t="str">
        <x:v>陕西</x:v>
      </x:c>
      <x:c r="D339" s="2" t="str">
        <x:v>已检索</x:v>
      </x:c>
      <x:c r="E339" s="9"/>
      <x:c r="F339" s="7" t="str">
        <x:v>2026-09-16执行。与分年及既有清单交叉检索互补；无检出不表示实际零发生。</x:v>
      </x:c>
    </x:row>
    <x:row r="340" ht="38" customHeight="1">
      <x:c r="A340" s="7" t="str">
        <x:v>甘肃 "无差别" "伤人"</x:v>
      </x:c>
      <x:c r="B340" s="7" t="str">
        <x:v>2018–2026（宽泛地区补漏，无搜索引擎日期限制）</x:v>
      </x:c>
      <x:c r="C340" s="7" t="str">
        <x:v>甘肃</x:v>
      </x:c>
      <x:c r="D340" s="2" t="str">
        <x:v>已检索</x:v>
      </x:c>
      <x:c r="E340" s="9"/>
      <x:c r="F340" s="7" t="str">
        <x:v>2026-09-16执行。与分年及既有清单交叉检索互补；无检出不表示实际零发生。</x:v>
      </x:c>
    </x:row>
    <x:row r="341" ht="38" customHeight="1">
      <x:c r="A341" s="7" t="str">
        <x:v>青海 "持刀" "随机"</x:v>
      </x:c>
      <x:c r="B341" s="7" t="str">
        <x:v>2018–2026（宽泛地区补漏，无搜索引擎日期限制）</x:v>
      </x:c>
      <x:c r="C341" s="7" t="str">
        <x:v>青海</x:v>
      </x:c>
      <x:c r="D341" s="2" t="str">
        <x:v>已检索</x:v>
      </x:c>
      <x:c r="E341" s="9"/>
      <x:c r="F341" s="7" t="str">
        <x:v>2026-09-16执行。与分年及既有清单交叉检索互补；无检出不表示实际零发生。</x:v>
      </x:c>
    </x:row>
    <x:row r="342" ht="38" customHeight="1">
      <x:c r="A342" s="7" t="str">
        <x:v>宁夏 "随机伤人"</x:v>
      </x:c>
      <x:c r="B342" s="7" t="str">
        <x:v>2018–2026（宽泛地区补漏，无搜索引擎日期限制）</x:v>
      </x:c>
      <x:c r="C342" s="7" t="str">
        <x:v>宁夏</x:v>
      </x:c>
      <x:c r="D342" s="2" t="str">
        <x:v>已检索</x:v>
      </x:c>
      <x:c r="E342" s="9"/>
      <x:c r="F342" s="7" t="str">
        <x:v>2026-09-16执行。与分年及既有清单交叉检索互补；无检出不表示实际零发生。</x:v>
      </x:c>
    </x:row>
    <x:row r="343" ht="38" customHeight="1">
      <x:c r="A343" s="7" t="str">
        <x:v>新疆 "随机伤人"</x:v>
      </x:c>
      <x:c r="B343" s="7" t="str">
        <x:v>2018–2026（宽泛地区补漏，无搜索引擎日期限制）</x:v>
      </x:c>
      <x:c r="C343" s="7" t="str">
        <x:v>新疆</x:v>
      </x:c>
      <x:c r="D343" s="2" t="str">
        <x:v>已检索</x:v>
      </x:c>
      <x:c r="E343" s="9"/>
      <x:c r="F343" s="7" t="str">
        <x:v>2026-09-16执行。与分年及既有清单交叉检索互补；无检出不表示实际零发生。</x:v>
      </x:c>
    </x:row>
    <x:row r="344" ht="38" customHeight="1">
      <x:c r="A344" s="7" t="str">
        <x:v>2018 2019 2020 中国 境内 恐怖袭击 事件</x:v>
      </x:c>
      <x:c r="B344" s="7" t="str">
        <x:v>2018 2019 2020</x:v>
      </x:c>
      <x:c r="C344" s="7" t="str">
        <x:v>中国大陆</x:v>
      </x:c>
      <x:c r="D344" s="2" t="str">
        <x:v>已检索</x:v>
      </x:c>
      <x:c r="E344" s="9"/>
      <x:c r="F344" s="7" t="str">
        <x:v>2026-09-16补查有组织恐怖袭击。检出多为境外袭击中国公民、区间外案件或将个体袭击泛称恐怖主义，未检出满足组织性认定且在研究范围的可核实新增事件。</x:v>
      </x:c>
    </x:row>
    <x:row r="345" ht="38" customHeight="1">
      <x:c r="A345" s="7" t="str">
        <x:v>2021 2022 2023 中国大陆 恐怖袭击 事件</x:v>
      </x:c>
      <x:c r="B345" s="7" t="str">
        <x:v>2021 2022 2023</x:v>
      </x:c>
      <x:c r="C345" s="7" t="str">
        <x:v>中国大陆</x:v>
      </x:c>
      <x:c r="D345" s="2" t="str">
        <x:v>已检索</x:v>
      </x:c>
      <x:c r="E345" s="9"/>
      <x:c r="F345" s="7" t="str">
        <x:v>2026-09-16补查有组织恐怖袭击。检出多为境外袭击中国公民、区间外案件或将个体袭击泛称恐怖主义，未检出满足组织性认定且在研究范围的可核实新增事件。</x:v>
      </x:c>
    </x:row>
    <x:row r="346" ht="38" customHeight="1">
      <x:c r="A346" s="7" t="str">
        <x:v>2024 2025 2026 中国大陆 恐怖袭击 事件</x:v>
      </x:c>
      <x:c r="B346" s="7" t="str">
        <x:v>2024 2025 2026</x:v>
      </x:c>
      <x:c r="C346" s="7" t="str">
        <x:v>中国大陆</x:v>
      </x:c>
      <x:c r="D346" s="2" t="str">
        <x:v>已检索</x:v>
      </x:c>
      <x:c r="E346" s="9"/>
      <x:c r="F346" s="7" t="str">
        <x:v>2026-09-16补查有组织恐怖袭击。检出多为境外袭击中国公民、区间外案件或将个体袭击泛称恐怖主义，未检出满足组织性认定且在研究范围的可核实新增事件。</x:v>
      </x:c>
    </x:row>
    <x:row r="347" ht="38" customHeight="1">
      <x:c r="A347" s="7" t="str">
        <x:v>https://www.court.gov.cn/zixun/xiangqing/505401.html</x:v>
      </x:c>
      <x:c r="B347" s="7" t="str">
        <x:v>2026</x:v>
      </x:c>
      <x:c r="C347" s="7" t="str">
        <x:v>全国</x:v>
      </x:c>
      <x:c r="D347" s="2" t="str">
        <x:v>web正文部分可读；Python证书校验失败；系统curl保留证书校验成功</x:v>
      </x:c>
      <x:c r="E347" s="9"/>
      <x:c r="F347" s="7" t="str">
        <x:v>2026补查最终复核：逐项复核昆明、深圳、嘉禾、湖州、白沙；发现锡林浩特与曲沃遗漏并转入分季补查。</x:v>
      </x:c>
    </x:row>
    <x:row r="348" ht="38" customHeight="1">
      <x:c r="A348" s="7" t="str">
        <x:v>https://www.spp.gov.cn/spp/zdgz/202603/t20260330_725001.shtml</x:v>
      </x:c>
      <x:c r="B348" s="7" t="str">
        <x:v>2026</x:v>
      </x:c>
      <x:c r="C348" s="7" t="str">
        <x:v>全国</x:v>
      </x:c>
      <x:c r="D348" s="2" t="str">
        <x:v>web访问失败</x:v>
      </x:c>
      <x:c r="E348" s="9"/>
      <x:c r="F348" s="7" t="str">
        <x:v>2026补查最终复核：第一季度官方材料root复读失败，保留研究员成功HTTP访问与转载核验记录。</x:v>
      </x:c>
    </x:row>
    <x:row r="349" ht="38" customHeight="1">
      <x:c r="A349" s="7" t="str">
        <x:v>https://finance.sina.com.cn/jjxw/2026-08-20/doc-ininxkrz8884709.shtml</x:v>
      </x:c>
      <x:c r="B349" s="7" t="str">
        <x:v>2026</x:v>
      </x:c>
      <x:c r="C349" s="7" t="str">
        <x:v>全国</x:v>
      </x:c>
      <x:c r="D349" s="2" t="str">
        <x:v>正文已访问</x:v>
      </x:c>
      <x:c r="E349" s="9"/>
      <x:c r="F349" s="7" t="str">
        <x:v>2026补查最终复核：复核西宁先伤摊主、后伤劝架者的目击者采访引用及新黄河独立采访，扩大类依据成立。</x:v>
      </x:c>
    </x:row>
    <x:row r="350" ht="38" customHeight="1">
      <x:c r="A350" s="7" t="str">
        <x:v>https://finance.sina.com.cn/wm/2026-05-01/doc-inhwkpte5570692.shtml</x:v>
      </x:c>
      <x:c r="B350" s="7" t="str">
        <x:v>2026</x:v>
      </x:c>
      <x:c r="C350" s="7" t="str">
        <x:v>全国</x:v>
      </x:c>
      <x:c r="D350" s="2" t="str">
        <x:v>正文已访问</x:v>
      </x:c>
      <x:c r="E350" s="9"/>
      <x:c r="F350" s="7" t="str">
        <x:v>2026补查最终复核：复核广州地铁辣椒水：潇湘晨报和荔枝分别采访亲历者，派出所人员确认抓获；未将症状当精确伤者数。</x:v>
      </x:c>
    </x:row>
    <x:row r="351" ht="38" customHeight="1">
      <x:c r="A351" s="7" t="str">
        <x:v>site:x.com/whyyoutouzhele "2026" "1月" "砍"</x:v>
      </x:c>
      <x:c r="B351" s="7" t="str">
        <x:v>2026</x:v>
      </x:c>
      <x:c r="C351" s="7" t="str">
        <x:v>全国</x:v>
      </x:c>
      <x:c r="D351" s="2" t="str">
        <x:v>已检索</x:v>
      </x:c>
      <x:c r="E351" s="9"/>
      <x:c r="F351" s="7" t="str">
        <x:v>直接X索引稀疏，改用公开镜像与Telegram</x:v>
      </x:c>
    </x:row>
    <x:row r="352" ht="38" customHeight="1">
      <x:c r="A352" s="7" t="str">
        <x:v>site:x.com/whyyoutouzhele "2026" "2月" "撞"</x:v>
      </x:c>
      <x:c r="B352" s="7" t="str">
        <x:v>2026</x:v>
      </x:c>
      <x:c r="C352" s="7" t="str">
        <x:v>全国</x:v>
      </x:c>
      <x:c r="D352" s="2" t="str">
        <x:v>已检索</x:v>
      </x:c>
      <x:c r="E352" s="9"/>
      <x:c r="F352" s="7" t="str">
        <x:v>命中4月144案汇总镜像</x:v>
      </x:c>
    </x:row>
    <x:row r="353" ht="38" customHeight="1">
      <x:c r="A353" s="7" t="str">
        <x:v>site:x.com/whyyoutouzhele "2026" "3月" "砍"</x:v>
      </x:c>
      <x:c r="B353" s="7" t="str">
        <x:v>2026</x:v>
      </x:c>
      <x:c r="C353" s="7" t="str">
        <x:v>全国</x:v>
      </x:c>
      <x:c r="D353" s="2" t="str">
        <x:v>已检索</x:v>
      </x:c>
      <x:c r="E353" s="9"/>
      <x:c r="F353" s="7" t="str">
        <x:v>命中汇总及后续帖子</x:v>
      </x:c>
    </x:row>
    <x:row r="354" ht="38" customHeight="1">
      <x:c r="A354" s="7" t="str">
        <x:v>2026 1月 2月 3月 持刀 伤人 李老师不是你老师</x:v>
      </x:c>
      <x:c r="B354" s="7" t="str">
        <x:v>2026</x:v>
      </x:c>
      <x:c r="C354" s="7" t="str">
        <x:v>全国</x:v>
      </x:c>
      <x:c r="D354" s="2" t="str">
        <x:v>已检索</x:v>
      </x:c>
      <x:c r="E354" s="9" t="n">
        <x:v>13</x:v>
      </x:c>
      <x:c r="F354" s="7" t="str">
        <x:v>12项汇总中一项含深圳两地，全部逐案核查</x:v>
      </x:c>
    </x:row>
    <x:row r="355" ht="38" customHeight="1">
      <x:c r="A355" s="7" t="str">
        <x:v>2026 1月19日 中山 港口 覃某 货车 警情通报</x:v>
      </x:c>
      <x:c r="B355" s="7" t="str">
        <x:v>2026</x:v>
      </x:c>
      <x:c r="C355" s="7" t="str">
        <x:v>全国</x:v>
      </x:c>
      <x:c r="D355" s="2" t="str">
        <x:v>已检索</x:v>
      </x:c>
      <x:c r="E355" s="9" t="n">
        <x:v>1</x:v>
      </x:c>
      <x:c r="F355" s="7" t="str">
        <x:v>中山网仅图；新黄河完整通报转载可核</x:v>
      </x:c>
    </x:row>
    <x:row r="356" ht="38" customHeight="1">
      <x:c r="A356" s="7" t="str">
        <x:v>2026 1月27日 太和 口腔癌 持刀 夫妻</x:v>
      </x:c>
      <x:c r="B356" s="7" t="str">
        <x:v>2026</x:v>
      </x:c>
      <x:c r="C356" s="7" t="str">
        <x:v>全国</x:v>
      </x:c>
      <x:c r="D356" s="2" t="str">
        <x:v>已检索</x:v>
      </x:c>
      <x:c r="E356" s="9" t="n">
        <x:v>1</x:v>
      </x:c>
      <x:c r="F356" s="7" t="str">
        <x:v>同期报道与原帖证1月26日，未找到官方通报</x:v>
      </x:c>
    </x:row>
    <x:row r="357" ht="38" customHeight="1">
      <x:c r="A357" s="7" t="str">
        <x:v>2026 1月31日 银川 朝阳巷 持刀</x:v>
      </x:c>
      <x:c r="B357" s="7" t="str">
        <x:v>2026</x:v>
      </x:c>
      <x:c r="C357" s="7" t="str">
        <x:v>全国</x:v>
      </x:c>
      <x:c r="D357" s="2" t="str">
        <x:v>已检索</x:v>
      </x:c>
      <x:c r="E357" s="9" t="n">
        <x:v>1</x:v>
      </x:c>
      <x:c r="F357" s="7" t="str">
        <x:v>检得警方完整通报，定向纠纷排除</x:v>
      </x:c>
    </x:row>
    <x:row r="358" ht="38" customHeight="1">
      <x:c r="A358" s="7" t="str">
        <x:v>2026 2月3日 万丰海岸城 伤人 警方</x:v>
      </x:c>
      <x:c r="B358" s="7" t="str">
        <x:v>2026</x:v>
      </x:c>
      <x:c r="C358" s="7" t="str">
        <x:v>全国</x:v>
      </x:c>
      <x:c r="D358" s="2" t="str">
        <x:v>已检索</x:v>
      </x:c>
      <x:c r="E358" s="9" t="n">
        <x:v>1</x:v>
      </x:c>
      <x:c r="F358" s="7" t="str">
        <x:v>未检出警方正文，仅社媒线索</x:v>
      </x:c>
    </x:row>
    <x:row r="359" ht="38" customHeight="1">
      <x:c r="A359" s="7" t="str">
        <x:v>"1月27日" "太和" "持刀"</x:v>
      </x:c>
      <x:c r="B359" s="7" t="str">
        <x:v>2026</x:v>
      </x:c>
      <x:c r="C359" s="7" t="str">
        <x:v>全国</x:v>
      </x:c>
      <x:c r="D359" s="2" t="str">
        <x:v>已检索</x:v>
      </x:c>
      <x:c r="E359" s="9" t="n">
        <x:v>1</x:v>
      </x:c>
      <x:c r="F359" s="7" t="str">
        <x:v>NTD正文采用网传视频非独立采集</x:v>
      </x:c>
    </x:row>
    <x:row r="360" ht="38" customHeight="1">
      <x:c r="A360" s="7" t="str">
        <x:v>"2月3日" "万丰海岸城" "持刀"</x:v>
      </x:c>
      <x:c r="B360" s="7" t="str">
        <x:v>2026</x:v>
      </x:c>
      <x:c r="C360" s="7" t="str">
        <x:v>全国</x:v>
      </x:c>
      <x:c r="D360" s="2" t="str">
        <x:v>已检索</x:v>
      </x:c>
      <x:c r="E360" s="9" t="n">
        <x:v>0</x:v>
      </x:c>
      <x:c r="F360" s="7" t="str">
        <x:v>未检得独立确认</x:v>
      </x:c>
    </x:row>
    <x:row r="361" ht="38" customHeight="1">
      <x:c r="A361" s="7" t="str">
        <x:v>"2月21日" "开封" "持刀" "2026"</x:v>
      </x:c>
      <x:c r="B361" s="7" t="str">
        <x:v>2026</x:v>
      </x:c>
      <x:c r="C361" s="7" t="str">
        <x:v>全国</x:v>
      </x:c>
      <x:c r="D361" s="2" t="str">
        <x:v>已检索</x:v>
      </x:c>
      <x:c r="E361" s="9" t="n">
        <x:v>0</x:v>
      </x:c>
      <x:c r="F361" s="7" t="str">
        <x:v>未检得同案官方信息</x:v>
      </x:c>
    </x:row>
    <x:row r="362" ht="38" customHeight="1">
      <x:c r="A362" s="7" t="str">
        <x:v>"2月12日" "德润龙庭" "2026"</x:v>
      </x:c>
      <x:c r="B362" s="7" t="str">
        <x:v>2026</x:v>
      </x:c>
      <x:c r="C362" s="7" t="str">
        <x:v>全国</x:v>
      </x:c>
      <x:c r="D362" s="2" t="str">
        <x:v>已检索</x:v>
      </x:c>
      <x:c r="E362" s="9" t="n">
        <x:v>0</x:v>
      </x:c>
      <x:c r="F362" s="7" t="str">
        <x:v>未检得处罚决定或独立报道</x:v>
      </x:c>
    </x:row>
    <x:row r="363" ht="38" customHeight="1">
      <x:c r="A363" s="7" t="str">
        <x:v>万丰海岸城 捅人 2026</x:v>
      </x:c>
      <x:c r="B363" s="7" t="str">
        <x:v>2026</x:v>
      </x:c>
      <x:c r="C363" s="7" t="str">
        <x:v>全国</x:v>
      </x:c>
      <x:c r="D363" s="2" t="str">
        <x:v>已检索</x:v>
      </x:c>
      <x:c r="E363" s="9" t="n">
        <x:v>0</x:v>
      </x:c>
      <x:c r="F363" s="7" t="str">
        <x:v>结果多为无关商业信息</x:v>
      </x:c>
    </x:row>
    <x:row r="364" ht="38" customHeight="1">
      <x:c r="A364" s="7" t="str">
        <x:v>德润龙庭 开车 撞人 2026</x:v>
      </x:c>
      <x:c r="B364" s="7" t="str">
        <x:v>2026</x:v>
      </x:c>
      <x:c r="C364" s="7" t="str">
        <x:v>全国</x:v>
      </x:c>
      <x:c r="D364" s="2" t="str">
        <x:v>已检索</x:v>
      </x:c>
      <x:c r="E364" s="9" t="n">
        <x:v>0</x:v>
      </x:c>
      <x:c r="F364" s="7" t="str">
        <x:v>未检得独立核实</x:v>
      </x:c>
    </x:row>
    <x:row r="365" ht="38" customHeight="1">
      <x:c r="A365" s="7" t="str">
        <x:v>开封 2026 2月21 捅人</x:v>
      </x:c>
      <x:c r="B365" s="7" t="str">
        <x:v>2026</x:v>
      </x:c>
      <x:c r="C365" s="7" t="str">
        <x:v>全国</x:v>
      </x:c>
      <x:c r="D365" s="2" t="str">
        <x:v>已检索</x:v>
      </x:c>
      <x:c r="E365" s="9" t="n">
        <x:v>1</x:v>
      </x:c>
      <x:c r="F365" s="7" t="str">
        <x:v>命中2月6日毕桥村另案自媒体，定向同学纠纷线索，仅记录不混同</x:v>
      </x:c>
    </x:row>
    <x:row r="366" ht="38" customHeight="1">
      <x:c r="A366" s="7" t="str">
        <x:v>whyyoutouzhele 太和 2026 口腔癌</x:v>
      </x:c>
      <x:c r="B366" s="7" t="str">
        <x:v>2026</x:v>
      </x:c>
      <x:c r="C366" s="7" t="str">
        <x:v>全国</x:v>
      </x:c>
      <x:c r="D366" s="2" t="str">
        <x:v>已检索</x:v>
      </x:c>
      <x:c r="E366" s="9" t="n">
        <x:v>0</x:v>
      </x:c>
      <x:c r="F366" s="7" t="str">
        <x:v>通用搜索未得原帖，Telegram定词补得</x:v>
      </x:c>
    </x:row>
    <x:row r="367" ht="38" customHeight="1">
      <x:c r="A367" s="7" t="str">
        <x:v>"2026" "3月22日" "横琴" 伤人</x:v>
      </x:c>
      <x:c r="B367" s="7" t="str">
        <x:v>2026</x:v>
      </x:c>
      <x:c r="C367" s="7" t="str">
        <x:v>全国</x:v>
      </x:c>
      <x:c r="D367" s="2" t="str">
        <x:v>已检索</x:v>
      </x:c>
      <x:c r="E367" s="9" t="n">
        <x:v>1</x:v>
      </x:c>
      <x:c r="F367" s="7" t="str">
        <x:v>警方日期为3月20日，报道日不能替代案发日</x:v>
      </x:c>
    </x:row>
    <x:row r="368" ht="38" customHeight="1">
      <x:c r="A368" s="7" t="str">
        <x:v>"2026" "3月22日" "观音桥" 撞人</x:v>
      </x:c>
      <x:c r="B368" s="7" t="str">
        <x:v>2026</x:v>
      </x:c>
      <x:c r="C368" s="7" t="str">
        <x:v>全国</x:v>
      </x:c>
      <x:c r="D368" s="2" t="str">
        <x:v>已检索</x:v>
      </x:c>
      <x:c r="E368" s="9" t="n">
        <x:v>1</x:v>
      </x:c>
      <x:c r="F368" s="7" t="str">
        <x:v>找到疑似发病事故说法，后回溯封面完整通报</x:v>
      </x:c>
    </x:row>
    <x:row r="369" ht="38" customHeight="1">
      <x:c r="A369" s="7" t="str">
        <x:v>"2026" "3月31日" "世嘉铭座"</x:v>
      </x:c>
      <x:c r="B369" s="7" t="str">
        <x:v>2026</x:v>
      </x:c>
      <x:c r="C369" s="7" t="str">
        <x:v>全国</x:v>
      </x:c>
      <x:c r="D369" s="2" t="str">
        <x:v>已检索</x:v>
      </x:c>
      <x:c r="E369" s="9" t="n">
        <x:v>1</x:v>
      </x:c>
      <x:c r="F369" s="7" t="str">
        <x:v>只检得网络转发，没有官方或独立现场采集</x:v>
      </x:c>
    </x:row>
    <x:row r="370" ht="38" customHeight="1">
      <x:c r="A370" s="7" t="str">
        <x:v>"2026" "3月26日" "龙城" 持刀</x:v>
      </x:c>
      <x:c r="B370" s="7" t="str">
        <x:v>2026</x:v>
      </x:c>
      <x:c r="C370" s="7" t="str">
        <x:v>全国</x:v>
      </x:c>
      <x:c r="D370" s="2" t="str">
        <x:v>已检索</x:v>
      </x:c>
      <x:c r="E370" s="9" t="n">
        <x:v>2</x:v>
      </x:c>
      <x:c r="F370" s="7" t="str">
        <x:v>两地时间、身份说法不同，罗湖后得官方救助事迹，龙岗仍待核</x:v>
      </x:c>
    </x:row>
    <x:row r="371" ht="38" customHeight="1">
      <x:c r="A371" s="7" t="str">
        <x:v>"观音桥" "3月22日" "警方" 2026</x:v>
      </x:c>
      <x:c r="B371" s="7" t="str">
        <x:v>2026</x:v>
      </x:c>
      <x:c r="C371" s="7" t="str">
        <x:v>全国</x:v>
      </x:c>
      <x:c r="D371" s="2" t="str">
        <x:v>已检索</x:v>
      </x:c>
      <x:c r="E371" s="9" t="n">
        <x:v>1</x:v>
      </x:c>
      <x:c r="F371" s="7" t="str">
        <x:v>初查疑似病发</x:v>
      </x:c>
    </x:row>
    <x:row r="372" ht="38" customHeight="1">
      <x:c r="A372" s="7" t="str">
        <x:v>"世嘉铭座" "2026" 持刀</x:v>
      </x:c>
      <x:c r="B372" s="7" t="str">
        <x:v>2026</x:v>
      </x:c>
      <x:c r="C372" s="7" t="str">
        <x:v>全国</x:v>
      </x:c>
      <x:c r="D372" s="2" t="str">
        <x:v>已检索</x:v>
      </x:c>
      <x:c r="E372" s="9" t="n">
        <x:v>0</x:v>
      </x:c>
      <x:c r="F372" s="7" t="str">
        <x:v>无新增可靠正文</x:v>
      </x:c>
    </x:row>
    <x:row r="373" ht="38" customHeight="1">
      <x:c r="A373" s="7" t="str">
        <x:v>"万丰海岸城" "持刀"</x:v>
      </x:c>
      <x:c r="B373" s="7" t="str">
        <x:v>2026</x:v>
      </x:c>
      <x:c r="C373" s="7" t="str">
        <x:v>全国</x:v>
      </x:c>
      <x:c r="D373" s="2" t="str">
        <x:v>已检索</x:v>
      </x:c>
      <x:c r="E373" s="9" t="n">
        <x:v>0</x:v>
      </x:c>
      <x:c r="F373" s="7" t="str">
        <x:v>多为猎奇转载未采用</x:v>
      </x:c>
    </x:row>
    <x:row r="374" ht="38" customHeight="1">
      <x:c r="A374" s="7" t="str">
        <x:v>"德润龙庭" "撞"</x:v>
      </x:c>
      <x:c r="B374" s="7" t="str">
        <x:v>2026</x:v>
      </x:c>
      <x:c r="C374" s="7" t="str">
        <x:v>全国</x:v>
      </x:c>
      <x:c r="D374" s="2" t="str">
        <x:v>已检索</x:v>
      </x:c>
      <x:c r="E374" s="9" t="n">
        <x:v>0</x:v>
      </x:c>
      <x:c r="F374" s="7" t="str">
        <x:v>未得官方处罚材料</x:v>
      </x:c>
    </x:row>
    <x:row r="375" ht="38" customHeight="1">
      <x:c r="A375" s="7" t="str">
        <x:v>"2026年第一季度见义勇为勇士榜" "持刀"</x:v>
      </x:c>
      <x:c r="B375" s="7" t="str">
        <x:v>2026</x:v>
      </x:c>
      <x:c r="C375" s="7" t="str">
        <x:v>全国</x:v>
      </x:c>
      <x:c r="D375" s="2" t="str">
        <x:v>已检索</x:v>
      </x:c>
      <x:c r="E375" s="9" t="n">
        <x:v>5</x:v>
      </x:c>
      <x:c r="F375" s="7" t="str">
        <x:v>检得原站及完整转载，按实际案发年挑选</x:v>
      </x:c>
    </x:row>
    <x:row r="376" ht="38" customHeight="1">
      <x:c r="A376" s="7" t="str">
        <x:v>"2026年1月" "持刀" "路人"</x:v>
      </x:c>
      <x:c r="B376" s="7" t="str">
        <x:v>2026</x:v>
      </x:c>
      <x:c r="C376" s="7" t="str">
        <x:v>全国</x:v>
      </x:c>
      <x:c r="D376" s="2" t="str">
        <x:v>已检索</x:v>
      </x:c>
      <x:c r="E376" s="9" t="n">
        <x:v>1</x:v>
      </x:c>
      <x:c r="F376" s="7" t="str">
        <x:v>香港屯门1月15日事件不在大陆范围；另有泰国事件，不纳</x:v>
      </x:c>
    </x:row>
    <x:row r="377" ht="38" customHeight="1">
      <x:c r="A377" s="7" t="str">
        <x:v>"2026年2月" "随机" "伤人"</x:v>
      </x:c>
      <x:c r="B377" s="7" t="str">
        <x:v>2026</x:v>
      </x:c>
      <x:c r="C377" s="7" t="str">
        <x:v>全国</x:v>
      </x:c>
      <x:c r="D377" s="2" t="str">
        <x:v>已检索</x:v>
      </x:c>
      <x:c r="E377" s="9" t="n">
        <x:v>0</x:v>
      </x:c>
      <x:c r="F377" s="7" t="str">
        <x:v>未获额外可靠确认</x:v>
      </x:c>
    </x:row>
    <x:row r="378" ht="38" customHeight="1">
      <x:c r="A378" s="7" t="str">
        <x:v>"2026年3月" "纵火" "报复"</x:v>
      </x:c>
      <x:c r="B378" s="7" t="str">
        <x:v>2026</x:v>
      </x:c>
      <x:c r="C378" s="7" t="str">
        <x:v>全国</x:v>
      </x:c>
      <x:c r="D378" s="2" t="str">
        <x:v>已检索</x:v>
      </x:c>
      <x:c r="E378" s="9" t="n">
        <x:v>1</x:v>
      </x:c>
      <x:c r="F378" s="7" t="str">
        <x:v>营口案3月为判决日，未作为2026案发新增</x:v>
      </x:c>
    </x:row>
    <x:row r="379" ht="38" customHeight="1">
      <x:c r="A379" s="7" t="str">
        <x:v>"中山" "1月19日" "覃某" 2026</x:v>
      </x:c>
      <x:c r="B379" s="7" t="str">
        <x:v>2026</x:v>
      </x:c>
      <x:c r="C379" s="7" t="str">
        <x:v>全国</x:v>
      </x:c>
      <x:c r="D379" s="2" t="str">
        <x:v>已检索</x:v>
      </x:c>
      <x:c r="E379" s="9" t="n">
        <x:v>1</x:v>
      </x:c>
      <x:c r="F379" s="7" t="str">
        <x:v>完整通报已核</x:v>
      </x:c>
    </x:row>
    <x:row r="380" ht="38" customHeight="1">
      <x:c r="A380" s="7" t="str">
        <x:v>"观音桥" "2026" "突发疾病" 通报</x:v>
      </x:c>
      <x:c r="B380" s="7" t="str">
        <x:v>2026</x:v>
      </x:c>
      <x:c r="C380" s="7" t="str">
        <x:v>全国</x:v>
      </x:c>
      <x:c r="D380" s="2" t="str">
        <x:v>已检索</x:v>
      </x:c>
      <x:c r="E380" s="9" t="n">
        <x:v>1</x:v>
      </x:c>
      <x:c r="F380" s="7" t="str">
        <x:v>采用完整警方引文，不用自媒体额外断言</x:v>
      </x:c>
    </x:row>
    <x:row r="381" ht="38" customHeight="1">
      <x:c r="A381" s="7" t="str">
        <x:v>"横琴" "3月20日" "抢劫" 2026</x:v>
      </x:c>
      <x:c r="B381" s="7" t="str">
        <x:v>2026</x:v>
      </x:c>
      <x:c r="C381" s="7" t="str">
        <x:v>全国</x:v>
      </x:c>
      <x:c r="D381" s="2" t="str">
        <x:v>已检索</x:v>
      </x:c>
      <x:c r="E381" s="9" t="n">
        <x:v>1</x:v>
      </x:c>
      <x:c r="F381" s="7" t="str">
        <x:v>日期核正</x:v>
      </x:c>
    </x:row>
    <x:row r="382" ht="38" customHeight="1">
      <x:c r="A382" s="7" t="str">
        <x:v>"邓根仔" "女学生" "随机"</x:v>
      </x:c>
      <x:c r="B382" s="7" t="str">
        <x:v>2026</x:v>
      </x:c>
      <x:c r="C382" s="7" t="str">
        <x:v>全国</x:v>
      </x:c>
      <x:c r="D382" s="2" t="str">
        <x:v>已检索</x:v>
      </x:c>
      <x:c r="E382" s="9" t="n">
        <x:v>1</x:v>
      </x:c>
      <x:c r="F382" s="7" t="str">
        <x:v>官方仅支持学生和救助者遭袭，不采信网传学生死伤</x:v>
      </x:c>
    </x:row>
    <x:row r="383" ht="38" customHeight="1">
      <x:c r="A383" s="7" t="str">
        <x:v>重庆 观音桥 3月22日 33岁 3名 行人 通报</x:v>
      </x:c>
      <x:c r="B383" s="7" t="str">
        <x:v>2026</x:v>
      </x:c>
      <x:c r="C383" s="7" t="str">
        <x:v>全国</x:v>
      </x:c>
      <x:c r="D383" s="2" t="str">
        <x:v>已检索</x:v>
      </x:c>
      <x:c r="E383" s="9" t="n">
        <x:v>1</x:v>
      </x:c>
      <x:c r="F383" s="7" t="str">
        <x:v>封面现场走访与通报全文</x:v>
      </x:c>
    </x:row>
    <x:row r="384" ht="38" customHeight="1">
      <x:c r="A384" s="7" t="str">
        <x:v>深圳 邓根仔 3月26 女学生 凶手</x:v>
      </x:c>
      <x:c r="B384" s="7" t="str">
        <x:v>2026</x:v>
      </x:c>
      <x:c r="C384" s="7" t="str">
        <x:v>全国</x:v>
      </x:c>
      <x:c r="D384" s="2" t="str">
        <x:v>已检索</x:v>
      </x:c>
      <x:c r="E384" s="9" t="n">
        <x:v>1</x:v>
      </x:c>
      <x:c r="F384" s="7" t="str">
        <x:v>二次报道存在性别扩写，回到最高法原文</x:v>
      </x:c>
    </x:row>
    <x:row r="385" ht="38" customHeight="1">
      <x:c r="A385" s="7" t="str">
        <x:v>南昌 万象城 2026 1月10 伤人 通报</x:v>
      </x:c>
      <x:c r="B385" s="7" t="str">
        <x:v>2026</x:v>
      </x:c>
      <x:c r="C385" s="7" t="str">
        <x:v>全国</x:v>
      </x:c>
      <x:c r="D385" s="2" t="str">
        <x:v>已检索</x:v>
      </x:c>
      <x:c r="E385" s="9" t="n">
        <x:v>1</x:v>
      </x:c>
      <x:c r="F385" s="7" t="str">
        <x:v>警方1伤及商场救助过程</x:v>
      </x:c>
    </x:row>
    <x:row r="386" ht="38" customHeight="1">
      <x:c r="A386" s="7" t="str">
        <x:v>昆明 五华 1月15日 2026 持刀 李云亚</x:v>
      </x:c>
      <x:c r="B386" s="7" t="str">
        <x:v>2026</x:v>
      </x:c>
      <x:c r="C386" s="7" t="str">
        <x:v>全国</x:v>
      </x:c>
      <x:c r="D386" s="2" t="str">
        <x:v>已检索</x:v>
      </x:c>
      <x:c r="E386" s="9" t="n">
        <x:v>1</x:v>
      </x:c>
      <x:c r="F386" s="7" t="str">
        <x:v>官方明确无故袭击路人</x:v>
      </x:c>
    </x:row>
    <x:row r="387" ht="38" customHeight="1">
      <x:c r="A387" s="7" t="str">
        <x:v>"2026年1月" "纵火" 中国</x:v>
      </x:c>
      <x:c r="B387" s="7" t="str">
        <x:v>2026</x:v>
      </x:c>
      <x:c r="C387" s="7" t="str">
        <x:v>全国</x:v>
      </x:c>
      <x:c r="D387" s="2" t="str">
        <x:v>已检索</x:v>
      </x:c>
      <x:c r="E387" s="9" t="n">
        <x:v>1</x:v>
      </x:c>
      <x:c r="F387" s="7" t="str">
        <x:v>从化工厂1月6日事故报告排除人为纵火；不纳袭击</x:v>
      </x:c>
    </x:row>
    <x:row r="388" ht="38" customHeight="1">
      <x:c r="A388" s="7" t="str">
        <x:v>"2026年2月" "爆炸" "报复"</x:v>
      </x:c>
      <x:c r="B388" s="7" t="str">
        <x:v>2026</x:v>
      </x:c>
      <x:c r="C388" s="7" t="str">
        <x:v>全国</x:v>
      </x:c>
      <x:c r="D388" s="2" t="str">
        <x:v>已检索</x:v>
      </x:c>
      <x:c r="E388" s="9" t="n">
        <x:v>1</x:v>
      </x:c>
      <x:c r="F388" s="7" t="str">
        <x:v>刘某强报复女主播为2025年案，2026年处罚/报道，非新增2026事件</x:v>
      </x:c>
    </x:row>
    <x:row r="389" ht="38" customHeight="1">
      <x:c r="A389" s="7" t="str">
        <x:v>"2026年3月" "持刀伤人" 警情</x:v>
      </x:c>
      <x:c r="B389" s="7" t="str">
        <x:v>2026</x:v>
      </x:c>
      <x:c r="C389" s="7" t="str">
        <x:v>全国</x:v>
      </x:c>
      <x:c r="D389" s="2" t="str">
        <x:v>已检索</x:v>
      </x:c>
      <x:c r="E389" s="9"/>
      <x:c r="F389" s="7" t="str">
        <x:v>回收武汉等线索</x:v>
      </x:c>
    </x:row>
    <x:row r="390" ht="38" customHeight="1">
      <x:c r="A390" s="7" t="str">
        <x:v>"2026年2月" "持刀伤人" 警情</x:v>
      </x:c>
      <x:c r="B390" s="7" t="str">
        <x:v>2026</x:v>
      </x:c>
      <x:c r="C390" s="7" t="str">
        <x:v>全国</x:v>
      </x:c>
      <x:c r="D390" s="2" t="str">
        <x:v>已检索</x:v>
      </x:c>
      <x:c r="E390" s="9" t="n">
        <x:v>0</x:v>
      </x:c>
      <x:c r="F390" s="7" t="str">
        <x:v>未获额外大陆可靠个案</x:v>
      </x:c>
    </x:row>
    <x:row r="391" ht="38" customHeight="1">
      <x:c r="A391" s="7" t="str">
        <x:v>"2026年1月" "驾车" "冲撞" 人群</x:v>
      </x:c>
      <x:c r="B391" s="7" t="str">
        <x:v>2026</x:v>
      </x:c>
      <x:c r="C391" s="7" t="str">
        <x:v>全国</x:v>
      </x:c>
      <x:c r="D391" s="2" t="str">
        <x:v>已检索</x:v>
      </x:c>
      <x:c r="E391" s="9" t="n">
        <x:v>1</x:v>
      </x:c>
      <x:c r="F391" s="7" t="str">
        <x:v>美国洛杉矶集会事件属境外，排除</x:v>
      </x:c>
    </x:row>
    <x:row r="392" ht="38" customHeight="1">
      <x:c r="A392" s="7" t="str">
        <x:v>"2026年2月" "驾车" "冲撞" 人群</x:v>
      </x:c>
      <x:c r="B392" s="7" t="str">
        <x:v>2026</x:v>
      </x:c>
      <x:c r="C392" s="7" t="str">
        <x:v>全国</x:v>
      </x:c>
      <x:c r="D392" s="2" t="str">
        <x:v>已检索</x:v>
      </x:c>
      <x:c r="E392" s="9" t="n">
        <x:v>0</x:v>
      </x:c>
      <x:c r="F392" s="7" t="str">
        <x:v>未检得额外可信大陆事件</x:v>
      </x:c>
    </x:row>
    <x:row r="393" ht="38" customHeight="1">
      <x:c r="A393" s="7" t="str">
        <x:v>"2026年3月" "校园" "持刀"</x:v>
      </x:c>
      <x:c r="B393" s="7" t="str">
        <x:v>2026</x:v>
      </x:c>
      <x:c r="C393" s="7" t="str">
        <x:v>全国</x:v>
      </x:c>
      <x:c r="D393" s="2" t="str">
        <x:v>已检索</x:v>
      </x:c>
      <x:c r="E393" s="9" t="n">
        <x:v>1</x:v>
      </x:c>
      <x:c r="F393" s="7" t="str">
        <x:v>重庆朝阳中学冲突报道；泉州为演练、嘉义为境外</x:v>
      </x:c>
    </x:row>
    <x:row r="394" ht="38" customHeight="1">
      <x:c r="A394" s="7" t="str">
        <x:v>"2026年2月" "医院" "持刀"</x:v>
      </x:c>
      <x:c r="B394" s="7" t="str">
        <x:v>2026</x:v>
      </x:c>
      <x:c r="C394" s="7" t="str">
        <x:v>全国</x:v>
      </x:c>
      <x:c r="D394" s="2" t="str">
        <x:v>已检索</x:v>
      </x:c>
      <x:c r="E394" s="9" t="n">
        <x:v>0</x:v>
      </x:c>
      <x:c r="F394" s="7" t="str">
        <x:v>未检得额外可信大陆个案</x:v>
      </x:c>
    </x:row>
    <x:row r="395" ht="38" customHeight="1">
      <x:c r="A395" s="7" t="str">
        <x:v>武汉 青松路 3月31日 2026 随机 目击者</x:v>
      </x:c>
      <x:c r="B395" s="7" t="str">
        <x:v>2026</x:v>
      </x:c>
      <x:c r="C395" s="7" t="str">
        <x:v>全国</x:v>
      </x:c>
      <x:c r="D395" s="2" t="str">
        <x:v>已检索</x:v>
      </x:c>
      <x:c r="E395" s="9" t="n">
        <x:v>1</x:v>
      </x:c>
      <x:c r="F395" s="7" t="str">
        <x:v>新增连续目标变化影像描述；同源不重复计数</x:v>
      </x:c>
    </x:row>
    <x:row r="396" ht="38" customHeight="1">
      <x:c r="A396" s="7" t="str">
        <x:v>北京 大韩继 3月29 2026 铲车 新京报 官方</x:v>
      </x:c>
      <x:c r="B396" s="7" t="str">
        <x:v>2026</x:v>
      </x:c>
      <x:c r="C396" s="7" t="str">
        <x:v>全国</x:v>
      </x:c>
      <x:c r="D396" s="2" t="str">
        <x:v>已检索</x:v>
      </x:c>
      <x:c r="E396" s="9" t="n">
        <x:v>1</x:v>
      </x:c>
      <x:c r="F396" s="7" t="str">
        <x:v>未检出可核官方确认；维基/社媒互引不能升级</x:v>
      </x:c>
    </x:row>
    <x:row r="397" ht="38" customHeight="1">
      <x:c r="A397" s="7" t="str">
        <x:v>2026 2月2 江苏 喷火器 烧死 真相</x:v>
      </x:c>
      <x:c r="B397" s="7" t="str">
        <x:v>2026</x:v>
      </x:c>
      <x:c r="C397" s="7" t="str">
        <x:v>全国</x:v>
      </x:c>
      <x:c r="D397" s="2" t="str">
        <x:v>已检索</x:v>
      </x:c>
      <x:c r="E397" s="9" t="n">
        <x:v>1</x:v>
      </x:c>
      <x:c r="F397" s="7" t="str">
        <x:v>HK01/UDN可读，具体案情仍网传</x:v>
      </x:c>
    </x:row>
    <x:row r="398" ht="38" customHeight="1">
      <x:c r="A398" s="7" t="str">
        <x:v>2026 2月21 开封 捅人 警方</x:v>
      </x:c>
      <x:c r="B398" s="7" t="str">
        <x:v>2026</x:v>
      </x:c>
      <x:c r="C398" s="7" t="str">
        <x:v>全国</x:v>
      </x:c>
      <x:c r="D398" s="2" t="str">
        <x:v>已检索</x:v>
      </x:c>
      <x:c r="E398" s="9" t="n">
        <x:v>0</x:v>
      </x:c>
      <x:c r="F398" s="7" t="str">
        <x:v>无独立通报补充</x:v>
      </x:c>
    </x:row>
    <x:row r="399" ht="38" customHeight="1">
      <x:c r="A399" s="7" t="str">
        <x:v>2026 3月11 武汉 火锅店 广场舞 持刀 警方</x:v>
      </x:c>
      <x:c r="B399" s="7" t="str">
        <x:v>2026</x:v>
      </x:c>
      <x:c r="C399" s="7" t="str">
        <x:v>全国</x:v>
      </x:c>
      <x:c r="D399" s="2" t="str">
        <x:v>已检索</x:v>
      </x:c>
      <x:c r="E399" s="9" t="n">
        <x:v>1</x:v>
      </x:c>
      <x:c r="F399" s="7" t="str">
        <x:v>单一采访稿被多方转载，待核</x:v>
      </x:c>
    </x:row>
    <x:row r="400" ht="38" customHeight="1">
      <x:c r="A400" s="7" t="str">
        <x:v>2026 1月11 沈阳 刘伟 女孩 持刀 南顺城</x:v>
      </x:c>
      <x:c r="B400" s="7" t="str">
        <x:v>2026</x:v>
      </x:c>
      <x:c r="C400" s="7" t="str">
        <x:v>全国</x:v>
      </x:c>
      <x:c r="D400" s="2" t="str">
        <x:v>已检索</x:v>
      </x:c>
      <x:c r="E400" s="9" t="n">
        <x:v>1</x:v>
      </x:c>
      <x:c r="F400" s="7" t="str">
        <x:v>官方事迹确认无关救人者受伤</x:v>
      </x:c>
    </x:row>
    <x:row r="401" ht="38" customHeight="1">
      <x:c r="A401" s="7" t="str">
        <x:v>2026 1月27 李川 凤鸣山 段某 女子 认识</x:v>
      </x:c>
      <x:c r="B401" s="7" t="str">
        <x:v>2026</x:v>
      </x:c>
      <x:c r="C401" s="7" t="str">
        <x:v>全国</x:v>
      </x:c>
      <x:c r="D401" s="2" t="str">
        <x:v>已检索</x:v>
      </x:c>
      <x:c r="E401" s="9" t="n">
        <x:v>1</x:v>
      </x:c>
      <x:c r="F401" s="7" t="str">
        <x:v>文明办明确陌生关系</x:v>
      </x:c>
    </x:row>
    <x:row r="402" ht="38" customHeight="1">
      <x:c r="A402" s="7" t="str">
        <x:v>2026 2月15 巧家 持刀 追砍 群众 单文培</x:v>
      </x:c>
      <x:c r="B402" s="7" t="str">
        <x:v>2026</x:v>
      </x:c>
      <x:c r="C402" s="7" t="str">
        <x:v>全国</x:v>
      </x:c>
      <x:c r="D402" s="2" t="str">
        <x:v>已检索</x:v>
      </x:c>
      <x:c r="E402" s="9" t="n">
        <x:v>1</x:v>
      </x:c>
      <x:c r="F402" s="7" t="str">
        <x:v>第一季度榜确认持续追砍社区群众</x:v>
      </x:c>
    </x:row>
    <x:row r="403" ht="38" customHeight="1">
      <x:c r="A403" s="7" t="str">
        <x:v>"2026年1月" "持刀" "小学" 中国</x:v>
      </x:c>
      <x:c r="B403" s="7" t="str">
        <x:v>2026</x:v>
      </x:c>
      <x:c r="C403" s="7" t="str">
        <x:v>全国</x:v>
      </x:c>
      <x:c r="D403" s="2" t="str">
        <x:v>已检索</x:v>
      </x:c>
      <x:c r="E403" s="9" t="n">
        <x:v>1</x:v>
      </x:c>
      <x:c r="F403" s="7" t="str">
        <x:v>兴国良村小学案发2025年11月28日；2026为投诉回复日期</x:v>
      </x:c>
    </x:row>
    <x:row r="404" ht="38" customHeight="1">
      <x:c r="A404" s="7" t="str">
        <x:v>"2026年2月" "持刀" "幼儿园" 中国</x:v>
      </x:c>
      <x:c r="B404" s="7" t="str">
        <x:v>2026</x:v>
      </x:c>
      <x:c r="C404" s="7" t="str">
        <x:v>全国</x:v>
      </x:c>
      <x:c r="D404" s="2" t="str">
        <x:v>已检索</x:v>
      </x:c>
      <x:c r="E404" s="9" t="n">
        <x:v>0</x:v>
      </x:c>
      <x:c r="F404" s="7" t="str">
        <x:v>未检出额外可靠大陆事件</x:v>
      </x:c>
    </x:row>
    <x:row r="405" ht="38" customHeight="1">
      <x:c r="A405" s="7" t="str">
        <x:v>"2026年3月" "爆炸" "故意" 中国</x:v>
      </x:c>
      <x:c r="B405" s="7" t="str">
        <x:v>2026</x:v>
      </x:c>
      <x:c r="C405" s="7" t="str">
        <x:v>全国</x:v>
      </x:c>
      <x:c r="D405" s="2" t="str">
        <x:v>已检索</x:v>
      </x:c>
      <x:c r="E405" s="9" t="n">
        <x:v>1</x:v>
      </x:c>
      <x:c r="F405" s="7" t="str">
        <x:v>郴州勇鑫烟花实际2025年11月30日；乐山金口河村爆炸系谣言</x:v>
      </x:c>
    </x:row>
    <x:row r="406" ht="38" customHeight="1">
      <x:c r="A406" s="7" t="str">
        <x:v>"2026年1月" "医院" "随机" 伤人</x:v>
      </x:c>
      <x:c r="B406" s="7" t="str">
        <x:v>2026</x:v>
      </x:c>
      <x:c r="C406" s="7" t="str">
        <x:v>全国</x:v>
      </x:c>
      <x:c r="D406" s="2" t="str">
        <x:v>已检索</x:v>
      </x:c>
      <x:c r="E406" s="9" t="n">
        <x:v>0</x:v>
      </x:c>
      <x:c r="F406" s="7" t="str">
        <x:v>未检得额外可靠大陆事件</x:v>
      </x:c>
    </x:row>
    <x:row r="407" ht="38" customHeight="1">
      <x:c r="A407" s="7" t="str">
        <x:v>Telegram公开搜索 https://t.me/s/lilaoshibushinilaoshi?before=35534&amp;q=万丰</x:v>
      </x:c>
      <x:c r="B407" s="7" t="str">
        <x:v>2026</x:v>
      </x:c>
      <x:c r="C407" s="7" t="str">
        <x:v>全国</x:v>
      </x:c>
      <x:c r="D407" s="2" t="str">
        <x:v>已检索</x:v>
      </x:c>
      <x:c r="E407" s="9"/>
      <x:c r="F407" s="7" t="str">
        <x:v>实际HTTP读取匹配文字与原status链接；结果可能漏检（如万丰无结果而海岸城命中），无结果不等于无事件。未下载媒体。</x:v>
      </x:c>
    </x:row>
    <x:row r="408" ht="38" customHeight="1">
      <x:c r="A408" s="7" t="str">
        <x:v>Telegram公开搜索 https://t.me/s/lilaoshibushinilaoshi?before=35534&amp;q=海岸城</x:v>
      </x:c>
      <x:c r="B408" s="7" t="str">
        <x:v>2026</x:v>
      </x:c>
      <x:c r="C408" s="7" t="str">
        <x:v>全国</x:v>
      </x:c>
      <x:c r="D408" s="2" t="str">
        <x:v>已检索</x:v>
      </x:c>
      <x:c r="E408" s="9"/>
      <x:c r="F408" s="7" t="str">
        <x:v>实际HTTP读取匹配文字与原status链接；结果可能漏检（如万丰无结果而海岸城命中），无结果不等于无事件。未下载媒体。</x:v>
      </x:c>
    </x:row>
    <x:row r="409" ht="38" customHeight="1">
      <x:c r="A409" s="7" t="str">
        <x:v>Telegram公开搜索 https://t.me/s/lilaoshibushinilaoshi?before=35534&amp;q=德润龙庭</x:v>
      </x:c>
      <x:c r="B409" s="7" t="str">
        <x:v>2026</x:v>
      </x:c>
      <x:c r="C409" s="7" t="str">
        <x:v>全国</x:v>
      </x:c>
      <x:c r="D409" s="2" t="str">
        <x:v>已检索</x:v>
      </x:c>
      <x:c r="E409" s="9"/>
      <x:c r="F409" s="7" t="str">
        <x:v>实际HTTP读取匹配文字与原status链接；结果可能漏检（如万丰无结果而海岸城命中），无结果不等于无事件。未下载媒体。</x:v>
      </x:c>
    </x:row>
    <x:row r="410" ht="38" customHeight="1">
      <x:c r="A410" s="7" t="str">
        <x:v>Telegram公开搜索 https://t.me/s/lilaoshibushinilaoshi?before=35534&amp;q=开封</x:v>
      </x:c>
      <x:c r="B410" s="7" t="str">
        <x:v>2026</x:v>
      </x:c>
      <x:c r="C410" s="7" t="str">
        <x:v>全国</x:v>
      </x:c>
      <x:c r="D410" s="2" t="str">
        <x:v>已检索</x:v>
      </x:c>
      <x:c r="E410" s="9"/>
      <x:c r="F410" s="7" t="str">
        <x:v>实际HTTP读取匹配文字与原status链接；结果可能漏检（如万丰无结果而海岸城命中），无结果不等于无事件。未下载媒体。</x:v>
      </x:c>
    </x:row>
    <x:row r="411" ht="38" customHeight="1">
      <x:c r="A411" s="7" t="str">
        <x:v>Telegram公开搜索 https://t.me/s/lilaoshibushinilaoshi?before=35534&amp;q=太和</x:v>
      </x:c>
      <x:c r="B411" s="7" t="str">
        <x:v>2026</x:v>
      </x:c>
      <x:c r="C411" s="7" t="str">
        <x:v>全国</x:v>
      </x:c>
      <x:c r="D411" s="2" t="str">
        <x:v>已检索</x:v>
      </x:c>
      <x:c r="E411" s="9"/>
      <x:c r="F411" s="7" t="str">
        <x:v>实际HTTP读取匹配文字与原status链接；结果可能漏检（如万丰无结果而海岸城命中），无结果不等于无事件。未下载媒体。</x:v>
      </x:c>
    </x:row>
    <x:row r="412" ht="38" customHeight="1">
      <x:c r="A412" s="7" t="str">
        <x:v>Telegram公开搜索 https://t.me/s/lilaoshibushinilaoshi?before=35534&amp;q=世嘉铭座</x:v>
      </x:c>
      <x:c r="B412" s="7" t="str">
        <x:v>2026</x:v>
      </x:c>
      <x:c r="C412" s="7" t="str">
        <x:v>全国</x:v>
      </x:c>
      <x:c r="D412" s="2" t="str">
        <x:v>已检索</x:v>
      </x:c>
      <x:c r="E412" s="9"/>
      <x:c r="F412" s="7" t="str">
        <x:v>实际HTTP读取匹配文字与原status链接；结果可能漏检（如万丰无结果而海岸城命中），无结果不等于无事件。未下载媒体。</x:v>
      </x:c>
    </x:row>
    <x:row r="413" ht="38" customHeight="1">
      <x:c r="A413" s="7" t="str">
        <x:v>Telegram公开搜索 https://t.me/s/lilaoshibushinilaoshi?before=35534&amp;q=港口镇</x:v>
      </x:c>
      <x:c r="B413" s="7" t="str">
        <x:v>2026</x:v>
      </x:c>
      <x:c r="C413" s="7" t="str">
        <x:v>全国</x:v>
      </x:c>
      <x:c r="D413" s="2" t="str">
        <x:v>已检索</x:v>
      </x:c>
      <x:c r="E413" s="9"/>
      <x:c r="F413" s="7" t="str">
        <x:v>实际HTTP读取匹配文字与原status链接；结果可能漏检（如万丰无结果而海岸城命中），无结果不等于无事件。未下载媒体。</x:v>
      </x:c>
    </x:row>
    <x:row r="414" ht="38" customHeight="1">
      <x:c r="A414" s="7" t="str">
        <x:v>Telegram公开搜索 https://t.me/s/lilaoshibushinilaoshi?before=35534&amp;q=观音桥</x:v>
      </x:c>
      <x:c r="B414" s="7" t="str">
        <x:v>2026</x:v>
      </x:c>
      <x:c r="C414" s="7" t="str">
        <x:v>全国</x:v>
      </x:c>
      <x:c r="D414" s="2" t="str">
        <x:v>已检索</x:v>
      </x:c>
      <x:c r="E414" s="9"/>
      <x:c r="F414" s="7" t="str">
        <x:v>实际HTTP读取匹配文字与原status链接；结果可能漏检（如万丰无结果而海岸城命中），无结果不等于无事件。未下载媒体。</x:v>
      </x:c>
    </x:row>
    <x:row r="415" ht="38" customHeight="1">
      <x:c r="A415" s="7" t="str">
        <x:v>Telegram公开搜索 https://t.me/s/lilaoshibushinilaoshi?before=35534&amp;q=龙城</x:v>
      </x:c>
      <x:c r="B415" s="7" t="str">
        <x:v>2026</x:v>
      </x:c>
      <x:c r="C415" s="7" t="str">
        <x:v>全国</x:v>
      </x:c>
      <x:c r="D415" s="2" t="str">
        <x:v>已检索</x:v>
      </x:c>
      <x:c r="E415" s="9"/>
      <x:c r="F415" s="7" t="str">
        <x:v>实际HTTP读取匹配文字与原status链接；结果可能漏检（如万丰无结果而海岸城命中），无结果不等于无事件。未下载媒体。</x:v>
      </x:c>
    </x:row>
    <x:row r="416" ht="38" customHeight="1">
      <x:c r="A416" s="7" t="str">
        <x:v>Telegram公开搜索 https://t.me/s/lilaoshibushinilaoshi?before=35534&amp;q=东门</x:v>
      </x:c>
      <x:c r="B416" s="7" t="str">
        <x:v>2026</x:v>
      </x:c>
      <x:c r="C416" s="7" t="str">
        <x:v>全国</x:v>
      </x:c>
      <x:c r="D416" s="2" t="str">
        <x:v>已检索</x:v>
      </x:c>
      <x:c r="E416" s="9"/>
      <x:c r="F416" s="7" t="str">
        <x:v>实际HTTP读取匹配文字与原status链接；结果可能漏检（如万丰无结果而海岸城命中），无结果不等于无事件。未下载媒体。</x:v>
      </x:c>
    </x:row>
    <x:row r="417" ht="38" customHeight="1">
      <x:c r="A417" s="7" t="str">
        <x:v>Telegram公开搜索 https://t.me/s/lilaoshibushinilaoshi?before=35534&amp;q=银川</x:v>
      </x:c>
      <x:c r="B417" s="7" t="str">
        <x:v>2026</x:v>
      </x:c>
      <x:c r="C417" s="7" t="str">
        <x:v>全国</x:v>
      </x:c>
      <x:c r="D417" s="2" t="str">
        <x:v>已检索</x:v>
      </x:c>
      <x:c r="E417" s="9"/>
      <x:c r="F417" s="7" t="str">
        <x:v>实际HTTP读取匹配文字与原status链接；结果可能漏检（如万丰无结果而海岸城命中），无结果不等于无事件。未下载媒体。</x:v>
      </x:c>
    </x:row>
    <x:row r="418" ht="38" customHeight="1">
      <x:c r="A418" s="7" t="str">
        <x:v>Telegram公开搜索 https://t.me/s/lilaoshibushinilaoshi?before=35534&amp;q=横琴</x:v>
      </x:c>
      <x:c r="B418" s="7" t="str">
        <x:v>2026</x:v>
      </x:c>
      <x:c r="C418" s="7" t="str">
        <x:v>全国</x:v>
      </x:c>
      <x:c r="D418" s="2" t="str">
        <x:v>已检索</x:v>
      </x:c>
      <x:c r="E418" s="9"/>
      <x:c r="F418" s="7" t="str">
        <x:v>实际HTTP读取匹配文字与原status链接；结果可能漏检（如万丰无结果而海岸城命中），无结果不等于无事件。未下载媒体。</x:v>
      </x:c>
    </x:row>
    <x:row r="419" ht="38" customHeight="1">
      <x:c r="A419" s="7" t="str">
        <x:v>Telegram公开搜索 https://t.me/s/lilaoshibushinilaoshi?before=35534&amp;q=青松路</x:v>
      </x:c>
      <x:c r="B419" s="7" t="str">
        <x:v>2026</x:v>
      </x:c>
      <x:c r="C419" s="7" t="str">
        <x:v>全国</x:v>
      </x:c>
      <x:c r="D419" s="2" t="str">
        <x:v>已检索</x:v>
      </x:c>
      <x:c r="E419" s="9"/>
      <x:c r="F419" s="7" t="str">
        <x:v>实际HTTP读取匹配文字与原status链接；结果可能漏检（如万丰无结果而海岸城命中），无结果不等于无事件。未下载媒体。</x:v>
      </x:c>
    </x:row>
    <x:row r="420" ht="38" customHeight="1">
      <x:c r="A420" s="7" t="str">
        <x:v>Telegram公开搜索 https://t.me/s/lilaoshibushinilaoshi?before=35534&amp;q=大韩继</x:v>
      </x:c>
      <x:c r="B420" s="7" t="str">
        <x:v>2026</x:v>
      </x:c>
      <x:c r="C420" s="7" t="str">
        <x:v>全国</x:v>
      </x:c>
      <x:c r="D420" s="2" t="str">
        <x:v>已检索</x:v>
      </x:c>
      <x:c r="E420" s="9"/>
      <x:c r="F420" s="7" t="str">
        <x:v>实际HTTP读取匹配文字与原status链接；结果可能漏检（如万丰无结果而海岸城命中），无结果不等于无事件。未下载媒体。</x:v>
      </x:c>
    </x:row>
    <x:row r="421" ht="38" customHeight="1">
      <x:c r="A421" s="7" t="str">
        <x:v>Telegram公开搜索 https://t.me/s/lilaoshibushinilaoshi?before=35534&amp;q=放火</x:v>
      </x:c>
      <x:c r="B421" s="7" t="str">
        <x:v>2026</x:v>
      </x:c>
      <x:c r="C421" s="7" t="str">
        <x:v>全国</x:v>
      </x:c>
      <x:c r="D421" s="2" t="str">
        <x:v>已检索</x:v>
      </x:c>
      <x:c r="E421" s="9"/>
      <x:c r="F421" s="7" t="str">
        <x:v>实际HTTP读取匹配文字与原status链接；结果可能漏检（如万丰无结果而海岸城命中），无结果不等于无事件。未下载媒体。</x:v>
      </x:c>
    </x:row>
    <x:row r="422" ht="38" customHeight="1">
      <x:c r="A422" s="7" t="str">
        <x:v>Telegram公开搜索 https://t.me/s/lilaoshibushinilaoshi?before=35534&amp;q=爆炸</x:v>
      </x:c>
      <x:c r="B422" s="7" t="str">
        <x:v>2026</x:v>
      </x:c>
      <x:c r="C422" s="7" t="str">
        <x:v>全国</x:v>
      </x:c>
      <x:c r="D422" s="2" t="str">
        <x:v>已检索</x:v>
      </x:c>
      <x:c r="E422" s="9"/>
      <x:c r="F422" s="7" t="str">
        <x:v>实际HTTP读取匹配文字与原status链接；结果可能漏检（如万丰无结果而海岸城命中），无结果不等于无事件。未下载媒体。</x:v>
      </x:c>
    </x:row>
    <x:row r="423" ht="38" customHeight="1">
      <x:c r="A423" s="7" t="str">
        <x:v>Telegram公开搜索 https://t.me/s/lilaoshibushinilaoshi?before=35534&amp;q=纵火</x:v>
      </x:c>
      <x:c r="B423" s="7" t="str">
        <x:v>2026</x:v>
      </x:c>
      <x:c r="C423" s="7" t="str">
        <x:v>全国</x:v>
      </x:c>
      <x:c r="D423" s="2" t="str">
        <x:v>已检索</x:v>
      </x:c>
      <x:c r="E423" s="9"/>
      <x:c r="F423" s="7" t="str">
        <x:v>实际HTTP读取匹配文字与原status链接；结果可能漏检（如万丰无结果而海岸城命中），无结果不等于无事件。未下载媒体。</x:v>
      </x:c>
    </x:row>
    <x:row r="424" ht="38" customHeight="1">
      <x:c r="A424" s="7" t="str">
        <x:v>Telegram公开搜索 https://t.me/s/lilaoshibushinilaoshi?before=35534&amp;q=口腔癌</x:v>
      </x:c>
      <x:c r="B424" s="7" t="str">
        <x:v>2026</x:v>
      </x:c>
      <x:c r="C424" s="7" t="str">
        <x:v>全国</x:v>
      </x:c>
      <x:c r="D424" s="2" t="str">
        <x:v>已检索</x:v>
      </x:c>
      <x:c r="E424" s="9"/>
      <x:c r="F424" s="7" t="str">
        <x:v>实际HTTP读取匹配文字与原status链接；结果可能漏检（如万丰无结果而海岸城命中），无结果不等于无事件。未下载媒体。</x:v>
      </x:c>
    </x:row>
    <x:row r="425" ht="38" customHeight="1">
      <x:c r="A425" s="7" t="str">
        <x:v>Telegram公开搜索 https://t.me/s/lilaoshibushinilaoshi?before=35534&amp;q=鸭舌帽</x:v>
      </x:c>
      <x:c r="B425" s="7" t="str">
        <x:v>2026</x:v>
      </x:c>
      <x:c r="C425" s="7" t="str">
        <x:v>全国</x:v>
      </x:c>
      <x:c r="D425" s="2" t="str">
        <x:v>已检索</x:v>
      </x:c>
      <x:c r="E425" s="9"/>
      <x:c r="F425" s="7" t="str">
        <x:v>实际HTTP读取匹配文字与原status链接；结果可能漏检（如万丰无结果而海岸城命中），无结果不等于无事件。未下载媒体。</x:v>
      </x:c>
    </x:row>
    <x:row r="426" ht="38" customHeight="1">
      <x:c r="A426" s="7" t="str">
        <x:v>Telegram公开搜索 https://t.me/s/lilaoshibushinilaoshi?before=35534&amp;q=龙岗</x:v>
      </x:c>
      <x:c r="B426" s="7" t="str">
        <x:v>2026</x:v>
      </x:c>
      <x:c r="C426" s="7" t="str">
        <x:v>全国</x:v>
      </x:c>
      <x:c r="D426" s="2" t="str">
        <x:v>已检索</x:v>
      </x:c>
      <x:c r="E426" s="9"/>
      <x:c r="F426" s="7" t="str">
        <x:v>实际HTTP读取匹配文字与原status链接；结果可能漏检（如万丰无结果而海岸城命中），无结果不等于无事件。未下载媒体。</x:v>
      </x:c>
    </x:row>
    <x:row r="427" ht="38" customHeight="1">
      <x:c r="A427" s="7" t="str">
        <x:v>Telegram公开搜索 https://t.me/s/lilaoshibushinilaoshi?before=35534&amp;q=砍人</x:v>
      </x:c>
      <x:c r="B427" s="7" t="str">
        <x:v>2026</x:v>
      </x:c>
      <x:c r="C427" s="7" t="str">
        <x:v>全国</x:v>
      </x:c>
      <x:c r="D427" s="2" t="str">
        <x:v>已检索</x:v>
      </x:c>
      <x:c r="E427" s="9"/>
      <x:c r="F427" s="7" t="str">
        <x:v>实际HTTP读取匹配文字与原status链接；结果可能漏检（如万丰无结果而海岸城命中），无结果不等于无事件。未下载媒体。</x:v>
      </x:c>
    </x:row>
    <x:row r="428" ht="38" customHeight="1">
      <x:c r="A428" s="7" t="str">
        <x:v>Telegram公开搜索 https://t.me/s/lilaoshibushinilaoshi?before=35534&amp;q=持刀</x:v>
      </x:c>
      <x:c r="B428" s="7" t="str">
        <x:v>2026</x:v>
      </x:c>
      <x:c r="C428" s="7" t="str">
        <x:v>全国</x:v>
      </x:c>
      <x:c r="D428" s="2" t="str">
        <x:v>已检索</x:v>
      </x:c>
      <x:c r="E428" s="9"/>
      <x:c r="F428" s="7" t="str">
        <x:v>实际HTTP读取匹配文字与原status链接；结果可能漏检（如万丰无结果而海岸城命中），无结果不等于无事件。未下载媒体。</x:v>
      </x:c>
    </x:row>
    <x:row r="429" ht="38" customHeight="1">
      <x:c r="A429" s="7" t="str">
        <x:v>Telegram公开搜索 https://t.me/s/lilaoshibushinilaoshi?before=35534&amp;q=冲撞</x:v>
      </x:c>
      <x:c r="B429" s="7" t="str">
        <x:v>2026</x:v>
      </x:c>
      <x:c r="C429" s="7" t="str">
        <x:v>全国</x:v>
      </x:c>
      <x:c r="D429" s="2" t="str">
        <x:v>已检索</x:v>
      </x:c>
      <x:c r="E429" s="9"/>
      <x:c r="F429" s="7" t="str">
        <x:v>实际HTTP读取匹配文字与原status链接；结果可能漏检（如万丰无结果而海岸城命中），无结果不等于无事件。未下载媒体。</x:v>
      </x:c>
    </x:row>
    <x:row r="430" ht="38" customHeight="1">
      <x:c r="A430" s="7" t="str">
        <x:v>打开 https://x.com/whyyoutouzhele/status/2039625155404509246</x:v>
      </x:c>
      <x:c r="B430" s="7" t="str">
        <x:v>2026</x:v>
      </x:c>
      <x:c r="C430" s="7" t="str">
        <x:v>全国</x:v>
      </x:c>
      <x:c r="D430" s="2" t="str">
        <x:v>访问失败</x:v>
      </x:c>
      <x:c r="E430" s="9"/>
      <x:c r="F430" s="7" t="str">
        <x:v>X原站访问失败；Instalker完整文字可读；Telegram 35533同源摘录可读</x:v>
      </x:c>
    </x:row>
    <x:row r="431" ht="38" customHeight="1">
      <x:c r="A431" s="7" t="str">
        <x:v>打开 https://x.com/whyyoutouzhele/status/2013240567606464850</x:v>
      </x:c>
      <x:c r="B431" s="7" t="str">
        <x:v>2026</x:v>
      </x:c>
      <x:c r="C431" s="7" t="str">
        <x:v>全国</x:v>
      </x:c>
      <x:c r="D431" s="2" t="str">
        <x:v>访问失败</x:v>
      </x:c>
      <x:c r="E431" s="9"/>
      <x:c r="F431" s="7" t="str">
        <x:v>X仅登录外壳；Telegram文字可读</x:v>
      </x:c>
    </x:row>
    <x:row r="432" ht="38" customHeight="1">
      <x:c r="A432" s="7" t="str">
        <x:v>打开 https://x.com/whyyoutouzhele/status/2016096346025939186</x:v>
      </x:c>
      <x:c r="B432" s="7" t="str">
        <x:v>2026</x:v>
      </x:c>
      <x:c r="C432" s="7" t="str">
        <x:v>全国</x:v>
      </x:c>
      <x:c r="D432" s="2" t="str">
        <x:v>访问失败</x:v>
      </x:c>
      <x:c r="E432" s="9"/>
      <x:c r="F432" s="7" t="str">
        <x:v>X原站403；Telegram公开页文字与原帖链接可读</x:v>
      </x:c>
    </x:row>
    <x:row r="433" ht="38" customHeight="1">
      <x:c r="A433" s="7" t="str">
        <x:v>打开 https://x.com/whyyoutouzhele/status/2017756836741468453</x:v>
      </x:c>
      <x:c r="B433" s="7" t="str">
        <x:v>2026</x:v>
      </x:c>
      <x:c r="C433" s="7" t="str">
        <x:v>全国</x:v>
      </x:c>
      <x:c r="D433" s="2" t="str">
        <x:v>访问失败</x:v>
      </x:c>
      <x:c r="E433" s="9"/>
      <x:c r="F433" s="7" t="str">
        <x:v>X cache miss；Telegram文字可读</x:v>
      </x:c>
    </x:row>
    <x:row r="434" ht="38" customHeight="1">
      <x:c r="A434" s="7" t="str">
        <x:v>打开 https://x.com/whyyoutouzhele/status/2018738337733914646</x:v>
      </x:c>
      <x:c r="B434" s="7" t="str">
        <x:v>2026</x:v>
      </x:c>
      <x:c r="C434" s="7" t="str">
        <x:v>全国</x:v>
      </x:c>
      <x:c r="D434" s="2" t="str">
        <x:v>访问失败</x:v>
      </x:c>
      <x:c r="E434" s="9"/>
      <x:c r="F434" s="7" t="str">
        <x:v>X原站403；Telegram公开页文字与原帖链接可读</x:v>
      </x:c>
    </x:row>
    <x:row r="435" ht="38" customHeight="1">
      <x:c r="A435" s="7" t="str">
        <x:v>打开 https://x.com/whyyoutouzhele/status/2021957529614659891</x:v>
      </x:c>
      <x:c r="B435" s="7" t="str">
        <x:v>2026</x:v>
      </x:c>
      <x:c r="C435" s="7" t="str">
        <x:v>全国</x:v>
      </x:c>
      <x:c r="D435" s="2" t="str">
        <x:v>访问失败</x:v>
      </x:c>
      <x:c r="E435" s="9"/>
      <x:c r="F435" s="7" t="str">
        <x:v>X返回0行空页；Telegram后续帖中原帖引用文字可读</x:v>
      </x:c>
    </x:row>
    <x:row r="436" ht="38" customHeight="1">
      <x:c r="A436" s="7" t="str">
        <x:v>打开 https://x.com/whyyoutouzhele/status/2025057897718124649</x:v>
      </x:c>
      <x:c r="B436" s="7" t="str">
        <x:v>2026</x:v>
      </x:c>
      <x:c r="C436" s="7" t="str">
        <x:v>全国</x:v>
      </x:c>
      <x:c r="D436" s="2" t="str">
        <x:v>访问失败</x:v>
      </x:c>
      <x:c r="E436" s="9"/>
      <x:c r="F436" s="7" t="str">
        <x:v>X仅登录外壳；Telegram文字可读</x:v>
      </x:c>
    </x:row>
    <x:row r="437" ht="38" customHeight="1">
      <x:c r="A437" s="7" t="str">
        <x:v>打开 https://x.com/whyyoutouzhele/status/2035510951944819083</x:v>
      </x:c>
      <x:c r="B437" s="7" t="str">
        <x:v>2026</x:v>
      </x:c>
      <x:c r="C437" s="7" t="str">
        <x:v>全国</x:v>
      </x:c>
      <x:c r="D437" s="2" t="str">
        <x:v>访问失败</x:v>
      </x:c>
      <x:c r="E437" s="9"/>
      <x:c r="F437" s="7" t="str">
        <x:v>X原站403；Telegram公开页文字与原帖链接可读</x:v>
      </x:c>
    </x:row>
    <x:row r="438" ht="38" customHeight="1">
      <x:c r="A438" s="7" t="str">
        <x:v>打开 https://x.com/whyyoutouzhele/status/2035710493772382393</x:v>
      </x:c>
      <x:c r="B438" s="7" t="str">
        <x:v>2026</x:v>
      </x:c>
      <x:c r="C438" s="7" t="str">
        <x:v>全国</x:v>
      </x:c>
      <x:c r="D438" s="2" t="str">
        <x:v>访问失败</x:v>
      </x:c>
      <x:c r="E438" s="9"/>
      <x:c r="F438" s="7" t="str">
        <x:v>X仅登录外壳；Telegram文字可读</x:v>
      </x:c>
    </x:row>
    <x:row r="439" ht="38" customHeight="1">
      <x:c r="A439" s="7" t="str">
        <x:v>打开 https://x.com/whyyoutouzhele/status/2037212487309742093</x:v>
      </x:c>
      <x:c r="B439" s="7" t="str">
        <x:v>2026</x:v>
      </x:c>
      <x:c r="C439" s="7" t="str">
        <x:v>全国</x:v>
      </x:c>
      <x:c r="D439" s="2" t="str">
        <x:v>访问失败</x:v>
      </x:c>
      <x:c r="E439" s="9"/>
      <x:c r="F439" s="7" t="str">
        <x:v>X原站403；Telegram公开页文字与原帖链接可读</x:v>
      </x:c>
    </x:row>
    <x:row r="440" ht="38" customHeight="1">
      <x:c r="A440" s="7" t="str">
        <x:v>打开 https://x.com/whyyoutouzhele/status/2037239673907535998</x:v>
      </x:c>
      <x:c r="B440" s="7" t="str">
        <x:v>2026</x:v>
      </x:c>
      <x:c r="C440" s="7" t="str">
        <x:v>全国</x:v>
      </x:c>
      <x:c r="D440" s="2" t="str">
        <x:v>访问失败</x:v>
      </x:c>
      <x:c r="E440" s="9"/>
      <x:c r="F440" s="7" t="str">
        <x:v>X原站403；Telegram公开页文字与原帖链接可读</x:v>
      </x:c>
    </x:row>
    <x:row r="441" ht="38" customHeight="1">
      <x:c r="A441" s="7" t="str">
        <x:v>打开 https://x.com/whyyoutouzhele/status/2038959494865313931</x:v>
      </x:c>
      <x:c r="B441" s="7" t="str">
        <x:v>2026</x:v>
      </x:c>
      <x:c r="C441" s="7" t="str">
        <x:v>全国</x:v>
      </x:c>
      <x:c r="D441" s="2" t="str">
        <x:v>访问失败</x:v>
      </x:c>
      <x:c r="E441" s="9"/>
      <x:c r="F441" s="7" t="str">
        <x:v>X原站403；Telegram公开页文字与原帖链接可读</x:v>
      </x:c>
    </x:row>
    <x:row r="442" ht="38" customHeight="1">
      <x:c r="A442" s="7" t="str">
        <x:v>打开 https://x.com/whyyoutouzhele/status/2038169287744229772</x:v>
      </x:c>
      <x:c r="B442" s="7" t="str">
        <x:v>2026</x:v>
      </x:c>
      <x:c r="C442" s="7" t="str">
        <x:v>全国</x:v>
      </x:c>
      <x:c r="D442" s="2" t="str">
        <x:v>访问失败</x:v>
      </x:c>
      <x:c r="E442" s="9"/>
      <x:c r="F442" s="7" t="str">
        <x:v>X原站403；Telegram公开页文字与原帖链接可读</x:v>
      </x:c>
    </x:row>
    <x:row r="443" ht="38" customHeight="1">
      <x:c r="A443" s="7" t="str">
        <x:v>打开 https://x.com/whyyoutouzhele/status/2039111132950962182</x:v>
      </x:c>
      <x:c r="B443" s="7" t="str">
        <x:v>2026</x:v>
      </x:c>
      <x:c r="C443" s="7" t="str">
        <x:v>全国</x:v>
      </x:c>
      <x:c r="D443" s="2" t="str">
        <x:v>访问失败</x:v>
      </x:c>
      <x:c r="E443" s="9"/>
      <x:c r="F443" s="7" t="str">
        <x:v>X原站403；Telegram公开页文字与原帖链接可读</x:v>
      </x:c>
    </x:row>
    <x:row r="444" ht="38" customHeight="1">
      <x:c r="A444" s="7" t="str">
        <x:v>打开 https://www.spp.gov.cn/spp/zdgz/202603/t20260330_725001.shtml</x:v>
      </x:c>
      <x:c r="B444" s="7" t="str">
        <x:v>2026</x:v>
      </x:c>
      <x:c r="C444" s="7" t="str">
        <x:v>全国</x:v>
      </x:c>
      <x:c r="D444" s="2" t="str">
        <x:v>已检索</x:v>
      </x:c>
      <x:c r="E444" s="9" t="n">
        <x:v>5</x:v>
      </x:c>
      <x:c r="F444" s="7" t="str">
        <x:v>web 403；直接HTTP 200可见原文，已成功核对</x:v>
      </x:c>
    </x:row>
    <x:row r="445" ht="38" customHeight="1">
      <x:c r="A445" s="7" t="str">
        <x:v>打开 https://www.wenming.cn/sbhr_pd/20260608/79715ed72bbf46df9c31f9262032df01/c.html</x:v>
      </x:c>
      <x:c r="B445" s="7" t="str">
        <x:v>2026</x:v>
      </x:c>
      <x:c r="C445" s="7" t="str">
        <x:v>全国</x:v>
      </x:c>
      <x:c r="D445" s="2" t="str">
        <x:v>已检索</x:v>
      </x:c>
      <x:c r="E445" s="9" t="n">
        <x:v>1</x:v>
      </x:c>
      <x:c r="F445" s="7" t="str">
        <x:v>web重定向循环；直接HTTP 200正文成功</x:v>
      </x:c>
    </x:row>
    <x:row r="446" ht="38" customHeight="1">
      <x:c r="A446" s="7" t="str">
        <x:v>打开 https://www.secretchina.com/news/gb/2026/04/09/1096914.html</x:v>
      </x:c>
      <x:c r="B446" s="7" t="str">
        <x:v>2026</x:v>
      </x:c>
      <x:c r="C446" s="7" t="str">
        <x:v>全国</x:v>
      </x:c>
      <x:c r="D446" s="2" t="str">
        <x:v>已检索</x:v>
      </x:c>
      <x:c r="E446" s="9" t="n">
        <x:v>1</x:v>
      </x:c>
      <x:c r="F446" s="7" t="str">
        <x:v>检索文本曾可读；直开Cache miss，HTTP回退SSL连接失败。只作未核网络转述，非独立采访。</x:v>
      </x:c>
    </x:row>
    <x:row r="447" ht="38" customHeight="1">
      <x:c r="A447" s="7" t="str">
        <x:v>复读 https://www.thepaper.cn/newsDetail_forward_32373915</x:v>
      </x:c>
      <x:c r="B447" s="7" t="str">
        <x:v>2026</x:v>
      </x:c>
      <x:c r="C447" s="7" t="str">
        <x:v>全国</x:v>
      </x:c>
      <x:c r="D447" s="2" t="str">
        <x:v>已检索</x:v>
      </x:c>
      <x:c r="E447" s="9" t="n">
        <x:v>1</x:v>
      </x:c>
      <x:c r="F447" s="7" t="str">
        <x:v>正文可读；标题明确安保险被推下扶梯，正文主要为商场奖励通报，素材综合网络；未确证扩大事实，南昌仍待核。</x:v>
      </x:c>
    </x:row>
    <x:row r="448" ht="38" customHeight="1">
      <x:c r="A448" s="7" t="str">
        <x:v>"南昌万象城" "保安" "推" "2026"</x:v>
      </x:c>
      <x:c r="B448" s="7" t="str">
        <x:v>2026</x:v>
      </x:c>
      <x:c r="C448" s="7" t="str">
        <x:v>全国</x:v>
      </x:c>
      <x:c r="D448" s="2" t="str">
        <x:v>已检索</x:v>
      </x:c>
      <x:c r="E448" s="9" t="n">
        <x:v>1</x:v>
      </x:c>
      <x:c r="F448" s="7" t="str">
        <x:v>检得既有澎湃及自媒体转载，没有检得新增独立现场采集。</x:v>
      </x:c>
    </x:row>
    <x:row r="449" ht="38" customHeight="1">
      <x:c r="A449" s="7" t="str">
        <x:v>"巧家" "2026年2月15日" "行凶"</x:v>
      </x:c>
      <x:c r="B449" s="7" t="str">
        <x:v>2026</x:v>
      </x:c>
      <x:c r="C449" s="7" t="str">
        <x:v>全国</x:v>
      </x:c>
      <x:c r="D449" s="2" t="str">
        <x:v>已检索</x:v>
      </x:c>
      <x:c r="E449" s="9" t="n">
        <x:v>1</x:v>
      </x:c>
      <x:c r="F449" s="7" t="str">
        <x:v>检得中央政法委事迹同源转载，没有额外独立信息。</x:v>
      </x:c>
    </x:row>
    <x:row r="450" ht="38" customHeight="1">
      <x:c r="A450" s="7" t="str">
        <x:v>"邱家屿社区" "持刀" "2026"</x:v>
      </x:c>
      <x:c r="B450" s="7" t="str">
        <x:v>2026</x:v>
      </x:c>
      <x:c r="C450" s="7" t="str">
        <x:v>全国</x:v>
      </x:c>
      <x:c r="D450" s="2" t="str">
        <x:v>已检索</x:v>
      </x:c>
      <x:c r="E450" s="9" t="n">
        <x:v>1</x:v>
      </x:c>
      <x:c r="F450" s="7" t="str">
        <x:v>同上，仅增加同源转载索引，不重复算证据。</x:v>
      </x:c>
    </x:row>
    <x:row r="451" ht="38" customHeight="1">
      <x:c r="A451" s="7" t="str">
        <x:v>复读 https://www.spp.gov.cn/spp/zdgz/202603/t20260330_725001.shtml</x:v>
      </x:c>
      <x:c r="B451" s="7" t="str">
        <x:v>2026</x:v>
      </x:c>
      <x:c r="C451" s="7" t="str">
        <x:v>全国</x:v>
      </x:c>
      <x:c r="D451" s="2" t="str">
        <x:v>已检索</x:v>
      </x:c>
      <x:c r="E451" s="9" t="n">
        <x:v>5</x:v>
      </x:c>
      <x:c r="F451" s="7" t="str">
        <x:v>web访问403，HTTP200原文可读；逐条再核沈阳、南昌、中山教培、重庆凤鸣山、巧家日期及过程。</x:v>
      </x:c>
    </x:row>
    <x:row r="452" ht="38" customHeight="1">
      <x:c r="A452" s="7" t="str">
        <x:v>复读 https://udn.com/news/story/7335/9309282</x:v>
      </x:c>
      <x:c r="B452" s="7" t="str">
        <x:v>2026</x:v>
      </x:c>
      <x:c r="C452" s="7" t="str">
        <x:v>全国</x:v>
      </x:c>
      <x:c r="D452" s="2" t="str">
        <x:v>已检索</x:v>
      </x:c>
      <x:c r="E452" s="9" t="n">
        <x:v>1</x:v>
      </x:c>
      <x:c r="F452" s="7" t="str">
        <x:v>正文可读。2月2日兼为网络流传日及匿名知情者所称案发日，独立日期证据仍缺。</x:v>
      </x:c>
    </x:row>
    <x:row r="453" ht="38" customHeight="1">
      <x:c r="A453" s="7" t="str">
        <x:v>复扫中央政法委第二季度见义勇为榜全文中的2026年1—3月条目</x:v>
      </x:c>
      <x:c r="B453" s="7" t="str">
        <x:v>2026</x:v>
      </x:c>
      <x:c r="C453" s="7" t="str">
        <x:v>内蒙古</x:v>
      </x:c>
      <x:c r="D453" s="2" t="str">
        <x:v>已检索</x:v>
      </x:c>
      <x:c r="E453" s="9" t="n">
        <x:v>1</x:v>
      </x:c>
      <x:c r="F453" s="7" t="str">
        <x:v>根任务提供同一官方页面已取得HTML；复扫公交、持刀、攻击、火灾及爆炸段落。除既有昆明、海南、罗湖、上海，新增锡林浩特公交1条；其余Q1救助事迹未出现主动伤人证据，不把普通火灾与落水当袭击。</x:v>
      </x:c>
    </x:row>
    <x:row r="454" ht="38" customHeight="1">
      <x:c r="A454" s="7" t="str">
        <x:v>"锡林浩特" "2026年3月26日" "公交"</x:v>
      </x:c>
      <x:c r="B454" s="7" t="str">
        <x:v>2026</x:v>
      </x:c>
      <x:c r="C454" s="7" t="str">
        <x:v>内蒙古</x:v>
      </x:c>
      <x:c r="D454" s="2" t="str">
        <x:v>已检索</x:v>
      </x:c>
      <x:c r="E454" s="9" t="n">
        <x:v>1</x:v>
      </x:c>
      <x:c r="F454" s="7" t="str">
        <x:v>检得锡林郭勒发改委信用网站同源转载；无新增警方调查或医学资料。</x:v>
      </x:c>
    </x:row>
    <x:row r="455" ht="38" customHeight="1">
      <x:c r="A455" s="7" t="str">
        <x:v>"敖千恒" "攻击" 公交 2026</x:v>
      </x:c>
      <x:c r="B455" s="7" t="str">
        <x:v>2026</x:v>
      </x:c>
      <x:c r="C455" s="7" t="str">
        <x:v>内蒙古</x:v>
      </x:c>
      <x:c r="D455" s="2" t="str">
        <x:v>已检索</x:v>
      </x:c>
      <x:c r="E455" s="9" t="n">
        <x:v>1</x:v>
      </x:c>
      <x:c r="F455" s="7" t="str">
        <x:v>仅检得表彰稿同源内容，不能增加独立证据数量。</x:v>
      </x:c>
    </x:row>
    <x:row r="456" ht="38" customHeight="1">
      <x:c r="A456" s="7" t="str">
        <x:v>打开 https://fgw.xlgl.gov.cn/credit/news/Ny4sNDA</x:v>
      </x:c>
      <x:c r="B456" s="7" t="str">
        <x:v>2026</x:v>
      </x:c>
      <x:c r="C456" s="7" t="str">
        <x:v>内蒙古</x:v>
      </x:c>
      <x:c r="D456" s="2" t="str">
        <x:v>访问失败</x:v>
      </x:c>
      <x:c r="E456" s="9" t="n">
        <x:v>1</x:v>
      </x:c>
      <x:c r="F456" s="7" t="str">
        <x:v>搜索返回同源官方转载文本，直开Cache miss；事件采用已核读的最高法刊载中央政法委榜单原文，不将此转载另计来源。</x:v>
      </x:c>
    </x:row>
    <x:row r="457" ht="38" customHeight="1">
      <x:c r="A457" s="7" t="str">
        <x:v>"whyyoutouzhele" "2026" "4月" "伤人"</x:v>
      </x:c>
      <x:c r="B457" s="7" t="str">
        <x:v>2026</x:v>
      </x:c>
      <x:c r="C457" s="7" t="str">
        <x:v>全国</x:v>
      </x:c>
      <x:c r="D457" s="2" t="str">
        <x:v>已检索</x:v>
      </x:c>
      <x:c r="E457" s="9"/>
      <x:c r="F457" s="7" t="str">
        <x:v>2026年第二季度定向检索；命中结果逐条核对。</x:v>
      </x:c>
    </x:row>
    <x:row r="458" ht="38" customHeight="1">
      <x:c r="A458" s="7" t="str">
        <x:v>"whyyoutouzhele" "2026" "5月" "伤人"</x:v>
      </x:c>
      <x:c r="B458" s="7" t="str">
        <x:v>2026</x:v>
      </x:c>
      <x:c r="C458" s="7" t="str">
        <x:v>全国</x:v>
      </x:c>
      <x:c r="D458" s="2" t="str">
        <x:v>已检索</x:v>
      </x:c>
      <x:c r="E458" s="9"/>
      <x:c r="F458" s="7" t="str">
        <x:v>2026年第二季度定向检索；命中结果逐条核对。</x:v>
      </x:c>
    </x:row>
    <x:row r="459" ht="38" customHeight="1">
      <x:c r="A459" s="7" t="str">
        <x:v>"whyyoutouzhele" "2026" "6月" "伤人"</x:v>
      </x:c>
      <x:c r="B459" s="7" t="str">
        <x:v>2026</x:v>
      </x:c>
      <x:c r="C459" s="7" t="str">
        <x:v>全国</x:v>
      </x:c>
      <x:c r="D459" s="2" t="str">
        <x:v>已检索</x:v>
      </x:c>
      <x:c r="E459" s="9"/>
      <x:c r="F459" s="7" t="str">
        <x:v>2026年第二季度定向检索；命中结果逐条核对。</x:v>
      </x:c>
    </x:row>
    <x:row r="460" ht="38" customHeight="1">
      <x:c r="A460" s="7" t="str">
        <x:v>"2026" "4月" "随机" "持刀"</x:v>
      </x:c>
      <x:c r="B460" s="7" t="str">
        <x:v>2026</x:v>
      </x:c>
      <x:c r="C460" s="7" t="str">
        <x:v>全国</x:v>
      </x:c>
      <x:c r="D460" s="2" t="str">
        <x:v>已检索</x:v>
      </x:c>
      <x:c r="E460" s="9"/>
      <x:c r="F460" s="7" t="str">
        <x:v>2026年第二季度定向检索；命中结果逐条核对。</x:v>
      </x:c>
    </x:row>
    <x:row r="461" ht="38" customHeight="1">
      <x:c r="A461" s="7" t="str">
        <x:v>"whyyoutouzhele" "4月" "2026" "撞人"</x:v>
      </x:c>
      <x:c r="B461" s="7" t="str">
        <x:v>2026</x:v>
      </x:c>
      <x:c r="C461" s="7" t="str">
        <x:v>全国</x:v>
      </x:c>
      <x:c r="D461" s="2" t="str">
        <x:v>已检索</x:v>
      </x:c>
      <x:c r="E461" s="9"/>
      <x:c r="F461" s="7" t="str">
        <x:v>关键词补漏；须区分旧案重发和实际案发日。</x:v>
      </x:c>
    </x:row>
    <x:row r="462" ht="38" customHeight="1">
      <x:c r="A462" s="7" t="str">
        <x:v>"whyyoutouzhele" "5月" "2026" "砍人"</x:v>
      </x:c>
      <x:c r="B462" s="7" t="str">
        <x:v>2026</x:v>
      </x:c>
      <x:c r="C462" s="7" t="str">
        <x:v>全国</x:v>
      </x:c>
      <x:c r="D462" s="2" t="str">
        <x:v>已检索</x:v>
      </x:c>
      <x:c r="E462" s="9"/>
      <x:c r="F462" s="7" t="str">
        <x:v>关键词补漏；须区分旧案重发和实际案发日。</x:v>
      </x:c>
    </x:row>
    <x:row r="463" ht="38" customHeight="1">
      <x:c r="A463" s="7" t="str">
        <x:v>"whyyoutouzhele" "6月" "2026" "撞人"</x:v>
      </x:c>
      <x:c r="B463" s="7" t="str">
        <x:v>2026</x:v>
      </x:c>
      <x:c r="C463" s="7" t="str">
        <x:v>全国</x:v>
      </x:c>
      <x:c r="D463" s="2" t="str">
        <x:v>已检索</x:v>
      </x:c>
      <x:c r="E463" s="9"/>
      <x:c r="F463" s="7" t="str">
        <x:v>关键词补漏；须区分旧案重发和实际案发日。</x:v>
      </x:c>
    </x:row>
    <x:row r="464" ht="38" customHeight="1">
      <x:c r="A464" s="7" t="str">
        <x:v>"2026" "6月" "随机砍人"</x:v>
      </x:c>
      <x:c r="B464" s="7" t="str">
        <x:v>2026</x:v>
      </x:c>
      <x:c r="C464" s="7" t="str">
        <x:v>全国</x:v>
      </x:c>
      <x:c r="D464" s="2" t="str">
        <x:v>已检索</x:v>
      </x:c>
      <x:c r="E464" s="9"/>
      <x:c r="F464" s="7" t="str">
        <x:v>关键词补漏；须区分旧案重发和实际案发日。</x:v>
      </x:c>
    </x:row>
    <x:row r="465" ht="38" customHeight="1">
      <x:c r="A465" s="7" t="str">
        <x:v>"2026年4月" "持刀伤人" 通报</x:v>
      </x:c>
      <x:c r="B465" s="7" t="str">
        <x:v>2026</x:v>
      </x:c>
      <x:c r="C465" s="7" t="str">
        <x:v>全国</x:v>
      </x:c>
      <x:c r="D465" s="2" t="str">
        <x:v>已检索</x:v>
      </x:c>
      <x:c r="E465" s="9"/>
      <x:c r="F465" s="7" t="str">
        <x:v>警方/媒体通报检索。</x:v>
      </x:c>
    </x:row>
    <x:row r="466" ht="38" customHeight="1">
      <x:c r="A466" s="7" t="str">
        <x:v>"2026年5月" "持刀伤人" 通报</x:v>
      </x:c>
      <x:c r="B466" s="7" t="str">
        <x:v>2026</x:v>
      </x:c>
      <x:c r="C466" s="7" t="str">
        <x:v>全国</x:v>
      </x:c>
      <x:c r="D466" s="2" t="str">
        <x:v>已检索</x:v>
      </x:c>
      <x:c r="E466" s="9"/>
      <x:c r="F466" s="7" t="str">
        <x:v>警方/媒体通报检索。</x:v>
      </x:c>
    </x:row>
    <x:row r="467" ht="38" customHeight="1">
      <x:c r="A467" s="7" t="str">
        <x:v>"2026年6月" "持刀伤人" 通报</x:v>
      </x:c>
      <x:c r="B467" s="7" t="str">
        <x:v>2026</x:v>
      </x:c>
      <x:c r="C467" s="7" t="str">
        <x:v>全国</x:v>
      </x:c>
      <x:c r="D467" s="2" t="str">
        <x:v>已检索</x:v>
      </x:c>
      <x:c r="E467" s="9"/>
      <x:c r="F467" s="7" t="str">
        <x:v>警方/媒体通报检索。</x:v>
      </x:c>
    </x:row>
    <x:row r="468" ht="38" customHeight="1">
      <x:c r="A468" s="7" t="str">
        <x:v>"2026" "重庆理工" "6月5"</x:v>
      </x:c>
      <x:c r="B468" s="7" t="str">
        <x:v>2026</x:v>
      </x:c>
      <x:c r="C468" s="7" t="str">
        <x:v>全国</x:v>
      </x:c>
      <x:c r="D468" s="2" t="str">
        <x:v>已检索</x:v>
      </x:c>
      <x:c r="E468" s="9"/>
      <x:c r="F468" s="7" t="str">
        <x:v>警方/媒体通报检索。</x:v>
      </x:c>
    </x:row>
    <x:row r="469" ht="38" customHeight="1">
      <x:c r="A469" s="7" t="str">
        <x:v>"2026" "4月" "纵火" "报复"</x:v>
      </x:c>
      <x:c r="B469" s="7" t="str">
        <x:v>2026</x:v>
      </x:c>
      <x:c r="C469" s="7" t="str">
        <x:v>全国</x:v>
      </x:c>
      <x:c r="D469" s="2" t="str">
        <x:v>已检索</x:v>
      </x:c>
      <x:c r="E469" s="9"/>
      <x:c r="F469" s="7" t="str">
        <x:v>纵火、爆炸、驾车及车展线索补漏。</x:v>
      </x:c>
    </x:row>
    <x:row r="470" ht="38" customHeight="1">
      <x:c r="A470" s="7" t="str">
        <x:v>"2026" "5月" "爆炸" "男子"</x:v>
      </x:c>
      <x:c r="B470" s="7" t="str">
        <x:v>2026</x:v>
      </x:c>
      <x:c r="C470" s="7" t="str">
        <x:v>全国</x:v>
      </x:c>
      <x:c r="D470" s="2" t="str">
        <x:v>已检索</x:v>
      </x:c>
      <x:c r="E470" s="9"/>
      <x:c r="F470" s="7" t="str">
        <x:v>纵火、爆炸、驾车及车展线索补漏。</x:v>
      </x:c>
    </x:row>
    <x:row r="471" ht="38" customHeight="1">
      <x:c r="A471" s="7" t="str">
        <x:v>"2026" "6月" "汽车" "冲撞"</x:v>
      </x:c>
      <x:c r="B471" s="7" t="str">
        <x:v>2026</x:v>
      </x:c>
      <x:c r="C471" s="7" t="str">
        <x:v>全国</x:v>
      </x:c>
      <x:c r="D471" s="2" t="str">
        <x:v>已检索</x:v>
      </x:c>
      <x:c r="E471" s="9"/>
      <x:c r="F471" s="7" t="str">
        <x:v>纵火、爆炸、驾车及车展线索补漏。</x:v>
      </x:c>
    </x:row>
    <x:row r="472" ht="38" customHeight="1">
      <x:c r="A472" s="7" t="str">
        <x:v>"2026" "无锡" "程儿" "警方"</x:v>
      </x:c>
      <x:c r="B472" s="7" t="str">
        <x:v>2026</x:v>
      </x:c>
      <x:c r="C472" s="7" t="str">
        <x:v>全国</x:v>
      </x:c>
      <x:c r="D472" s="2" t="str">
        <x:v>已检索</x:v>
      </x:c>
      <x:c r="E472" s="9"/>
      <x:c r="F472" s="7" t="str">
        <x:v>纵火、爆炸、驾车及车展线索补漏。</x:v>
      </x:c>
    </x:row>
    <x:row r="473" ht="38" customHeight="1">
      <x:c r="A473" s="7" t="str">
        <x:v>无锡 6月19日 车展 程儿 持刀 2026</x:v>
      </x:c>
      <x:c r="B473" s="7" t="str">
        <x:v>2026</x:v>
      </x:c>
      <x:c r="C473" s="7" t="str">
        <x:v>全国</x:v>
      </x:c>
      <x:c r="D473" s="2" t="str">
        <x:v>已检索</x:v>
      </x:c>
      <x:c r="E473" s="9"/>
      <x:c r="F473" s="7" t="str">
        <x:v>候选逐案追索。</x:v>
      </x:c>
    </x:row>
    <x:row r="474" ht="38" customHeight="1">
      <x:c r="A474" s="7" t="str">
        <x:v>滕州 6月28日 和馨园 砍人 2026</x:v>
      </x:c>
      <x:c r="B474" s="7" t="str">
        <x:v>2026</x:v>
      </x:c>
      <x:c r="C474" s="7" t="str">
        <x:v>全国</x:v>
      </x:c>
      <x:c r="D474" s="2" t="str">
        <x:v>已检索</x:v>
      </x:c>
      <x:c r="E474" s="9"/>
      <x:c r="F474" s="7" t="str">
        <x:v>候选逐案追索。</x:v>
      </x:c>
    </x:row>
    <x:row r="475" ht="38" customHeight="1">
      <x:c r="A475" s="7" t="str">
        <x:v>博罗 中园 4月22日 持刀 2026</x:v>
      </x:c>
      <x:c r="B475" s="7" t="str">
        <x:v>2026</x:v>
      </x:c>
      <x:c r="C475" s="7" t="str">
        <x:v>全国</x:v>
      </x:c>
      <x:c r="D475" s="2" t="str">
        <x:v>已检索</x:v>
      </x:c>
      <x:c r="E475" s="9"/>
      <x:c r="F475" s="7" t="str">
        <x:v>候选逐案追索。</x:v>
      </x:c>
    </x:row>
    <x:row r="476" ht="38" customHeight="1">
      <x:c r="A476" s="7" t="str">
        <x:v>广州 地铁 4月30日 2026 不明液体</x:v>
      </x:c>
      <x:c r="B476" s="7" t="str">
        <x:v>2026</x:v>
      </x:c>
      <x:c r="C476" s="7" t="str">
        <x:v>全国</x:v>
      </x:c>
      <x:c r="D476" s="2" t="str">
        <x:v>已检索</x:v>
      </x:c>
      <x:c r="E476" s="9"/>
      <x:c r="F476" s="7" t="str">
        <x:v>候选逐案追索。</x:v>
      </x:c>
    </x:row>
    <x:row r="477" ht="38" customHeight="1">
      <x:c r="A477" s="7" t="str">
        <x:v>广州地铁 辣椒水 2026 九派新闻</x:v>
      </x:c>
      <x:c r="B477" s="7" t="str">
        <x:v>2026</x:v>
      </x:c>
      <x:c r="C477" s="7" t="str">
        <x:v>全国</x:v>
      </x:c>
      <x:c r="D477" s="2" t="str">
        <x:v>已检索</x:v>
      </x:c>
      <x:c r="E477" s="9"/>
      <x:c r="F477" s="7" t="str">
        <x:v>原始采访来源与X继续补漏。</x:v>
      </x:c>
    </x:row>
    <x:row r="478" ht="38" customHeight="1">
      <x:c r="A478" s="7" t="str">
        <x:v>广州地铁 辣椒水 2026 荔枝新闻</x:v>
      </x:c>
      <x:c r="B478" s="7" t="str">
        <x:v>2026</x:v>
      </x:c>
      <x:c r="C478" s="7" t="str">
        <x:v>全国</x:v>
      </x:c>
      <x:c r="D478" s="2" t="str">
        <x:v>已检索</x:v>
      </x:c>
      <x:c r="E478" s="9"/>
      <x:c r="F478" s="7" t="str">
        <x:v>原始采访来源与X继续补漏。</x:v>
      </x:c>
    </x:row>
    <x:row r="479" ht="38" customHeight="1">
      <x:c r="A479" s="7" t="str">
        <x:v>"2026" "4月" "袭击" "whyyoutouzhele"</x:v>
      </x:c>
      <x:c r="B479" s="7" t="str">
        <x:v>2026</x:v>
      </x:c>
      <x:c r="C479" s="7" t="str">
        <x:v>全国</x:v>
      </x:c>
      <x:c r="D479" s="2" t="str">
        <x:v>已检索</x:v>
      </x:c>
      <x:c r="E479" s="9"/>
      <x:c r="F479" s="7" t="str">
        <x:v>原始采访来源与X继续补漏。</x:v>
      </x:c>
    </x:row>
    <x:row r="480" ht="38" customHeight="1">
      <x:c r="A480" s="7" t="str">
        <x:v>"2026" "5月" "袭击" "whyyoutouzhele"</x:v>
      </x:c>
      <x:c r="B480" s="7" t="str">
        <x:v>2026</x:v>
      </x:c>
      <x:c r="C480" s="7" t="str">
        <x:v>全国</x:v>
      </x:c>
      <x:c r="D480" s="2" t="str">
        <x:v>已检索</x:v>
      </x:c>
      <x:c r="E480" s="9"/>
      <x:c r="F480" s="7" t="str">
        <x:v>原始采访来源与X继续补漏。</x:v>
      </x:c>
    </x:row>
    <x:row r="481" ht="38" customHeight="1">
      <x:c r="A481" s="7" t="str">
        <x:v>"2026" "6月" "纵火" 中国</x:v>
      </x:c>
      <x:c r="B481" s="7" t="str">
        <x:v>2026</x:v>
      </x:c>
      <x:c r="C481" s="7" t="str">
        <x:v>全国</x:v>
      </x:c>
      <x:c r="D481" s="2" t="str">
        <x:v>已检索</x:v>
      </x:c>
      <x:c r="E481" s="9"/>
      <x:c r="F481" s="7" t="str">
        <x:v>按月份和手段补漏；多数命中境外/旧案，不能据报道日期纳入。</x:v>
      </x:c>
    </x:row>
    <x:row r="482" ht="38" customHeight="1">
      <x:c r="A482" s="7" t="str">
        <x:v>"2026" "5月" "纵火" 中国</x:v>
      </x:c>
      <x:c r="B482" s="7" t="str">
        <x:v>2026</x:v>
      </x:c>
      <x:c r="C482" s="7" t="str">
        <x:v>全国</x:v>
      </x:c>
      <x:c r="D482" s="2" t="str">
        <x:v>已检索</x:v>
      </x:c>
      <x:c r="E482" s="9"/>
      <x:c r="F482" s="7" t="str">
        <x:v>按月份和手段补漏；多数命中境外/旧案，不能据报道日期纳入。</x:v>
      </x:c>
    </x:row>
    <x:row r="483" ht="38" customHeight="1">
      <x:c r="A483" s="7" t="str">
        <x:v>"2026" "4月" "爆炸" "报复社会"</x:v>
      </x:c>
      <x:c r="B483" s="7" t="str">
        <x:v>2026</x:v>
      </x:c>
      <x:c r="C483" s="7" t="str">
        <x:v>全国</x:v>
      </x:c>
      <x:c r="D483" s="2" t="str">
        <x:v>已检索</x:v>
      </x:c>
      <x:c r="E483" s="9"/>
      <x:c r="F483" s="7" t="str">
        <x:v>按月份和手段补漏；多数命中境外/旧案，不能据报道日期纳入。</x:v>
      </x:c>
    </x:row>
    <x:row r="484" ht="38" customHeight="1">
      <x:c r="A484" s="7" t="str">
        <x:v>"2026" "6月" "爆炸" "报复社会"</x:v>
      </x:c>
      <x:c r="B484" s="7" t="str">
        <x:v>2026</x:v>
      </x:c>
      <x:c r="C484" s="7" t="str">
        <x:v>全国</x:v>
      </x:c>
      <x:c r="D484" s="2" t="str">
        <x:v>已检索</x:v>
      </x:c>
      <x:c r="E484" s="9"/>
      <x:c r="F484" s="7" t="str">
        <x:v>按月份和手段补漏；多数命中境外/旧案，不能据报道日期纳入。</x:v>
      </x:c>
    </x:row>
    <x:row r="485" ht="38" customHeight="1">
      <x:c r="A485" s="7" t="str">
        <x:v>"2026" "6月" "随州" "大润发" 撞人</x:v>
      </x:c>
      <x:c r="B485" s="7" t="str">
        <x:v>2026</x:v>
      </x:c>
      <x:c r="C485" s="7" t="str">
        <x:v>全国</x:v>
      </x:c>
      <x:c r="D485" s="2" t="str">
        <x:v>已检索</x:v>
      </x:c>
      <x:c r="E485" s="9"/>
      <x:c r="F485" s="7" t="str">
        <x:v>爆炸纵火驾车候选回溯通报。</x:v>
      </x:c>
    </x:row>
    <x:row r="486" ht="38" customHeight="1">
      <x:c r="A486" s="7" t="str">
        <x:v>"2026" "6月" "漯河" "撞人"</x:v>
      </x:c>
      <x:c r="B486" s="7" t="str">
        <x:v>2026</x:v>
      </x:c>
      <x:c r="C486" s="7" t="str">
        <x:v>全国</x:v>
      </x:c>
      <x:c r="D486" s="2" t="str">
        <x:v>已检索</x:v>
      </x:c>
      <x:c r="E486" s="9"/>
      <x:c r="F486" s="7" t="str">
        <x:v>爆炸纵火驾车候选回溯通报。</x:v>
      </x:c>
    </x:row>
    <x:row r="487" ht="38" customHeight="1">
      <x:c r="A487" s="7" t="str">
        <x:v>"2026" "6月11日" "兴安" 爆炸 通报</x:v>
      </x:c>
      <x:c r="B487" s="7" t="str">
        <x:v>2026</x:v>
      </x:c>
      <x:c r="C487" s="7" t="str">
        <x:v>全国</x:v>
      </x:c>
      <x:c r="D487" s="2" t="str">
        <x:v>已检索</x:v>
      </x:c>
      <x:c r="E487" s="9"/>
      <x:c r="F487" s="7" t="str">
        <x:v>爆炸纵火驾车候选回溯通报。</x:v>
      </x:c>
    </x:row>
    <x:row r="488" ht="38" customHeight="1">
      <x:c r="A488" s="7" t="str">
        <x:v>"2026" "4月17日" "临沂" "纵火"</x:v>
      </x:c>
      <x:c r="B488" s="7" t="str">
        <x:v>2026</x:v>
      </x:c>
      <x:c r="C488" s="7" t="str">
        <x:v>全国</x:v>
      </x:c>
      <x:c r="D488" s="2" t="str">
        <x:v>已检索</x:v>
      </x:c>
      <x:c r="E488" s="9"/>
      <x:c r="F488" s="7" t="str">
        <x:v>爆炸纵火驾车候选回溯通报。</x:v>
      </x:c>
    </x:row>
    <x:row r="489" ht="38" customHeight="1">
      <x:c r="A489" s="7" t="str">
        <x:v>"2026" "6月5日" "重庆理工大学" 警方</x:v>
      </x:c>
      <x:c r="B489" s="7" t="str">
        <x:v>2026</x:v>
      </x:c>
      <x:c r="C489" s="7" t="str">
        <x:v>全国</x:v>
      </x:c>
      <x:c r="D489" s="2" t="str">
        <x:v>已检索</x:v>
      </x:c>
      <x:c r="E489" s="9"/>
      <x:c r="F489" s="7" t="str">
        <x:v>动机、受害关系、官方后续与X原帖追溯。</x:v>
      </x:c>
    </x:row>
    <x:row r="490" ht="38" customHeight="1">
      <x:c r="A490" s="7" t="str">
        <x:v>"2026" "5月19日" "环球金融中心" "日本人"</x:v>
      </x:c>
      <x:c r="B490" s="7" t="str">
        <x:v>2026</x:v>
      </x:c>
      <x:c r="C490" s="7" t="str">
        <x:v>全国</x:v>
      </x:c>
      <x:c r="D490" s="2" t="str">
        <x:v>已检索</x:v>
      </x:c>
      <x:c r="E490" s="9"/>
      <x:c r="F490" s="7" t="str">
        <x:v>动机、受害关系、官方后续与X原帖追溯。</x:v>
      </x:c>
    </x:row>
    <x:row r="491" ht="38" customHeight="1">
      <x:c r="A491" s="7" t="str">
        <x:v>"2026" "宏达国际车业" "纵火" "纠纷"</x:v>
      </x:c>
      <x:c r="B491" s="7" t="str">
        <x:v>2026</x:v>
      </x:c>
      <x:c r="C491" s="7" t="str">
        <x:v>全国</x:v>
      </x:c>
      <x:c r="D491" s="2" t="str">
        <x:v>已检索</x:v>
      </x:c>
      <x:c r="E491" s="9"/>
      <x:c r="F491" s="7" t="str">
        <x:v>动机、受害关系、官方后续与X原帖追溯。</x:v>
      </x:c>
    </x:row>
    <x:row r="492" ht="38" customHeight="1">
      <x:c r="A492" s="7" t="str">
        <x:v>"whyyoutouzhele" "广州地铁" "4月30日"</x:v>
      </x:c>
      <x:c r="B492" s="7" t="str">
        <x:v>2026</x:v>
      </x:c>
      <x:c r="C492" s="7" t="str">
        <x:v>全国</x:v>
      </x:c>
      <x:c r="D492" s="2" t="str">
        <x:v>已检索</x:v>
      </x:c>
      <x:c r="E492" s="9"/>
      <x:c r="F492" s="7" t="str">
        <x:v>动机、受害关系、官方后续与X原帖追溯。</x:v>
      </x:c>
    </x:row>
    <x:row r="493" ht="38" customHeight="1">
      <x:c r="A493" s="7" t="str">
        <x:v>"2026" "4月13日" "衢州" "路虎"</x:v>
      </x:c>
      <x:c r="B493" s="7" t="str">
        <x:v>2026</x:v>
      </x:c>
      <x:c r="C493" s="7" t="str">
        <x:v>全国</x:v>
      </x:c>
      <x:c r="D493" s="2" t="str">
        <x:v>已检索</x:v>
      </x:c>
      <x:c r="E493" s="9"/>
      <x:c r="F493" s="7" t="str">
        <x:v>论坛漏案候选追溯，保留故意性待核或事故排除。</x:v>
      </x:c>
    </x:row>
    <x:row r="494" ht="38" customHeight="1">
      <x:c r="A494" s="7" t="str">
        <x:v>"2026" "4月19日" "南安" "撞"</x:v>
      </x:c>
      <x:c r="B494" s="7" t="str">
        <x:v>2026</x:v>
      </x:c>
      <x:c r="C494" s="7" t="str">
        <x:v>全国</x:v>
      </x:c>
      <x:c r="D494" s="2" t="str">
        <x:v>已检索</x:v>
      </x:c>
      <x:c r="E494" s="9"/>
      <x:c r="F494" s="7" t="str">
        <x:v>论坛漏案候选追溯，保留故意性待核或事故排除。</x:v>
      </x:c>
    </x:row>
    <x:row r="495" ht="38" customHeight="1">
      <x:c r="A495" s="7" t="str">
        <x:v>"2026" "4月7日" "儋州" "奔驰"</x:v>
      </x:c>
      <x:c r="B495" s="7" t="str">
        <x:v>2026</x:v>
      </x:c>
      <x:c r="C495" s="7" t="str">
        <x:v>全国</x:v>
      </x:c>
      <x:c r="D495" s="2" t="str">
        <x:v>已检索</x:v>
      </x:c>
      <x:c r="E495" s="9"/>
      <x:c r="F495" s="7" t="str">
        <x:v>论坛漏案候选追溯，保留故意性待核或事故排除。</x:v>
      </x:c>
    </x:row>
    <x:row r="496" ht="38" customHeight="1">
      <x:c r="A496" s="7" t="str">
        <x:v>"2026" "4月17日" "临沂" "面粉厂"</x:v>
      </x:c>
      <x:c r="B496" s="7" t="str">
        <x:v>2026</x:v>
      </x:c>
      <x:c r="C496" s="7" t="str">
        <x:v>全国</x:v>
      </x:c>
      <x:c r="D496" s="2" t="str">
        <x:v>已检索</x:v>
      </x:c>
      <x:c r="E496" s="9"/>
      <x:c r="F496" s="7" t="str">
        <x:v>论坛漏案候选追溯，保留故意性待核或事故排除。</x:v>
      </x:c>
    </x:row>
    <x:row r="497" ht="38" customHeight="1">
      <x:c r="A497" s="7" t="str">
        <x:v>"2026" "郸城县" "女孩" "砍伤"</x:v>
      </x:c>
      <x:c r="B497" s="7" t="str">
        <x:v>2026</x:v>
      </x:c>
      <x:c r="C497" s="7" t="str">
        <x:v>全国</x:v>
      </x:c>
      <x:c r="D497" s="2" t="str">
        <x:v>已检索</x:v>
      </x:c>
      <x:c r="E497" s="9"/>
      <x:c r="F497" s="7" t="str">
        <x:v>按月关键词继续补漏。</x:v>
      </x:c>
    </x:row>
    <x:row r="498" ht="38" customHeight="1">
      <x:c r="A498" s="7" t="str">
        <x:v>"whyyoutouzhele" "2026" "6月" "杀人"</x:v>
      </x:c>
      <x:c r="B498" s="7" t="str">
        <x:v>2026</x:v>
      </x:c>
      <x:c r="C498" s="7" t="str">
        <x:v>全国</x:v>
      </x:c>
      <x:c r="D498" s="2" t="str">
        <x:v>已检索</x:v>
      </x:c>
      <x:c r="E498" s="9"/>
      <x:c r="F498" s="7" t="str">
        <x:v>按月关键词继续补漏。</x:v>
      </x:c>
    </x:row>
    <x:row r="499" ht="38" customHeight="1">
      <x:c r="A499" s="7" t="str">
        <x:v>"whyyoutouzhele" "2026" "5月" "杀人"</x:v>
      </x:c>
      <x:c r="B499" s="7" t="str">
        <x:v>2026</x:v>
      </x:c>
      <x:c r="C499" s="7" t="str">
        <x:v>全国</x:v>
      </x:c>
      <x:c r="D499" s="2" t="str">
        <x:v>已检索</x:v>
      </x:c>
      <x:c r="E499" s="9"/>
      <x:c r="F499" s="7" t="str">
        <x:v>按月关键词继续补漏。</x:v>
      </x:c>
    </x:row>
    <x:row r="500" ht="38" customHeight="1">
      <x:c r="A500" s="7" t="str">
        <x:v>"whyyoutouzhele" "2026" "4月" "纵火"</x:v>
      </x:c>
      <x:c r="B500" s="7" t="str">
        <x:v>2026</x:v>
      </x:c>
      <x:c r="C500" s="7" t="str">
        <x:v>全国</x:v>
      </x:c>
      <x:c r="D500" s="2" t="str">
        <x:v>已检索</x:v>
      </x:c>
      <x:c r="E500" s="9"/>
      <x:c r="F500" s="7" t="str">
        <x:v>按月关键词继续补漏。</x:v>
      </x:c>
    </x:row>
    <x:row r="501" ht="38" customHeight="1">
      <x:c r="A501" s="7" t="str">
        <x:v>"郸城" "2026" "砍伤两名"</x:v>
      </x:c>
      <x:c r="B501" s="7" t="str">
        <x:v>2026</x:v>
      </x:c>
      <x:c r="C501" s="7" t="str">
        <x:v>全国</x:v>
      </x:c>
      <x:c r="D501" s="2" t="str">
        <x:v>已检索</x:v>
      </x:c>
      <x:c r="E501" s="9"/>
      <x:c r="F501" s="7" t="str">
        <x:v>校园/街头及六月车辆线索补漏核对。</x:v>
      </x:c>
    </x:row>
    <x:row r="502" ht="38" customHeight="1">
      <x:c r="A502" s="7" t="str">
        <x:v>"滕州" "2026年6月28日"</x:v>
      </x:c>
      <x:c r="B502" s="7" t="str">
        <x:v>2026</x:v>
      </x:c>
      <x:c r="C502" s="7" t="str">
        <x:v>全国</x:v>
      </x:c>
      <x:c r="D502" s="2" t="str">
        <x:v>已检索</x:v>
      </x:c>
      <x:c r="E502" s="9"/>
      <x:c r="F502" s="7" t="str">
        <x:v>校园/街头及六月车辆线索补漏核对。</x:v>
      </x:c>
    </x:row>
    <x:row r="503" ht="38" customHeight="1">
      <x:c r="A503" s="7" t="str">
        <x:v>"2026" "随州" "冲撞行人"</x:v>
      </x:c>
      <x:c r="B503" s="7" t="str">
        <x:v>2026</x:v>
      </x:c>
      <x:c r="C503" s="7" t="str">
        <x:v>全国</x:v>
      </x:c>
      <x:c r="D503" s="2" t="str">
        <x:v>已检索</x:v>
      </x:c>
      <x:c r="E503" s="9"/>
      <x:c r="F503" s="7" t="str">
        <x:v>校园/街头及六月车辆线索补漏核对。</x:v>
      </x:c>
    </x:row>
    <x:row r="504" ht="38" customHeight="1">
      <x:c r="A504" s="7" t="str">
        <x:v>"2026" "漯河" "连环车祸"</x:v>
      </x:c>
      <x:c r="B504" s="7" t="str">
        <x:v>2026</x:v>
      </x:c>
      <x:c r="C504" s="7" t="str">
        <x:v>全国</x:v>
      </x:c>
      <x:c r="D504" s="2" t="str">
        <x:v>已检索</x:v>
      </x:c>
      <x:c r="E504" s="9"/>
      <x:c r="F504" s="7" t="str">
        <x:v>校园/街头及六月车辆线索补漏核对。</x:v>
      </x:c>
    </x:row>
    <x:row r="505" ht="38" customHeight="1">
      <x:c r="A505" s="7" t="str">
        <x:v>2026 4月 5月 6月 学校 持刀 袭击 路人</x:v>
      </x:c>
      <x:c r="B505" s="7" t="str">
        <x:v>2026</x:v>
      </x:c>
      <x:c r="C505" s="7" t="str">
        <x:v>全国</x:v>
      </x:c>
      <x:c r="D505" s="2" t="str">
        <x:v>已检索</x:v>
      </x:c>
      <x:c r="E505" s="9"/>
      <x:c r="F505" s="7" t="str">
        <x:v>按校园、医疗、公交和商业群体场景补漏；结果以案发日核对。</x:v>
      </x:c>
    </x:row>
    <x:row r="506" ht="38" customHeight="1">
      <x:c r="A506" s="7" t="str">
        <x:v>2026 4月 5月 6月 医院 随机 伤人</x:v>
      </x:c>
      <x:c r="B506" s="7" t="str">
        <x:v>2026</x:v>
      </x:c>
      <x:c r="C506" s="7" t="str">
        <x:v>全国</x:v>
      </x:c>
      <x:c r="D506" s="2" t="str">
        <x:v>已检索</x:v>
      </x:c>
      <x:c r="E506" s="9"/>
      <x:c r="F506" s="7" t="str">
        <x:v>按校园、医疗、公交和商业群体场景补漏；结果以案发日核对。</x:v>
      </x:c>
    </x:row>
    <x:row r="507" ht="38" customHeight="1">
      <x:c r="A507" s="7" t="str">
        <x:v>2026 4月 5月 6月 公交 纵火 爆炸</x:v>
      </x:c>
      <x:c r="B507" s="7" t="str">
        <x:v>2026</x:v>
      </x:c>
      <x:c r="C507" s="7" t="str">
        <x:v>全国</x:v>
      </x:c>
      <x:c r="D507" s="2" t="str">
        <x:v>已检索</x:v>
      </x:c>
      <x:c r="E507" s="9"/>
      <x:c r="F507" s="7" t="str">
        <x:v>按校园、医疗、公交和商业群体场景补漏；结果以案发日核对。</x:v>
      </x:c>
    </x:row>
    <x:row r="508" ht="38" customHeight="1">
      <x:c r="A508" s="7" t="str">
        <x:v>2026 4月 5月 6月 商场 超市 随机 砍人</x:v>
      </x:c>
      <x:c r="B508" s="7" t="str">
        <x:v>2026</x:v>
      </x:c>
      <x:c r="C508" s="7" t="str">
        <x:v>全国</x:v>
      </x:c>
      <x:c r="D508" s="2" t="str">
        <x:v>已检索</x:v>
      </x:c>
      <x:c r="E508" s="9"/>
      <x:c r="F508" s="7" t="str">
        <x:v>按校园、医疗、公交和商业群体场景补漏；结果以案发日核对。</x:v>
      </x:c>
    </x:row>
    <x:row r="509" ht="38" customHeight="1">
      <x:c r="A509" s="7" t="str">
        <x:v>"2026" "4月13日" "奉化" "火灾" 通报</x:v>
      </x:c>
      <x:c r="B509" s="7" t="str">
        <x:v>2026</x:v>
      </x:c>
      <x:c r="C509" s="7" t="str">
        <x:v>全国</x:v>
      </x:c>
      <x:c r="D509" s="2" t="str">
        <x:v>已检索</x:v>
      </x:c>
      <x:c r="E509" s="9"/>
      <x:c r="F509" s="7" t="str">
        <x:v>官方确认与纵火候选核验。</x:v>
      </x:c>
    </x:row>
    <x:row r="510" ht="38" customHeight="1">
      <x:c r="A510" s="7" t="str">
        <x:v>"2026" "4月17日" "临沂" "火灾"</x:v>
      </x:c>
      <x:c r="B510" s="7" t="str">
        <x:v>2026</x:v>
      </x:c>
      <x:c r="C510" s="7" t="str">
        <x:v>全国</x:v>
      </x:c>
      <x:c r="D510" s="2" t="str">
        <x:v>已检索</x:v>
      </x:c>
      <x:c r="E510" s="9"/>
      <x:c r="F510" s="7" t="str">
        <x:v>官方确认与纵火候选核验。</x:v>
      </x:c>
    </x:row>
    <x:row r="511" ht="38" customHeight="1">
      <x:c r="A511" s="7" t="str">
        <x:v>"2026" "嘉禾" "曾凡林"</x:v>
      </x:c>
      <x:c r="B511" s="7" t="str">
        <x:v>2026</x:v>
      </x:c>
      <x:c r="C511" s="7" t="str">
        <x:v>全国</x:v>
      </x:c>
      <x:c r="D511" s="2" t="str">
        <x:v>已检索</x:v>
      </x:c>
      <x:c r="E511" s="9"/>
      <x:c r="F511" s="7" t="str">
        <x:v>官方确认与纵火候选核验。</x:v>
      </x:c>
    </x:row>
    <x:row r="512" ht="38" customHeight="1">
      <x:c r="A512" s="7" t="str">
        <x:v>"2026" "张伟" "金某" "曾某" 湖州</x:v>
      </x:c>
      <x:c r="B512" s="7" t="str">
        <x:v>2026</x:v>
      </x:c>
      <x:c r="C512" s="7" t="str">
        <x:v>全国</x:v>
      </x:c>
      <x:c r="D512" s="2" t="str">
        <x:v>已检索</x:v>
      </x:c>
      <x:c r="E512" s="9"/>
      <x:c r="F512" s="7" t="str">
        <x:v>官方确认与纵火候选核验。</x:v>
      </x:c>
    </x:row>
    <x:row r="513" ht="38" customHeight="1">
      <x:c r="A513" s="7" t="str">
        <x:v>衢州 2026 4月14日 余某某 2人受伤</x:v>
      </x:c>
      <x:c r="B513" s="7" t="str">
        <x:v>2026</x:v>
      </x:c>
      <x:c r="C513" s="7" t="str">
        <x:v>全国</x:v>
      </x:c>
      <x:c r="D513" s="2" t="str">
        <x:v>已检索</x:v>
      </x:c>
      <x:c r="E513" s="9"/>
      <x:c r="F513" s="7" t="str">
        <x:v>伤亡通报正文与后续分类复核。</x:v>
      </x:c>
    </x:row>
    <x:row r="514" ht="38" customHeight="1">
      <x:c r="A514" s="7" t="str">
        <x:v>南安市 水头镇 2026 4月19日 南方</x:v>
      </x:c>
      <x:c r="B514" s="7" t="str">
        <x:v>2026</x:v>
      </x:c>
      <x:c r="C514" s="7" t="str">
        <x:v>全国</x:v>
      </x:c>
      <x:c r="D514" s="2" t="str">
        <x:v>已检索</x:v>
      </x:c>
      <x:c r="E514" s="9"/>
      <x:c r="F514" s="7" t="str">
        <x:v>伤亡通报正文与后续分类复核。</x:v>
      </x:c>
    </x:row>
    <x:row r="515" ht="38" customHeight="1">
      <x:c r="A515" s="7" t="str">
        <x:v>嘉禾 曾凡林 2026 4月11日 精神</x:v>
      </x:c>
      <x:c r="B515" s="7" t="str">
        <x:v>2026</x:v>
      </x:c>
      <x:c r="C515" s="7" t="str">
        <x:v>全国</x:v>
      </x:c>
      <x:c r="D515" s="2" t="str">
        <x:v>已检索</x:v>
      </x:c>
      <x:c r="E515" s="9"/>
      <x:c r="F515" s="7" t="str">
        <x:v>伤亡通报正文与后续分类复核。</x:v>
      </x:c>
    </x:row>
    <x:row r="516" ht="38" customHeight="1">
      <x:c r="A516" s="7" t="str">
        <x:v>广州 地铁 辣椒水 2026 调查 结果</x:v>
      </x:c>
      <x:c r="B516" s="7" t="str">
        <x:v>2026</x:v>
      </x:c>
      <x:c r="C516" s="7" t="str">
        <x:v>全国</x:v>
      </x:c>
      <x:c r="D516" s="2" t="str">
        <x:v>已检索</x:v>
      </x:c>
      <x:c r="E516" s="9"/>
      <x:c r="F516" s="7" t="str">
        <x:v>伤亡通报正文与后续分类复核。</x:v>
      </x:c>
    </x:row>
    <x:row r="517" ht="38" customHeight="1">
      <x:c r="A517" s="7" t="str">
        <x:v>衢州 4月13日 余某某 2026 警情通报 百汇路</x:v>
      </x:c>
      <x:c r="B517" s="7" t="str">
        <x:v>2026</x:v>
      </x:c>
      <x:c r="C517" s="7" t="str">
        <x:v>全国</x:v>
      </x:c>
      <x:c r="D517" s="2" t="str">
        <x:v>已检索</x:v>
      </x:c>
      <x:c r="E517" s="9"/>
      <x:c r="F517" s="7" t="str">
        <x:v>逐案补查官方正文、原始社媒与相反证据。</x:v>
      </x:c>
    </x:row>
    <x:row r="518" ht="38" customHeight="1">
      <x:c r="A518" s="7" t="str">
        <x:v>2026 4月19日 南安 水头 2死1伤 警方 南方</x:v>
      </x:c>
      <x:c r="B518" s="7" t="str">
        <x:v>2026</x:v>
      </x:c>
      <x:c r="C518" s="7" t="str">
        <x:v>全国</x:v>
      </x:c>
      <x:c r="D518" s="2" t="str">
        <x:v>已检索</x:v>
      </x:c>
      <x:c r="E518" s="9"/>
      <x:c r="F518" s="7" t="str">
        <x:v>逐案补查官方正文、原始社媒与相反证据。</x:v>
      </x:c>
    </x:row>
    <x:row r="519" ht="38" customHeight="1">
      <x:c r="A519" s="7" t="str">
        <x:v>泰安 2026 4月29日 副市长 爆炸 造谣</x:v>
      </x:c>
      <x:c r="B519" s="7" t="str">
        <x:v>2026</x:v>
      </x:c>
      <x:c r="C519" s="7" t="str">
        <x:v>全国</x:v>
      </x:c>
      <x:c r="D519" s="2" t="str">
        <x:v>已检索</x:v>
      </x:c>
      <x:c r="E519" s="9"/>
      <x:c r="F519" s="7" t="str">
        <x:v>逐案补查官方正文、原始社媒与相反证据。</x:v>
      </x:c>
    </x:row>
    <x:row r="520" ht="38" customHeight="1">
      <x:c r="A520" s="7" t="str">
        <x:v>site:x.com/whyyoutouzhele/status/ 2026 广州 辣椒水</x:v>
      </x:c>
      <x:c r="B520" s="7" t="str">
        <x:v>2026</x:v>
      </x:c>
      <x:c r="C520" s="7" t="str">
        <x:v>全国</x:v>
      </x:c>
      <x:c r="D520" s="2" t="str">
        <x:v>已检索</x:v>
      </x:c>
      <x:c r="E520" s="9"/>
      <x:c r="F520" s="7" t="str">
        <x:v>逐案补查官方正文、原始社媒与相反证据。</x:v>
      </x:c>
    </x:row>
    <x:row r="521" ht="38" customHeight="1">
      <x:c r="A521" s="7" t="str">
        <x:v>site.twstalker.com/whyyoutouzhele "2026" "4月" 砍人</x:v>
      </x:c>
      <x:c r="B521" s="7" t="str">
        <x:v>2026</x:v>
      </x:c>
      <x:c r="C521" s="7" t="str">
        <x:v>全国</x:v>
      </x:c>
      <x:c r="D521" s="2" t="str">
        <x:v>已检索</x:v>
      </x:c>
      <x:c r="E521" s="9"/>
      <x:c r="F521" s="7" t="str">
        <x:v>对X镜像及CDT定向补查；按结果正文案发日期审查，不将聚合页面标题年份等同案发年份。</x:v>
      </x:c>
    </x:row>
    <x:row r="522" ht="38" customHeight="1">
      <x:c r="A522" s="7" t="str">
        <x:v>site.sotwe.com/whyyoutouzhele "5月" "2026" 撞人</x:v>
      </x:c>
      <x:c r="B522" s="7" t="str">
        <x:v>2026</x:v>
      </x:c>
      <x:c r="C522" s="7" t="str">
        <x:v>全国</x:v>
      </x:c>
      <x:c r="D522" s="2" t="str">
        <x:v>已检索</x:v>
      </x:c>
      <x:c r="E522" s="9"/>
      <x:c r="F522" s="7" t="str">
        <x:v>对X镜像及CDT定向补查；按结果正文案发日期审查，不将聚合页面标题年份等同案发年份。</x:v>
      </x:c>
    </x:row>
    <x:row r="523" ht="38" customHeight="1">
      <x:c r="A523" s="7" t="str">
        <x:v>site.chinadigitaltimes.net "2026" "6月" "持刀" 李老师</x:v>
      </x:c>
      <x:c r="B523" s="7" t="str">
        <x:v>2026</x:v>
      </x:c>
      <x:c r="C523" s="7" t="str">
        <x:v>全国</x:v>
      </x:c>
      <x:c r="D523" s="2" t="str">
        <x:v>已检索</x:v>
      </x:c>
      <x:c r="E523" s="9"/>
      <x:c r="F523" s="7" t="str">
        <x:v>对X镜像及CDT定向补查；按结果正文案发日期审查，不将聚合页面标题年份等同案发年份。</x:v>
      </x:c>
    </x:row>
    <x:row r="524" ht="38" customHeight="1">
      <x:c r="A524" s="7" t="str">
        <x:v>site.twstalker.com/whyyoutouzhele "6月" "2026" 纵火</x:v>
      </x:c>
      <x:c r="B524" s="7" t="str">
        <x:v>2026</x:v>
      </x:c>
      <x:c r="C524" s="7" t="str">
        <x:v>全国</x:v>
      </x:c>
      <x:c r="D524" s="2" t="str">
        <x:v>已检索</x:v>
      </x:c>
      <x:c r="E524" s="9"/>
      <x:c r="F524" s="7" t="str">
        <x:v>对X镜像及CDT定向补查；按结果正文案发日期审查，不将聚合页面标题年份等同案发年份。</x:v>
      </x:c>
    </x:row>
    <x:row r="525" ht="38" customHeight="1">
      <x:c r="A525" s="7" t="str">
        <x:v>天津 津南 正营路 瞬新广场 2026 6月26日 持刀</x:v>
      </x:c>
      <x:c r="B525" s="7" t="str">
        <x:v>2026</x:v>
      </x:c>
      <x:c r="C525" s="7" t="str">
        <x:v>全国</x:v>
      </x:c>
      <x:c r="D525" s="2" t="str">
        <x:v>已检索</x:v>
      </x:c>
      <x:c r="E525" s="9"/>
      <x:c r="F525" s="7" t="str">
        <x:v>新增镜像线索及相反现场证据补查。</x:v>
      </x:c>
    </x:row>
    <x:row r="526" ht="38" customHeight="1">
      <x:c r="A526" s="7" t="str">
        <x:v>北京 中信大厦 2026 6月26日 飞机 撞击 通报</x:v>
      </x:c>
      <x:c r="B526" s="7" t="str">
        <x:v>2026</x:v>
      </x:c>
      <x:c r="C526" s="7" t="str">
        <x:v>全国</x:v>
      </x:c>
      <x:c r="D526" s="2" t="str">
        <x:v>已检索</x:v>
      </x:c>
      <x:c r="E526" s="9"/>
      <x:c r="F526" s="7" t="str">
        <x:v>新增镜像线索及相反现场证据补查。</x:v>
      </x:c>
    </x:row>
    <x:row r="527" ht="38" customHeight="1">
      <x:c r="A527" s="7" t="str">
        <x:v>成都 2026 5月1日 司机 尖刀 目击者 调查 后续</x:v>
      </x:c>
      <x:c r="B527" s="7" t="str">
        <x:v>2026</x:v>
      </x:c>
      <x:c r="C527" s="7" t="str">
        <x:v>全国</x:v>
      </x:c>
      <x:c r="D527" s="2" t="str">
        <x:v>已检索</x:v>
      </x:c>
      <x:c r="E527" s="9"/>
      <x:c r="F527" s="7" t="str">
        <x:v>新增镜像线索及相反现场证据补查。</x:v>
      </x:c>
    </x:row>
    <x:row r="528" ht="38" customHeight="1">
      <x:c r="A528" s="7" t="str">
        <x:v>"北京朝阳" "2026" "7月2日" "航空器"</x:v>
      </x:c>
      <x:c r="B528" s="7" t="str">
        <x:v>2026</x:v>
      </x:c>
      <x:c r="C528" s="7" t="str">
        <x:v>北京；安徽</x:v>
      </x:c>
      <x:c r="D528" s="2" t="str">
        <x:v>已检索</x:v>
      </x:c>
      <x:c r="E528" s="9"/>
      <x:c r="F528" s="7" t="str">
        <x:v>末轮核查北京调查结论与寿县幼儿园网帖。</x:v>
      </x:c>
    </x:row>
    <x:row r="529" ht="38" customHeight="1">
      <x:c r="A529" s="7" t="str">
        <x:v>"寿县" "6月27日" "2026" "京师"</x:v>
      </x:c>
      <x:c r="B529" s="7" t="str">
        <x:v>2026</x:v>
      </x:c>
      <x:c r="C529" s="7" t="str">
        <x:v>北京；安徽</x:v>
      </x:c>
      <x:c r="D529" s="2" t="str">
        <x:v>已检索</x:v>
      </x:c>
      <x:c r="E529" s="9"/>
      <x:c r="F529" s="7" t="str">
        <x:v>末轮核查北京调查结论与寿县幼儿园网帖。</x:v>
      </x:c>
    </x:row>
    <x:row r="530" ht="38" customHeight="1">
      <x:c r="A530" s="7" t="str">
        <x:v>2026 6月27日 寿县 衡安 国际城 京师 幼儿园 伤人</x:v>
      </x:c>
      <x:c r="B530" s="7" t="str">
        <x:v>2026</x:v>
      </x:c>
      <x:c r="C530" s="7" t="str">
        <x:v>安徽；天津</x:v>
      </x:c>
      <x:c r="D530" s="2" t="str">
        <x:v>已检索</x:v>
      </x:c>
      <x:c r="E530" s="9" t="n">
        <x:v>0</x:v>
      </x:c>
      <x:c r="F530" s="7" t="str">
        <x:v>未查得对应官方通报或独立媒体报道；仅社媒线索保留。</x:v>
      </x:c>
    </x:row>
    <x:row r="531" ht="38" customHeight="1">
      <x:c r="A531" s="7" t="str">
        <x:v>2026 6月26日 天津 瞬新 广场 持刀</x:v>
      </x:c>
      <x:c r="B531" s="7" t="str">
        <x:v>2026</x:v>
      </x:c>
      <x:c r="C531" s="7" t="str">
        <x:v>安徽；天津</x:v>
      </x:c>
      <x:c r="D531" s="2" t="str">
        <x:v>已检索</x:v>
      </x:c>
      <x:c r="E531" s="9" t="n">
        <x:v>0</x:v>
      </x:c>
      <x:c r="F531" s="7" t="str">
        <x:v>未查得对应官方通报或独立媒体报道；仅社媒线索保留。</x:v>
      </x:c>
    </x:row>
    <x:row r="532" ht="38" customHeight="1">
      <x:c r="A532" s="7" t="str">
        <x:v>https://x.com/whyyoutouzhele/status/2068635036157644991</x:v>
      </x:c>
      <x:c r="B532" s="7" t="str">
        <x:v>2026</x:v>
      </x:c>
      <x:c r="C532" s="7" t="str">
        <x:v>全国</x:v>
      </x:c>
      <x:c r="D532" s="2" t="str">
        <x:v>访问失败</x:v>
      </x:c>
      <x:c r="E532" s="9"/>
      <x:c r="F532" s="7" t="str">
        <x:v>无锡原X帖打开为空白；X-Sou仅搜索摘要可见，镜像正文打开失败，不能据此确认发生。</x:v>
      </x:c>
    </x:row>
    <x:row r="533" ht="38" customHeight="1">
      <x:c r="A533" s="7" t="str">
        <x:v>https://x.com/whyyoutouzhele/status/2040449312027480228</x:v>
      </x:c>
      <x:c r="B533" s="7" t="str">
        <x:v>2026</x:v>
      </x:c>
      <x:c r="C533" s="7" t="str">
        <x:v>全国</x:v>
      </x:c>
      <x:c r="D533" s="2" t="str">
        <x:v>访问失败</x:v>
      </x:c>
      <x:c r="E533" s="9"/>
      <x:c r="F533" s="7" t="str">
        <x:v>沈阳原X帖由媒体嵌入链接提取；原站未返回可读正文，保留可访问转载。</x:v>
      </x:c>
    </x:row>
    <x:row r="534" ht="38" customHeight="1">
      <x:c r="A534" s="7" t="str">
        <x:v>https://x.com/whyyoutouzhele/status/2050186973680463941</x:v>
      </x:c>
      <x:c r="B534" s="7" t="str">
        <x:v>2026</x:v>
      </x:c>
      <x:c r="C534" s="7" t="str">
        <x:v>全国</x:v>
      </x:c>
      <x:c r="D534" s="2" t="str">
        <x:v>访问失败</x:v>
      </x:c>
      <x:c r="E534" s="9"/>
      <x:c r="F534" s="7" t="str">
        <x:v>成都原X帖403；品葱讨论页搜索摘要可见，正文失败。后续取得中央社影像分析与大纪元原始采访，不将此与X镜像重复当独立来源。</x:v>
      </x:c>
    </x:row>
    <x:row r="535" ht="38" customHeight="1">
      <x:c r="A535" s="7" t="str">
        <x:v>https://x.com/whyyoutouzhele/status/2070839570053095833</x:v>
      </x:c>
      <x:c r="B535" s="7" t="str">
        <x:v>2026</x:v>
      </x:c>
      <x:c r="C535" s="7" t="str">
        <x:v>全国</x:v>
      </x:c>
      <x:c r="D535" s="2" t="str">
        <x:v>访问失败</x:v>
      </x:c>
      <x:c r="E535" s="9"/>
      <x:c r="F535" s="7" t="str">
        <x:v>天津原X帖0行空白；公开Telegram频道HTML取得对应文本、原URL与帖子链接。</x:v>
      </x:c>
    </x:row>
    <x:row r="536" ht="38" customHeight="1">
      <x:c r="A536" s="7" t="str">
        <x:v>https://x.com/whyyoutouzhele/status/2070491014016520660</x:v>
      </x:c>
      <x:c r="B536" s="7" t="str">
        <x:v>2026</x:v>
      </x:c>
      <x:c r="C536" s="7" t="str">
        <x:v>全国</x:v>
      </x:c>
      <x:c r="D536" s="2" t="str">
        <x:v>访问失败</x:v>
      </x:c>
      <x:c r="E536" s="9"/>
      <x:c r="F536" s="7" t="str">
        <x:v>北京飞机撞楼原X帖0行空白，Telegram镜像可读；事件另有官方通报可靠转载。</x:v>
      </x:c>
    </x:row>
    <x:row r="537" ht="38" customHeight="1">
      <x:c r="A537" s="7" t="str">
        <x:v>https://twstalker.com/whyyoutouzhele</x:v>
      </x:c>
      <x:c r="B537" s="7" t="str">
        <x:v>2026</x:v>
      </x:c>
      <x:c r="C537" s="7" t="str">
        <x:v>全国</x:v>
      </x:c>
      <x:c r="D537" s="2" t="str">
        <x:v>已检索</x:v>
      </x:c>
      <x:c r="E537" s="9"/>
      <x:c r="F537" s="7" t="str">
        <x:v>主页可读但检索结果主要为8月动态，未恢复完整4—6月档案；特定无锡详情页面未取得正文。</x:v>
      </x:c>
    </x:row>
    <x:row r="538" ht="38" customHeight="1">
      <x:c r="A538" s="7" t="str">
        <x:v>https://chinadigitaltimes.net/chinese/chronicle-of-major-events</x:v>
      </x:c>
      <x:c r="B538" s="7" t="str">
        <x:v>2026</x:v>
      </x:c>
      <x:c r="C538" s="7" t="str">
        <x:v>全国</x:v>
      </x:c>
      <x:c r="D538" s="2" t="str">
        <x:v>已检索</x:v>
      </x:c>
      <x:c r="E538" s="9"/>
      <x:c r="F538" s="7" t="str">
        <x:v>大事记全文已打开，4—6月条目多为其他社会议题；没有新增可独立证实的目标事件。</x:v>
      </x:c>
    </x:row>
    <x:row r="539" ht="38" customHeight="1">
      <x:c r="A539" s="7" t="str">
        <x:v>site.sotwe.com/whyyoutouzhele "5月" "2026" 撞人</x:v>
      </x:c>
      <x:c r="B539" s="7" t="str">
        <x:v>2026</x:v>
      </x:c>
      <x:c r="C539" s="7" t="str">
        <x:v>全国</x:v>
      </x:c>
      <x:c r="D539" s="2" t="str">
        <x:v>已检索</x:v>
      </x:c>
      <x:c r="E539" s="9"/>
      <x:c r="F539" s="7" t="str">
        <x:v>未检出可直接核验的Sotwe正文；宽泛返回成都等相关转载，不把无结果误写成不存在事件。</x:v>
      </x:c>
    </x:row>
    <x:row r="540" ht="38" customHeight="1">
      <x:c r="A540" s="7" t="str">
        <x:v>https://www.guancha.cn/politics/2026_04_14_813610.shtml</x:v>
      </x:c>
      <x:c r="B540" s="7" t="str">
        <x:v>2026</x:v>
      </x:c>
      <x:c r="C540" s="7" t="str">
        <x:v>全国</x:v>
      </x:c>
      <x:c r="D540" s="2" t="str">
        <x:v>已检索</x:v>
      </x:c>
      <x:c r="E540" s="9"/>
      <x:c r="F540" s="7" t="str">
        <x:v>Web正文连续超时；公开HTML后续成功读取警方完整文字，确认2人伤而非论坛所传死亡。</x:v>
      </x:c>
    </x:row>
    <x:row r="541" ht="38" customHeight="1">
      <x:c r="A541" s="7" t="str">
        <x:v>https://www.sohu.com/a/1011659164_100116740</x:v>
      </x:c>
      <x:c r="B541" s="7" t="str">
        <x:v>2026</x:v>
      </x:c>
      <x:c r="C541" s="7" t="str">
        <x:v>全国</x:v>
      </x:c>
      <x:c r="D541" s="2" t="str">
        <x:v>已检索</x:v>
      </x:c>
      <x:c r="E541" s="9"/>
      <x:c r="F541" s="7" t="str">
        <x:v>Web正文超时；公开HTML读取到南方+记者向当地部门核实2死1伤、逆行及原因调查中的原文。</x:v>
      </x:c>
    </x:row>
    <x:row r="542" ht="38" customHeight="1">
      <x:c r="A542" s="7" t="str">
        <x:v>https://www.court.gov.cn/zixun/xiangqing/505401.html</x:v>
      </x:c>
      <x:c r="B542" s="7" t="str">
        <x:v>2026</x:v>
      </x:c>
      <x:c r="C542" s="7" t="str">
        <x:v>全国</x:v>
      </x:c>
      <x:c r="D542" s="2" t="str">
        <x:v>已检索</x:v>
      </x:c>
      <x:c r="E542" s="9"/>
      <x:c r="F542" s="7" t="str">
        <x:v>逐项校对官方名单中的案发年份：嘉禾4/11、湖州4/2纳入核心/扩展；曲沃供电职工4/7追捕盗窃车辆碰撞列待核，需区分危险逃逸和主动攻击；珠海4/12协助抓逃犯仅逃跑挣扎、未见主动袭人，排除。部分获奖案例实际发生2025年或更早，不按获奖日期新增。</x:v>
      </x:c>
    </x:row>
    <x:row r="543" ht="38" customHeight="1">
      <x:c r="A543" s="7" t="str">
        <x:v>"2026" "郸城县" "女孩" "砍伤"</x:v>
      </x:c>
      <x:c r="B543" s="7" t="str">
        <x:v>2026</x:v>
      </x:c>
      <x:c r="C543" s="7" t="str">
        <x:v>全国</x:v>
      </x:c>
      <x:c r="D543" s="2" t="str">
        <x:v>已检索</x:v>
      </x:c>
      <x:c r="E543" s="9"/>
      <x:c r="F543" s="7" t="str">
        <x:v>打开相关材料发现具体案发日为2022年8月10日，属旧案重现，未加入2026。</x:v>
      </x:c>
    </x:row>
    <x:row r="544" ht="38" customHeight="1">
      <x:c r="A544" s="7" t="str">
        <x:v>Instalker 李老师 2026年 献忠 事件 汇总</x:v>
      </x:c>
      <x:c r="B544" s="7" t="str">
        <x:v>2026</x:v>
      </x:c>
      <x:c r="C544" s="7" t="str">
        <x:v>全国</x:v>
      </x:c>
      <x:c r="D544" s="2" t="str">
        <x:v>待核</x:v>
      </x:c>
      <x:c r="E544" s="9"/>
      <x:c r="F544" s="7" t="str">
        <x:v>已检查所命中聚合页：标题和多年份列表混合，上海惠南4/1、南昌4/4、温州4/7、深圳4/10、洛阳4/11位于往年部分，不凭搜索摘要邻接到2026。聚合144等计数不作为全国或本库事件总数。</x:v>
      </x:c>
    </x:row>
    <x:row r="545" ht="38" customHeight="1">
      <x:c r="A545" s="7" t="str">
        <x:v>https://www.mem.gov.cn/xw/yjyw/202605/t20260508_602865.shtml</x:v>
      </x:c>
      <x:c r="B545" s="7" t="str">
        <x:v>2026</x:v>
      </x:c>
      <x:c r="C545" s="7" t="str">
        <x:v>全国</x:v>
      </x:c>
      <x:c r="D545" s="2" t="str">
        <x:v>已检索</x:v>
      </x:c>
      <x:c r="E545" s="9"/>
      <x:c r="F545" s="7" t="str">
        <x:v>5月4日浏阳烟花厂爆炸材料指生产安全事故，未见主动袭击；未新建随机伤人事件。</x:v>
      </x:c>
    </x:row>
    <x:row r="546" ht="38" customHeight="1">
      <x:c r="A546" s="7" t="str">
        <x:v>https://www.reddit.com/r/LOOK_CHINA/comments/1uhnk2g/</x:v>
      </x:c>
      <x:c r="B546" s="7" t="str">
        <x:v>2026</x:v>
      </x:c>
      <x:c r="C546" s="7" t="str">
        <x:v>全国</x:v>
      </x:c>
      <x:c r="D546" s="2" t="str">
        <x:v>访问失败</x:v>
      </x:c>
      <x:c r="E546" s="9"/>
      <x:c r="F546" s="7" t="str">
        <x:v>检索标题保存6月27日寿县幼儿园待核线索；正文不可读，定向检索未查得原始记录，不补造伤亡。</x:v>
      </x:c>
    </x:row>
    <x:row r="547" ht="38" customHeight="1">
      <x:c r="A547" s="7" t="str">
        <x:v>2026年7月 持刀 砍人 随机 袭击 通报</x:v>
      </x:c>
      <x:c r="B547" s="7" t="str">
        <x:v>2026</x:v>
      </x:c>
      <x:c r="C547" s="7" t="str">
        <x:v>全国</x:v>
      </x:c>
      <x:c r="D547" s="2" t="str">
        <x:v>已检索</x:v>
      </x:c>
      <x:c r="E547" s="9"/>
      <x:c r="F547" s="7" t="str">
        <x:v>本轮实际网页检索，范围限定2026-07-01至2026-09-16；命中经日期、地点、同案去重后对应new_events或event_updates。未命中不代表不存在；未将外地／往年／同源转发累加。</x:v>
      </x:c>
    </x:row>
    <x:row r="548" ht="38" customHeight="1">
      <x:c r="A548" s="7" t="str">
        <x:v>2026年8月 持刀 砍人 随机 袭击 通报</x:v>
      </x:c>
      <x:c r="B548" s="7" t="str">
        <x:v>2026</x:v>
      </x:c>
      <x:c r="C548" s="7" t="str">
        <x:v>全国</x:v>
      </x:c>
      <x:c r="D548" s="2" t="str">
        <x:v>已检索</x:v>
      </x:c>
      <x:c r="E548" s="9"/>
      <x:c r="F548" s="7" t="str">
        <x:v>本轮实际网页检索，范围限定2026-07-01至2026-09-16；命中经日期、地点、同案去重后对应new_events或event_updates。未命中不代表不存在；未将外地／往年／同源转发累加。</x:v>
      </x:c>
    </x:row>
    <x:row r="549" ht="38" customHeight="1">
      <x:c r="A549" s="7" t="str">
        <x:v>2026年9月 持刀 砍人 随机 袭击 通报</x:v>
      </x:c>
      <x:c r="B549" s="7" t="str">
        <x:v>2026</x:v>
      </x:c>
      <x:c r="C549" s="7" t="str">
        <x:v>全国</x:v>
      </x:c>
      <x:c r="D549" s="2" t="str">
        <x:v>已检索</x:v>
      </x:c>
      <x:c r="E549" s="9"/>
      <x:c r="F549" s="7" t="str">
        <x:v>本轮实际网页检索，范围限定2026-07-01至2026-09-16；命中经日期、地点、同案去重后对应new_events或event_updates。未命中不代表不存在；未将外地／往年／同源转发累加。</x:v>
      </x:c>
    </x:row>
    <x:row r="550" ht="38" customHeight="1">
      <x:c r="A550" s="7" t="str">
        <x:v>site:x.com/whyyoutouzhele "2026" ("持刀" OR "撞人" OR "纵火")</x:v>
      </x:c>
      <x:c r="B550" s="7" t="str">
        <x:v>2026</x:v>
      </x:c>
      <x:c r="C550" s="7" t="str">
        <x:v>全国</x:v>
      </x:c>
      <x:c r="D550" s="2" t="str">
        <x:v>已检索</x:v>
      </x:c>
      <x:c r="E550" s="9"/>
      <x:c r="F550" s="7" t="str">
        <x:v>本轮实际网页检索，范围限定2026-07-01至2026-09-16；命中经日期、地点、同案去重后对应new_events或event_updates。未命中不代表不存在；未将外地／往年／同源转发累加。</x:v>
      </x:c>
    </x:row>
    <x:row r="551" ht="38" customHeight="1">
      <x:c r="A551" s="7" t="str">
        <x:v>"2026" "7月" "撞人"</x:v>
      </x:c>
      <x:c r="B551" s="7" t="str">
        <x:v>2026</x:v>
      </x:c>
      <x:c r="C551" s="7" t="str">
        <x:v>全国</x:v>
      </x:c>
      <x:c r="D551" s="2" t="str">
        <x:v>已检索</x:v>
      </x:c>
      <x:c r="E551" s="9"/>
      <x:c r="F551" s="7" t="str">
        <x:v>本轮实际网页检索，范围限定2026-07-01至2026-09-16；命中经日期、地点、同案去重后对应new_events或event_updates。未命中不代表不存在；未将外地／往年／同源转发累加。</x:v>
      </x:c>
    </x:row>
    <x:row r="552" ht="38" customHeight="1">
      <x:c r="A552" s="7" t="str">
        <x:v>"2026" "8月" "撞人"</x:v>
      </x:c>
      <x:c r="B552" s="7" t="str">
        <x:v>2026</x:v>
      </x:c>
      <x:c r="C552" s="7" t="str">
        <x:v>全国</x:v>
      </x:c>
      <x:c r="D552" s="2" t="str">
        <x:v>已检索</x:v>
      </x:c>
      <x:c r="E552" s="9"/>
      <x:c r="F552" s="7" t="str">
        <x:v>本轮实际网页检索，范围限定2026-07-01至2026-09-16；命中经日期、地点、同案去重后对应new_events或event_updates。未命中不代表不存在；未将外地／往年／同源转发累加。</x:v>
      </x:c>
    </x:row>
    <x:row r="553" ht="38" customHeight="1">
      <x:c r="A553" s="7" t="str">
        <x:v>"2026" "9月" "撞人"</x:v>
      </x:c>
      <x:c r="B553" s="7" t="str">
        <x:v>2026</x:v>
      </x:c>
      <x:c r="C553" s="7" t="str">
        <x:v>全国</x:v>
      </x:c>
      <x:c r="D553" s="2" t="str">
        <x:v>已检索</x:v>
      </x:c>
      <x:c r="E553" s="9"/>
      <x:c r="F553" s="7" t="str">
        <x:v>本轮实际网页检索，范围限定2026-07-01至2026-09-16；命中经日期、地点、同案去重后对应new_events或event_updates。未命中不代表不存在；未将外地／往年／同源转发累加。</x:v>
      </x:c>
    </x:row>
    <x:row r="554" ht="38" customHeight="1">
      <x:c r="A554" s="7" t="str">
        <x:v>"2026" "7月" ("纵火" OR "爆炸") "警方"</x:v>
      </x:c>
      <x:c r="B554" s="7" t="str">
        <x:v>2026</x:v>
      </x:c>
      <x:c r="C554" s="7" t="str">
        <x:v>全国</x:v>
      </x:c>
      <x:c r="D554" s="2" t="str">
        <x:v>已检索</x:v>
      </x:c>
      <x:c r="E554" s="9"/>
      <x:c r="F554" s="7" t="str">
        <x:v>本轮实际网页检索，范围限定2026-07-01至2026-09-16；命中经日期、地点、同案去重后对应new_events或event_updates。未命中不代表不存在；未将外地／往年／同源转发累加。</x:v>
      </x:c>
    </x:row>
    <x:row r="555" ht="38" customHeight="1">
      <x:c r="A555" s="7" t="str">
        <x:v>"2026年7月" "持刀伤人" -台湾 -台北 -台南</x:v>
      </x:c>
      <x:c r="B555" s="7" t="str">
        <x:v>2026</x:v>
      </x:c>
      <x:c r="C555" s="7" t="str">
        <x:v>全国</x:v>
      </x:c>
      <x:c r="D555" s="2" t="str">
        <x:v>已检索</x:v>
      </x:c>
      <x:c r="E555" s="9"/>
      <x:c r="F555" s="7" t="str">
        <x:v>本轮实际网页检索，范围限定2026-07-01至2026-09-16；命中经日期、地点、同案去重后对应new_events或event_updates。未命中不代表不存在；未将外地／往年／同源转发累加。</x:v>
      </x:c>
    </x:row>
    <x:row r="556" ht="38" customHeight="1">
      <x:c r="A556" s="7" t="str">
        <x:v>"2026年8月" "持刀伤人" -台湾 -台北 -台南</x:v>
      </x:c>
      <x:c r="B556" s="7" t="str">
        <x:v>2026</x:v>
      </x:c>
      <x:c r="C556" s="7" t="str">
        <x:v>全国</x:v>
      </x:c>
      <x:c r="D556" s="2" t="str">
        <x:v>已检索</x:v>
      </x:c>
      <x:c r="E556" s="9"/>
      <x:c r="F556" s="7" t="str">
        <x:v>本轮实际网页检索，范围限定2026-07-01至2026-09-16；命中经日期、地点、同案去重后对应new_events或event_updates。未命中不代表不存在；未将外地／往年／同源转发累加。</x:v>
      </x:c>
    </x:row>
    <x:row r="557" ht="38" customHeight="1">
      <x:c r="A557" s="7" t="str">
        <x:v>"2026年9月" "持刀伤人" -广州 -台湾 -台北 -台南</x:v>
      </x:c>
      <x:c r="B557" s="7" t="str">
        <x:v>2026</x:v>
      </x:c>
      <x:c r="C557" s="7" t="str">
        <x:v>全国</x:v>
      </x:c>
      <x:c r="D557" s="2" t="str">
        <x:v>已检索</x:v>
      </x:c>
      <x:c r="E557" s="9"/>
      <x:c r="F557" s="7" t="str">
        <x:v>本轮实际网页检索，范围限定2026-07-01至2026-09-16；命中经日期、地点、同案去重后对应new_events或event_updates。未命中不代表不存在；未将外地／往年／同源转发累加。</x:v>
      </x:c>
    </x:row>
    <x:row r="558" ht="38" customHeight="1">
      <x:c r="A558" s="7" t="str">
        <x:v>site:twstalker.com/whyyoutouzhele "2026" "砍人"</x:v>
      </x:c>
      <x:c r="B558" s="7" t="str">
        <x:v>2026</x:v>
      </x:c>
      <x:c r="C558" s="7" t="str">
        <x:v>全国</x:v>
      </x:c>
      <x:c r="D558" s="2" t="str">
        <x:v>已检索</x:v>
      </x:c>
      <x:c r="E558" s="9"/>
      <x:c r="F558" s="7" t="str">
        <x:v>本轮实际网页检索，范围限定2026-07-01至2026-09-16；命中经日期、地点、同案去重后对应new_events或event_updates。未命中不代表不存在；未将外地／往年／同源转发累加。</x:v>
      </x:c>
    </x:row>
    <x:row r="559" ht="38" customHeight="1">
      <x:c r="A559" s="7" t="str">
        <x:v>"2026" "9月4日" "锦旗" 医生</x:v>
      </x:c>
      <x:c r="B559" s="7" t="str">
        <x:v>2026</x:v>
      </x:c>
      <x:c r="C559" s="7" t="str">
        <x:v>全国</x:v>
      </x:c>
      <x:c r="D559" s="2" t="str">
        <x:v>已检索</x:v>
      </x:c>
      <x:c r="E559" s="9"/>
      <x:c r="F559" s="7" t="str">
        <x:v>本轮实际网页检索，范围限定2026-07-01至2026-09-16；命中经日期、地点、同案去重后对应new_events或event_updates。未命中不代表不存在；未将外地／往年／同源转发累加。</x:v>
      </x:c>
    </x:row>
    <x:row r="560" ht="38" customHeight="1">
      <x:c r="A560" s="7" t="str">
        <x:v>"2026" "7月" "无差别" 中国</x:v>
      </x:c>
      <x:c r="B560" s="7" t="str">
        <x:v>2026</x:v>
      </x:c>
      <x:c r="C560" s="7" t="str">
        <x:v>全国</x:v>
      </x:c>
      <x:c r="D560" s="2" t="str">
        <x:v>已检索</x:v>
      </x:c>
      <x:c r="E560" s="9"/>
      <x:c r="F560" s="7" t="str">
        <x:v>本轮实际网页检索，范围限定2026-07-01至2026-09-16；命中经日期、地点、同案去重后对应new_events或event_updates。未命中不代表不存在；未将外地／往年／同源转发累加。</x:v>
      </x:c>
    </x:row>
    <x:row r="561" ht="38" customHeight="1">
      <x:c r="A561" s="7" t="str">
        <x:v>"2026" "8月" "无差别" 中国</x:v>
      </x:c>
      <x:c r="B561" s="7" t="str">
        <x:v>2026</x:v>
      </x:c>
      <x:c r="C561" s="7" t="str">
        <x:v>全国</x:v>
      </x:c>
      <x:c r="D561" s="2" t="str">
        <x:v>已检索</x:v>
      </x:c>
      <x:c r="E561" s="9"/>
      <x:c r="F561" s="7" t="str">
        <x:v>本轮实际网页检索，范围限定2026-07-01至2026-09-16；命中经日期、地点、同案去重后对应new_events或event_updates。未命中不代表不存在；未将外地／往年／同源转发累加。</x:v>
      </x:c>
    </x:row>
    <x:row r="562" ht="38" customHeight="1">
      <x:c r="A562" s="7" t="str">
        <x:v>"2026" "9月" ("纵火" OR "爆炸") "中国"</x:v>
      </x:c>
      <x:c r="B562" s="7" t="str">
        <x:v>2026</x:v>
      </x:c>
      <x:c r="C562" s="7" t="str">
        <x:v>全国</x:v>
      </x:c>
      <x:c r="D562" s="2" t="str">
        <x:v>已检索</x:v>
      </x:c>
      <x:c r="E562" s="9"/>
      <x:c r="F562" s="7" t="str">
        <x:v>本轮实际网页检索，范围限定2026-07-01至2026-09-16；命中经日期、地点、同案去重后对应new_events或event_updates。未命中不代表不存在；未将外地／往年／同源转发累加。</x:v>
      </x:c>
    </x:row>
    <x:row r="563" ht="38" customHeight="1">
      <x:c r="A563" s="7" t="str">
        <x:v>"贵州" "锦旗" "现代快报" "2026"</x:v>
      </x:c>
      <x:c r="B563" s="7" t="str">
        <x:v>2026</x:v>
      </x:c>
      <x:c r="C563" s="7" t="str">
        <x:v>全国</x:v>
      </x:c>
      <x:c r="D563" s="2" t="str">
        <x:v>已检索</x:v>
      </x:c>
      <x:c r="E563" s="9"/>
      <x:c r="F563" s="7" t="str">
        <x:v>本轮实际网页检索，范围限定2026-07-01至2026-09-16；命中经日期、地点、同案去重后对应new_events或event_updates。未命中不代表不存在；未将外地／往年／同源转发累加。</x:v>
      </x:c>
    </x:row>
    <x:row r="564" ht="38" customHeight="1">
      <x:c r="A564" s="7" t="str">
        <x:v>"贵州" "胡某某" "9月6日" "2026"</x:v>
      </x:c>
      <x:c r="B564" s="7" t="str">
        <x:v>2026</x:v>
      </x:c>
      <x:c r="C564" s="7" t="str">
        <x:v>全国</x:v>
      </x:c>
      <x:c r="D564" s="2" t="str">
        <x:v>已检索</x:v>
      </x:c>
      <x:c r="E564" s="9"/>
      <x:c r="F564" s="7" t="str">
        <x:v>本轮实际网页检索，范围限定2026-07-01至2026-09-16；命中经日期、地点、同案去重后对应new_events或event_updates。未命中不代表不存在；未将外地／往年／同源转发累加。</x:v>
      </x:c>
    </x:row>
    <x:row r="565" ht="38" customHeight="1">
      <x:c r="A565" s="7" t="str">
        <x:v>site:twstalker.com "whyyoutouzhele" "7月" "持刀"</x:v>
      </x:c>
      <x:c r="B565" s="7" t="str">
        <x:v>2026</x:v>
      </x:c>
      <x:c r="C565" s="7" t="str">
        <x:v>全国</x:v>
      </x:c>
      <x:c r="D565" s="2" t="str">
        <x:v>已检索</x:v>
      </x:c>
      <x:c r="E565" s="9"/>
      <x:c r="F565" s="7" t="str">
        <x:v>本轮实际网页检索，范围限定2026-07-01至2026-09-16；命中经日期、地点、同案去重后对应new_events或event_updates。未命中不代表不存在；未将外地／往年／同源转发累加。</x:v>
      </x:c>
    </x:row>
    <x:row r="566" ht="38" customHeight="1">
      <x:c r="A566" s="7" t="str">
        <x:v>site:twstalker.com "whyyoutouzhele" "8月" "持刀"</x:v>
      </x:c>
      <x:c r="B566" s="7" t="str">
        <x:v>2026</x:v>
      </x:c>
      <x:c r="C566" s="7" t="str">
        <x:v>全国</x:v>
      </x:c>
      <x:c r="D566" s="2" t="str">
        <x:v>已检索</x:v>
      </x:c>
      <x:c r="E566" s="9"/>
      <x:c r="F566" s="7" t="str">
        <x:v>本轮实际网页检索，范围限定2026-07-01至2026-09-16；命中经日期、地点、同案去重后对应new_events或event_updates。未命中不代表不存在；未将外地／往年／同源转发累加。</x:v>
      </x:c>
    </x:row>
    <x:row r="567" ht="38" customHeight="1">
      <x:c r="A567" s="7" t="str">
        <x:v>site:x.com/whyyoutouzhele "7月" "2026" "伤人"</x:v>
      </x:c>
      <x:c r="B567" s="7" t="str">
        <x:v>2026</x:v>
      </x:c>
      <x:c r="C567" s="7" t="str">
        <x:v>全国</x:v>
      </x:c>
      <x:c r="D567" s="2" t="str">
        <x:v>已检索</x:v>
      </x:c>
      <x:c r="E567" s="9"/>
      <x:c r="F567" s="7" t="str">
        <x:v>本轮实际网页检索，范围限定2026-07-01至2026-09-16；命中经日期、地点、同案去重后对应new_events或event_updates。未命中不代表不存在；未将外地／往年／同源转发累加。</x:v>
      </x:c>
    </x:row>
    <x:row r="568" ht="38" customHeight="1">
      <x:c r="A568" s="7" t="str">
        <x:v>site:x.com/whyyoutouzhele "8月" "2026" "袭击"</x:v>
      </x:c>
      <x:c r="B568" s="7" t="str">
        <x:v>2026</x:v>
      </x:c>
      <x:c r="C568" s="7" t="str">
        <x:v>全国</x:v>
      </x:c>
      <x:c r="D568" s="2" t="str">
        <x:v>已检索</x:v>
      </x:c>
      <x:c r="E568" s="9"/>
      <x:c r="F568" s="7" t="str">
        <x:v>本轮实际网页检索，范围限定2026-07-01至2026-09-16；命中经日期、地点、同案去重后对应new_events或event_updates。未命中不代表不存在；未将外地／往年／同源转发累加。</x:v>
      </x:c>
    </x:row>
    <x:row r="569" ht="38" customHeight="1">
      <x:c r="A569" s="7" t="str">
        <x:v>site:twstalker.com "whyyoutouzhele" "9月" "持刀伤人事件"</x:v>
      </x:c>
      <x:c r="B569" s="7" t="str">
        <x:v>2026</x:v>
      </x:c>
      <x:c r="C569" s="7" t="str">
        <x:v>全国</x:v>
      </x:c>
      <x:c r="D569" s="2" t="str">
        <x:v>已检索</x:v>
      </x:c>
      <x:c r="E569" s="9"/>
      <x:c r="F569" s="7" t="str">
        <x:v>本轮实际网页检索，范围限定2026-07-01至2026-09-16；命中经日期、地点、同案去重后对应new_events或event_updates。未命中不代表不存在；未将外地／往年／同源转发累加。</x:v>
      </x:c>
    </x:row>
    <x:row r="570" ht="38" customHeight="1">
      <x:c r="A570" s="7" t="str">
        <x:v>"2026" "7月" "砍人" "中国"</x:v>
      </x:c>
      <x:c r="B570" s="7" t="str">
        <x:v>2026</x:v>
      </x:c>
      <x:c r="C570" s="7" t="str">
        <x:v>全国</x:v>
      </x:c>
      <x:c r="D570" s="2" t="str">
        <x:v>已检索</x:v>
      </x:c>
      <x:c r="E570" s="9"/>
      <x:c r="F570" s="7" t="str">
        <x:v>本轮实际网页检索，范围限定2026-07-01至2026-09-16；命中经日期、地点、同案去重后对应new_events或event_updates。未命中不代表不存在；未将外地／往年／同源转发累加。</x:v>
      </x:c>
    </x:row>
    <x:row r="571" ht="38" customHeight="1">
      <x:c r="A571" s="7" t="str">
        <x:v>"2026" "第三季度" "见义勇为" "持刀"</x:v>
      </x:c>
      <x:c r="B571" s="7" t="str">
        <x:v>2026</x:v>
      </x:c>
      <x:c r="C571" s="7" t="str">
        <x:v>全国</x:v>
      </x:c>
      <x:c r="D571" s="2" t="str">
        <x:v>已检索</x:v>
      </x:c>
      <x:c r="E571" s="9"/>
      <x:c r="F571" s="7" t="str">
        <x:v>本轮实际网页检索，范围限定2026-07-01至2026-09-16；命中经日期、地点、同案去重后对应new_events或event_updates。未命中不代表不存在；未将外地／往年／同源转发累加。</x:v>
      </x:c>
    </x:row>
    <x:row r="572" ht="38" customHeight="1">
      <x:c r="A572" s="7" t="str">
        <x:v>"2026" "于荣先" "歹徒"</x:v>
      </x:c>
      <x:c r="B572" s="7" t="str">
        <x:v>2026</x:v>
      </x:c>
      <x:c r="C572" s="7" t="str">
        <x:v>全国</x:v>
      </x:c>
      <x:c r="D572" s="2" t="str">
        <x:v>已检索</x:v>
      </x:c>
      <x:c r="E572" s="9"/>
      <x:c r="F572" s="7" t="str">
        <x:v>本轮实际网页检索，范围限定2026-07-01至2026-09-16；命中经日期、地点、同案去重后对应new_events或event_updates。未命中不代表不存在；未将外地／往年／同源转发累加。</x:v>
      </x:c>
    </x:row>
    <x:row r="573" ht="38" customHeight="1">
      <x:c r="A573" s="7" t="str">
        <x:v>"2026" "7月" "纵火" "报复"</x:v>
      </x:c>
      <x:c r="B573" s="7" t="str">
        <x:v>2026</x:v>
      </x:c>
      <x:c r="C573" s="7" t="str">
        <x:v>全国</x:v>
      </x:c>
      <x:c r="D573" s="2" t="str">
        <x:v>已检索</x:v>
      </x:c>
      <x:c r="E573" s="9"/>
      <x:c r="F573" s="7" t="str">
        <x:v>本轮实际网页检索，范围限定2026-07-01至2026-09-16；命中经日期、地点、同案去重后对应new_events或event_updates。未命中不代表不存在；未将外地／往年／同源转发累加。</x:v>
      </x:c>
    </x:row>
    <x:row r="574" ht="38" customHeight="1">
      <x:c r="A574" s="7" t="str">
        <x:v>"2026" "8月" "纵火" "报复"</x:v>
      </x:c>
      <x:c r="B574" s="7" t="str">
        <x:v>2026</x:v>
      </x:c>
      <x:c r="C574" s="7" t="str">
        <x:v>全国</x:v>
      </x:c>
      <x:c r="D574" s="2" t="str">
        <x:v>已检索</x:v>
      </x:c>
      <x:c r="E574" s="9"/>
      <x:c r="F574" s="7" t="str">
        <x:v>本轮实际网页检索，范围限定2026-07-01至2026-09-16；命中经日期、地点、同案去重后对应new_events或event_updates。未命中不代表不存在；未将外地／往年／同源转发累加。</x:v>
      </x:c>
    </x:row>
    <x:row r="575" ht="38" customHeight="1">
      <x:c r="A575" s="7" t="str">
        <x:v>"2026" "于荣先" "划伤"</x:v>
      </x:c>
      <x:c r="B575" s="7" t="str">
        <x:v>2026</x:v>
      </x:c>
      <x:c r="C575" s="7" t="str">
        <x:v>全国</x:v>
      </x:c>
      <x:c r="D575" s="2" t="str">
        <x:v>已检索</x:v>
      </x:c>
      <x:c r="E575" s="9"/>
      <x:c r="F575" s="7" t="str">
        <x:v>本轮实际网页检索，范围限定2026-07-01至2026-09-16；命中经日期、地点、同案去重后对应new_events或event_updates。未命中不代表不存在；未将外地／往年／同源转发累加。</x:v>
      </x:c>
    </x:row>
    <x:row r="576" ht="38" customHeight="1">
      <x:c r="A576" s="7" t="str">
        <x:v>"2026" "7月17日" "平江" "纵火"</x:v>
      </x:c>
      <x:c r="B576" s="7" t="str">
        <x:v>2026</x:v>
      </x:c>
      <x:c r="C576" s="7" t="str">
        <x:v>全国</x:v>
      </x:c>
      <x:c r="D576" s="2" t="str">
        <x:v>已检索</x:v>
      </x:c>
      <x:c r="E576" s="9"/>
      <x:c r="F576" s="7" t="str">
        <x:v>本轮实际网页检索，范围限定2026-07-01至2026-09-16；命中经日期、地点、同案去重后对应new_events或event_updates。未命中不代表不存在；未将外地／往年／同源转发累加。</x:v>
      </x:c>
    </x:row>
    <x:row r="577" ht="38" customHeight="1">
      <x:c r="A577" s="7" t="str">
        <x:v>"2026" "西平" "7月30日" "通报"</x:v>
      </x:c>
      <x:c r="B577" s="7" t="str">
        <x:v>2026</x:v>
      </x:c>
      <x:c r="C577" s="7" t="str">
        <x:v>全国</x:v>
      </x:c>
      <x:c r="D577" s="2" t="str">
        <x:v>已检索</x:v>
      </x:c>
      <x:c r="E577" s="9"/>
      <x:c r="F577" s="7" t="str">
        <x:v>本轮实际网页检索，范围限定2026-07-01至2026-09-16；命中经日期、地点、同案去重后对应new_events或event_updates。未命中不代表不存在；未将外地／往年／同源转发累加。</x:v>
      </x:c>
    </x:row>
    <x:row r="578" ht="38" customHeight="1">
      <x:c r="A578" s="7" t="str">
        <x:v>"2026" "9月" "定兴" "外卖员" "砍刀"</x:v>
      </x:c>
      <x:c r="B578" s="7" t="str">
        <x:v>2026</x:v>
      </x:c>
      <x:c r="C578" s="7" t="str">
        <x:v>全国</x:v>
      </x:c>
      <x:c r="D578" s="2" t="str">
        <x:v>已检索</x:v>
      </x:c>
      <x:c r="E578" s="9"/>
      <x:c r="F578" s="7" t="str">
        <x:v>本轮实际网页检索，范围限定2026-07-01至2026-09-16；命中经日期、地点、同案去重后对应new_events或event_updates。未命中不代表不存在；未将外地／往年／同源转发累加。</x:v>
      </x:c>
    </x:row>
    <x:row r="579" ht="38" customHeight="1">
      <x:c r="A579" s="7" t="str">
        <x:v>"于荣先" "青海政法"</x:v>
      </x:c>
      <x:c r="B579" s="7" t="str">
        <x:v>2026</x:v>
      </x:c>
      <x:c r="C579" s="7" t="str">
        <x:v>全国</x:v>
      </x:c>
      <x:c r="D579" s="2" t="str">
        <x:v>已检索</x:v>
      </x:c>
      <x:c r="E579" s="9"/>
      <x:c r="F579" s="7" t="str">
        <x:v>本轮实际网页检索，范围限定2026-07-01至2026-09-16；命中经日期、地点、同案去重后对应new_events或event_updates。未命中不代表不存在；未将外地／往年／同源转发累加。</x:v>
      </x:c>
    </x:row>
    <x:row r="580" ht="38" customHeight="1">
      <x:c r="A580" s="7" t="str">
        <x:v>"于荣先" "摊主"</x:v>
      </x:c>
      <x:c r="B580" s="7" t="str">
        <x:v>2026</x:v>
      </x:c>
      <x:c r="C580" s="7" t="str">
        <x:v>全国</x:v>
      </x:c>
      <x:c r="D580" s="2" t="str">
        <x:v>已检索</x:v>
      </x:c>
      <x:c r="E580" s="9"/>
      <x:c r="F580" s="7" t="str">
        <x:v>本轮实际网页检索，范围限定2026-07-01至2026-09-16；命中经日期、地点、同案去重后对应new_events或event_updates。未命中不代表不存在；未将外地／往年／同源转发累加。</x:v>
      </x:c>
    </x:row>
    <x:row r="581" ht="38" customHeight="1">
      <x:c r="A581" s="7" t="str">
        <x:v>"2026" "9月" "爆炸" "泄愤"</x:v>
      </x:c>
      <x:c r="B581" s="7" t="str">
        <x:v>2026</x:v>
      </x:c>
      <x:c r="C581" s="7" t="str">
        <x:v>全国</x:v>
      </x:c>
      <x:c r="D581" s="2" t="str">
        <x:v>已检索</x:v>
      </x:c>
      <x:c r="E581" s="9"/>
      <x:c r="F581" s="7" t="str">
        <x:v>本轮实际网页检索，范围限定2026-07-01至2026-09-16；命中经日期、地点、同案去重后对应new_events或event_updates。未命中不代表不存在；未将外地／往年／同源转发累加。</x:v>
      </x:c>
    </x:row>
    <x:row r="582" ht="38" customHeight="1">
      <x:c r="A582" s="7" t="str">
        <x:v>"2026" "8月" "爆炸" "报复"</x:v>
      </x:c>
      <x:c r="B582" s="7" t="str">
        <x:v>2026</x:v>
      </x:c>
      <x:c r="C582" s="7" t="str">
        <x:v>全国</x:v>
      </x:c>
      <x:c r="D582" s="2" t="str">
        <x:v>已检索</x:v>
      </x:c>
      <x:c r="E582" s="9"/>
      <x:c r="F582" s="7" t="str">
        <x:v>本轮实际网页检索，范围限定2026-07-01至2026-09-16；命中经日期、地点、同案去重后对应new_events或event_updates。未命中不代表不存在；未将外地／往年／同源转发累加。</x:v>
      </x:c>
    </x:row>
    <x:row r="583" ht="38" customHeight="1">
      <x:c r="A583" s="7" t="str">
        <x:v>"于荣先" site:qh.chinanews.com.cn</x:v>
      </x:c>
      <x:c r="B583" s="7" t="str">
        <x:v>2026</x:v>
      </x:c>
      <x:c r="C583" s="7" t="str">
        <x:v>全国</x:v>
      </x:c>
      <x:c r="D583" s="2" t="str">
        <x:v>已检索</x:v>
      </x:c>
      <x:c r="E583" s="9"/>
      <x:c r="F583" s="7" t="str">
        <x:v>本轮实际网页检索，范围限定2026-07-01至2026-09-16；命中经日期、地点、同案去重后对应new_events或event_updates。未命中不代表不存在；未将外地／往年／同源转发累加。</x:v>
      </x:c>
    </x:row>
    <x:row r="584" ht="38" customHeight="1">
      <x:c r="A584" s="7" t="str">
        <x:v>"于荣先" site:qhnews.com</x:v>
      </x:c>
      <x:c r="B584" s="7" t="str">
        <x:v>2026</x:v>
      </x:c>
      <x:c r="C584" s="7" t="str">
        <x:v>全国</x:v>
      </x:c>
      <x:c r="D584" s="2" t="str">
        <x:v>已检索</x:v>
      </x:c>
      <x:c r="E584" s="9"/>
      <x:c r="F584" s="7" t="str">
        <x:v>本轮实际网页检索，范围限定2026-07-01至2026-09-16；命中经日期、地点、同案去重后对应new_events或event_updates。未命中不代表不存在；未将外地／往年／同源转发累加。</x:v>
      </x:c>
    </x:row>
    <x:row r="585" ht="38" customHeight="1">
      <x:c r="A585" s="7" t="str">
        <x:v>"于荣先" site:news.cn</x:v>
      </x:c>
      <x:c r="B585" s="7" t="str">
        <x:v>2026</x:v>
      </x:c>
      <x:c r="C585" s="7" t="str">
        <x:v>全国</x:v>
      </x:c>
      <x:c r="D585" s="2" t="str">
        <x:v>已检索</x:v>
      </x:c>
      <x:c r="E585" s="9"/>
      <x:c r="F585" s="7" t="str">
        <x:v>本轮实际网页检索，范围限定2026-07-01至2026-09-16；命中经日期、地点、同案去重后对应new_events或event_updates。未命中不代表不存在；未将外地／往年／同源转发累加。</x:v>
      </x:c>
    </x:row>
    <x:row r="586" ht="38" customHeight="1">
      <x:c r="A586" s="7" t="str">
        <x:v>"于荣先" "北小街"</x:v>
      </x:c>
      <x:c r="B586" s="7" t="str">
        <x:v>2026</x:v>
      </x:c>
      <x:c r="C586" s="7" t="str">
        <x:v>全国</x:v>
      </x:c>
      <x:c r="D586" s="2" t="str">
        <x:v>已检索</x:v>
      </x:c>
      <x:c r="E586" s="9"/>
      <x:c r="F586" s="7" t="str">
        <x:v>本轮实际网页检索，范围限定2026-07-01至2026-09-16；命中经日期、地点、同案去重后对应new_events或event_updates。未命中不代表不存在；未将外地／往年／同源转发累加。</x:v>
      </x:c>
    </x:row>
    <x:row r="587" ht="38" customHeight="1">
      <x:c r="A587" s="7" t="str">
        <x:v>"2026" "7月" "献忠" -site:reddit.com</x:v>
      </x:c>
      <x:c r="B587" s="7" t="str">
        <x:v>2026</x:v>
      </x:c>
      <x:c r="C587" s="7" t="str">
        <x:v>全国</x:v>
      </x:c>
      <x:c r="D587" s="2" t="str">
        <x:v>已检索</x:v>
      </x:c>
      <x:c r="E587" s="9"/>
      <x:c r="F587" s="7" t="str">
        <x:v>本轮实际网页检索，范围限定2026-07-01至2026-09-16；命中经日期、地点、同案去重后对应new_events或event_updates。未命中不代表不存在；未将外地／往年／同源转发累加。</x:v>
      </x:c>
    </x:row>
    <x:row r="588" ht="38" customHeight="1">
      <x:c r="A588" s="7" t="str">
        <x:v>"2026" "8月" "献忠" -site:reddit.com</x:v>
      </x:c>
      <x:c r="B588" s="7" t="str">
        <x:v>2026</x:v>
      </x:c>
      <x:c r="C588" s="7" t="str">
        <x:v>全国</x:v>
      </x:c>
      <x:c r="D588" s="2" t="str">
        <x:v>已检索</x:v>
      </x:c>
      <x:c r="E588" s="9"/>
      <x:c r="F588" s="7" t="str">
        <x:v>本轮实际网页检索，范围限定2026-07-01至2026-09-16；命中经日期、地点、同案去重后对应new_events或event_updates。未命中不代表不存在；未将外地／往年／同源转发累加。</x:v>
      </x:c>
    </x:row>
    <x:row r="589" ht="38" customHeight="1">
      <x:c r="A589" s="7" t="str">
        <x:v>"2026" "9月" "献忠" -广州 -site:reddit.com</x:v>
      </x:c>
      <x:c r="B589" s="7" t="str">
        <x:v>2026</x:v>
      </x:c>
      <x:c r="C589" s="7" t="str">
        <x:v>全国</x:v>
      </x:c>
      <x:c r="D589" s="2" t="str">
        <x:v>已检索</x:v>
      </x:c>
      <x:c r="E589" s="9"/>
      <x:c r="F589" s="7" t="str">
        <x:v>本轮实际网页检索，范围限定2026-07-01至2026-09-16；命中经日期、地点、同案去重后对应new_events或event_updates。未命中不代表不存在；未将外地／往年／同源转发累加。</x:v>
      </x:c>
    </x:row>
    <x:row r="590" ht="38" customHeight="1">
      <x:c r="A590" s="7" t="str">
        <x:v>"2026" "玉林" "8月20日" "伤害"</x:v>
      </x:c>
      <x:c r="B590" s="7" t="str">
        <x:v>2026</x:v>
      </x:c>
      <x:c r="C590" s="7" t="str">
        <x:v>全国</x:v>
      </x:c>
      <x:c r="D590" s="2" t="str">
        <x:v>已检索</x:v>
      </x:c>
      <x:c r="E590" s="9"/>
      <x:c r="F590" s="7" t="str">
        <x:v>本轮实际网页检索，范围限定2026-07-01至2026-09-16；命中经日期、地点、同案去重后对应new_events或event_updates。未命中不代表不存在；未将外地／往年／同源转发累加。</x:v>
      </x:c>
    </x:row>
    <x:row r="591" ht="38" customHeight="1">
      <x:c r="A591" s="7" t="str">
        <x:v>"2026" "晋江" "鞋厂" "纵火"</x:v>
      </x:c>
      <x:c r="B591" s="7" t="str">
        <x:v>2026</x:v>
      </x:c>
      <x:c r="C591" s="7" t="str">
        <x:v>全国</x:v>
      </x:c>
      <x:c r="D591" s="2" t="str">
        <x:v>已检索</x:v>
      </x:c>
      <x:c r="E591" s="9"/>
      <x:c r="F591" s="7" t="str">
        <x:v>本轮实际网页检索，范围限定2026-07-01至2026-09-16；命中经日期、地点、同案去重后对应new_events或event_updates。未命中不代表不存在；未将外地／往年／同源转发累加。</x:v>
      </x:c>
    </x:row>
    <x:row r="592" ht="38" customHeight="1">
      <x:c r="A592" s="7" t="str">
        <x:v>"2026" "8月" "报复社会"</x:v>
      </x:c>
      <x:c r="B592" s="7" t="str">
        <x:v>2026</x:v>
      </x:c>
      <x:c r="C592" s="7" t="str">
        <x:v>全国</x:v>
      </x:c>
      <x:c r="D592" s="2" t="str">
        <x:v>已检索</x:v>
      </x:c>
      <x:c r="E592" s="9"/>
      <x:c r="F592" s="7" t="str">
        <x:v>本轮实际网页检索，范围限定2026-07-01至2026-09-16；命中经日期、地点、同案去重后对应new_events或event_updates。未命中不代表不存在；未将外地／往年／同源转发累加。</x:v>
      </x:c>
    </x:row>
    <x:row r="593" ht="38" customHeight="1">
      <x:c r="A593" s="7" t="str">
        <x:v>"2026" "7月" "报复社会"</x:v>
      </x:c>
      <x:c r="B593" s="7" t="str">
        <x:v>2026</x:v>
      </x:c>
      <x:c r="C593" s="7" t="str">
        <x:v>全国</x:v>
      </x:c>
      <x:c r="D593" s="2" t="str">
        <x:v>已检索</x:v>
      </x:c>
      <x:c r="E593" s="9"/>
      <x:c r="F593" s="7" t="str">
        <x:v>本轮实际网页检索，范围限定2026-07-01至2026-09-16；命中经日期、地点、同案去重后对应new_events或event_updates。未命中不代表不存在；未将外地／往年／同源转发累加。</x:v>
      </x:c>
    </x:row>
    <x:row r="594" ht="38" customHeight="1">
      <x:c r="A594" s="7" t="str">
        <x:v>"2026" "9月" "报复社会" -广州</x:v>
      </x:c>
      <x:c r="B594" s="7" t="str">
        <x:v>2026</x:v>
      </x:c>
      <x:c r="C594" s="7" t="str">
        <x:v>全国</x:v>
      </x:c>
      <x:c r="D594" s="2" t="str">
        <x:v>已检索</x:v>
      </x:c>
      <x:c r="E594" s="9"/>
      <x:c r="F594" s="7" t="str">
        <x:v>本轮实际网页检索，范围限定2026-07-01至2026-09-16；命中经日期、地点、同案去重后对应new_events或event_updates。未命中不代表不存在；未将外地／往年／同源转发累加。</x:v>
      </x:c>
    </x:row>
    <x:row r="595" ht="38" customHeight="1">
      <x:c r="A595" s="7" t="str">
        <x:v>"2026" "锦屏" "8月17日" "通报"</x:v>
      </x:c>
      <x:c r="B595" s="7" t="str">
        <x:v>2026</x:v>
      </x:c>
      <x:c r="C595" s="7" t="str">
        <x:v>全国</x:v>
      </x:c>
      <x:c r="D595" s="2" t="str">
        <x:v>已检索</x:v>
      </x:c>
      <x:c r="E595" s="9"/>
      <x:c r="F595" s="7" t="str">
        <x:v>本轮实际网页检索，范围限定2026-07-01至2026-09-16；命中经日期、地点、同案去重后对应new_events或event_updates。未命中不代表不存在；未将外地／往年／同源转发累加。</x:v>
      </x:c>
    </x:row>
    <x:row r="596" ht="38" customHeight="1">
      <x:c r="A596" s="7" t="str">
        <x:v>"2026" "辉腾鞋业" "火灾" "通报"</x:v>
      </x:c>
      <x:c r="B596" s="7" t="str">
        <x:v>2026</x:v>
      </x:c>
      <x:c r="C596" s="7" t="str">
        <x:v>全国</x:v>
      </x:c>
      <x:c r="D596" s="2" t="str">
        <x:v>已检索</x:v>
      </x:c>
      <x:c r="E596" s="9"/>
      <x:c r="F596" s="7" t="str">
        <x:v>本轮实际网页检索，范围限定2026-07-01至2026-09-16；命中经日期、地点、同案去重后对应new_events或event_updates。未命中不代表不存在；未将外地／往年／同源转发累加。</x:v>
      </x:c>
    </x:row>
    <x:row r="597" ht="38" customHeight="1">
      <x:c r="A597" s="7" t="str">
        <x:v>"2026" "7月16日" "晋江" "火灾"</x:v>
      </x:c>
      <x:c r="B597" s="7" t="str">
        <x:v>2026</x:v>
      </x:c>
      <x:c r="C597" s="7" t="str">
        <x:v>全国</x:v>
      </x:c>
      <x:c r="D597" s="2" t="str">
        <x:v>已检索</x:v>
      </x:c>
      <x:c r="E597" s="9"/>
      <x:c r="F597" s="7" t="str">
        <x:v>本轮实际网页检索，范围限定2026-07-01至2026-09-16；命中经日期、地点、同案去重后对应new_events或event_updates。未命中不代表不存在；未将外地／往年／同源转发累加。</x:v>
      </x:c>
    </x:row>
    <x:row r="598" ht="38" customHeight="1">
      <x:c r="A598" s="7" t="str">
        <x:v>"2026" "西平县" "7·30"</x:v>
      </x:c>
      <x:c r="B598" s="7" t="str">
        <x:v>2026</x:v>
      </x:c>
      <x:c r="C598" s="7" t="str">
        <x:v>全国</x:v>
      </x:c>
      <x:c r="D598" s="2" t="str">
        <x:v>已检索</x:v>
      </x:c>
      <x:c r="E598" s="9"/>
      <x:c r="F598" s="7" t="str">
        <x:v>本轮实际网页检索，范围限定2026-07-01至2026-09-16；命中经日期、地点、同案去重后对应new_events或event_updates。未命中不代表不存在；未将外地／往年／同源转发累加。</x:v>
      </x:c>
    </x:row>
    <x:row r="599" ht="38" customHeight="1">
      <x:c r="A599" s="7" t="str">
        <x:v>"2026" "锦屏" "刘某" "失控"</x:v>
      </x:c>
      <x:c r="B599" s="7" t="str">
        <x:v>2026</x:v>
      </x:c>
      <x:c r="C599" s="7" t="str">
        <x:v>全国</x:v>
      </x:c>
      <x:c r="D599" s="2" t="str">
        <x:v>已检索</x:v>
      </x:c>
      <x:c r="E599" s="9"/>
      <x:c r="F599" s="7" t="str">
        <x:v>本轮实际网页检索，范围限定2026-07-01至2026-09-16；命中经日期、地点、同案去重后对应new_events或event_updates。未命中不代表不存在；未将外地／往年／同源转发累加。</x:v>
      </x:c>
    </x:row>
    <x:row r="600" ht="38" customHeight="1">
      <x:c r="A600" s="7" t="str">
        <x:v>"2026" "7月15日" "莆田" "纵火"</x:v>
      </x:c>
      <x:c r="B600" s="7" t="str">
        <x:v>2026</x:v>
      </x:c>
      <x:c r="C600" s="7" t="str">
        <x:v>全国</x:v>
      </x:c>
      <x:c r="D600" s="2" t="str">
        <x:v>已检索</x:v>
      </x:c>
      <x:c r="E600" s="9"/>
      <x:c r="F600" s="7" t="str">
        <x:v>本轮实际网页检索，范围限定2026-07-01至2026-09-16；命中经日期、地点、同案去重后对应new_events或event_updates。未命中不代表不存在；未将外地／往年／同源转发累加。</x:v>
      </x:c>
    </x:row>
    <x:row r="601" ht="38" customHeight="1">
      <x:c r="A601" s="7" t="str">
        <x:v>"2026" "玉州" "8月21日" "警情通报"</x:v>
      </x:c>
      <x:c r="B601" s="7" t="str">
        <x:v>2026</x:v>
      </x:c>
      <x:c r="C601" s="7" t="str">
        <x:v>全国</x:v>
      </x:c>
      <x:c r="D601" s="2" t="str">
        <x:v>已检索</x:v>
      </x:c>
      <x:c r="E601" s="9"/>
      <x:c r="F601" s="7" t="str">
        <x:v>本轮实际网页检索，范围限定2026-07-01至2026-09-16；命中经日期、地点、同案去重后对应new_events或event_updates。未命中不代表不存在；未将外地／往年／同源转发累加。</x:v>
      </x:c>
    </x:row>
    <x:row r="602" ht="38" customHeight="1">
      <x:c r="A602" s="7" t="str">
        <x:v>"2026" "杭州" "7月13日" "甜品店"</x:v>
      </x:c>
      <x:c r="B602" s="7" t="str">
        <x:v>2026</x:v>
      </x:c>
      <x:c r="C602" s="7" t="str">
        <x:v>全国</x:v>
      </x:c>
      <x:c r="D602" s="2" t="str">
        <x:v>已检索</x:v>
      </x:c>
      <x:c r="E602" s="9"/>
      <x:c r="F602" s="7" t="str">
        <x:v>本轮实际网页检索，范围限定2026-07-01至2026-09-16；命中经日期、地点、同案去重后对应new_events或event_updates。未命中不代表不存在；未将外地／往年／同源转发累加。</x:v>
      </x:c>
    </x:row>
    <x:row r="603" ht="38" customHeight="1">
      <x:c r="A603" s="7" t="str">
        <x:v>"莆田" "7月15日" "纵火" "新京报"</x:v>
      </x:c>
      <x:c r="B603" s="7" t="str">
        <x:v>2026</x:v>
      </x:c>
      <x:c r="C603" s="7" t="str">
        <x:v>全国</x:v>
      </x:c>
      <x:c r="D603" s="2" t="str">
        <x:v>已检索</x:v>
      </x:c>
      <x:c r="E603" s="9"/>
      <x:c r="F603" s="7" t="str">
        <x:v>本轮实际网页检索，范围限定2026-07-01至2026-09-16；命中经日期、地点、同案去重后对应new_events或event_updates。未命中不代表不存在；未将外地／往年／同源转发累加。</x:v>
      </x:c>
    </x:row>
    <x:row r="604" ht="38" customHeight="1">
      <x:c r="A604" s="7" t="str">
        <x:v>"锦屏" "8月17日" "事故" "2026"</x:v>
      </x:c>
      <x:c r="B604" s="7" t="str">
        <x:v>2026</x:v>
      </x:c>
      <x:c r="C604" s="7" t="str">
        <x:v>全国</x:v>
      </x:c>
      <x:c r="D604" s="2" t="str">
        <x:v>已检索</x:v>
      </x:c>
      <x:c r="E604" s="9"/>
      <x:c r="F604" s="7" t="str">
        <x:v>本轮实际网页检索，范围限定2026-07-01至2026-09-16；命中经日期、地点、同案去重后对应new_events或event_updates。未命中不代表不存在；未将外地／往年／同源转发累加。</x:v>
      </x:c>
    </x:row>
    <x:row r="605" ht="38" customHeight="1">
      <x:c r="A605" s="7" t="str">
        <x:v>"2026" "7月" "校园" "持刀"</x:v>
      </x:c>
      <x:c r="B605" s="7" t="str">
        <x:v>2026</x:v>
      </x:c>
      <x:c r="C605" s="7" t="str">
        <x:v>全国</x:v>
      </x:c>
      <x:c r="D605" s="2" t="str">
        <x:v>已检索</x:v>
      </x:c>
      <x:c r="E605" s="9"/>
      <x:c r="F605" s="7" t="str">
        <x:v>本轮实际网页检索，范围限定2026-07-01至2026-09-16；命中经日期、地点、同案去重后对应new_events或event_updates。未命中不代表不存在；未将外地／往年／同源转发累加。</x:v>
      </x:c>
    </x:row>
    <x:row r="606" ht="38" customHeight="1">
      <x:c r="A606" s="7" t="str">
        <x:v>"2026" "8月" "学校" "持刀"</x:v>
      </x:c>
      <x:c r="B606" s="7" t="str">
        <x:v>2026</x:v>
      </x:c>
      <x:c r="C606" s="7" t="str">
        <x:v>全国</x:v>
      </x:c>
      <x:c r="D606" s="2" t="str">
        <x:v>已检索</x:v>
      </x:c>
      <x:c r="E606" s="9"/>
      <x:c r="F606" s="7" t="str">
        <x:v>本轮实际网页检索，范围限定2026-07-01至2026-09-16；命中经日期、地点、同案去重后对应new_events或event_updates。未命中不代表不存在；未将外地／往年／同源转发累加。</x:v>
      </x:c>
    </x:row>
    <x:row r="607" ht="38" customHeight="1">
      <x:c r="A607" s="7" t="str">
        <x:v>"2026" "7月15日" "莆田" "人为纵火"</x:v>
      </x:c>
      <x:c r="B607" s="7" t="str">
        <x:v>2026</x:v>
      </x:c>
      <x:c r="C607" s="7" t="str">
        <x:v>全国</x:v>
      </x:c>
      <x:c r="D607" s="2" t="str">
        <x:v>已检索</x:v>
      </x:c>
      <x:c r="E607" s="9"/>
      <x:c r="F607" s="7" t="str">
        <x:v>本轮实际网页检索，范围限定2026-07-01至2026-09-16；命中经日期、地点、同案去重后对应new_events或event_updates。未命中不代表不存在；未将外地／往年／同源转发累加。</x:v>
      </x:c>
    </x:row>
    <x:row r="608" ht="38" customHeight="1">
      <x:c r="A608" s="7" t="str">
        <x:v>"2026" "锦屏" "8月17日" "车辆失控"</x:v>
      </x:c>
      <x:c r="B608" s="7" t="str">
        <x:v>2026</x:v>
      </x:c>
      <x:c r="C608" s="7" t="str">
        <x:v>全国</x:v>
      </x:c>
      <x:c r="D608" s="2" t="str">
        <x:v>已检索</x:v>
      </x:c>
      <x:c r="E608" s="9"/>
      <x:c r="F608" s="7" t="str">
        <x:v>本轮实际网页检索，范围限定2026-07-01至2026-09-16；命中经日期、地点、同案去重后对应new_events或event_updates。未命中不代表不存在；未将外地／往年／同源转发累加。</x:v>
      </x:c>
    </x:row>
    <x:row r="609" ht="38" customHeight="1">
      <x:c r="A609" s="7" t="str">
        <x:v>"2026" "9月8日" "合肥" "纵火"</x:v>
      </x:c>
      <x:c r="B609" s="7" t="str">
        <x:v>2026</x:v>
      </x:c>
      <x:c r="C609" s="7" t="str">
        <x:v>全国</x:v>
      </x:c>
      <x:c r="D609" s="2" t="str">
        <x:v>已检索</x:v>
      </x:c>
      <x:c r="E609" s="9"/>
      <x:c r="F609" s="7" t="str">
        <x:v>本轮实际网页检索，范围限定2026-07-01至2026-09-16；命中经日期、地点、同案去重后对应new_events或event_updates。未命中不代表不存在；未将外地／往年／同源转发累加。</x:v>
      </x:c>
    </x:row>
    <x:row r="610" ht="38" customHeight="1">
      <x:c r="A610" s="7" t="str">
        <x:v>"2026" "7月14日" "古雷" "拾荒" "原因"</x:v>
      </x:c>
      <x:c r="B610" s="7" t="str">
        <x:v>2026</x:v>
      </x:c>
      <x:c r="C610" s="7" t="str">
        <x:v>全国</x:v>
      </x:c>
      <x:c r="D610" s="2" t="str">
        <x:v>已检索</x:v>
      </x:c>
      <x:c r="E610" s="9"/>
      <x:c r="F610" s="7" t="str">
        <x:v>本轮实际网页检索，范围限定2026-07-01至2026-09-16；命中经日期、地点、同案去重后对应new_events或event_updates。未命中不代表不存在；未将外地／往年／同源转发累加。</x:v>
      </x:c>
    </x:row>
    <x:row r="611" ht="38" customHeight="1">
      <x:c r="A611" s="7" t="str">
        <x:v>"2026" "莆田" "烟花" "新京报" "7月15日"</x:v>
      </x:c>
      <x:c r="B611" s="7" t="str">
        <x:v>2026</x:v>
      </x:c>
      <x:c r="C611" s="7" t="str">
        <x:v>全国</x:v>
      </x:c>
      <x:c r="D611" s="2" t="str">
        <x:v>已检索</x:v>
      </x:c>
      <x:c r="E611" s="9"/>
      <x:c r="F611" s="7" t="str">
        <x:v>本轮实际网页检索，范围限定2026-07-01至2026-09-16；命中经日期、地点、同案去重后对应new_events或event_updates。未命中不代表不存在；未将外地／往年／同源转发累加。</x:v>
      </x:c>
    </x:row>
    <x:row r="612" ht="38" customHeight="1">
      <x:c r="A612" s="7" t="str">
        <x:v>"2026" "古雷" "洪某" "张某" "纠纷"</x:v>
      </x:c>
      <x:c r="B612" s="7" t="str">
        <x:v>2026</x:v>
      </x:c>
      <x:c r="C612" s="7" t="str">
        <x:v>全国</x:v>
      </x:c>
      <x:c r="D612" s="2" t="str">
        <x:v>已检索</x:v>
      </x:c>
      <x:c r="E612" s="9"/>
      <x:c r="F612" s="7" t="str">
        <x:v>本轮实际网页检索，范围限定2026-07-01至2026-09-16；命中经日期、地点、同案去重后对应new_events或event_updates。未命中不代表不存在；未将外地／往年／同源转发累加。</x:v>
      </x:c>
    </x:row>
    <x:row r="613" ht="38" customHeight="1">
      <x:c r="A613" s="7" t="str">
        <x:v>"2026" "9月8日" "蚌埠" "高华" "火灾"</x:v>
      </x:c>
      <x:c r="B613" s="7" t="str">
        <x:v>2026</x:v>
      </x:c>
      <x:c r="C613" s="7" t="str">
        <x:v>全国</x:v>
      </x:c>
      <x:c r="D613" s="2" t="str">
        <x:v>已检索</x:v>
      </x:c>
      <x:c r="E613" s="9"/>
      <x:c r="F613" s="7" t="str">
        <x:v>本轮实际网页检索，范围限定2026-07-01至2026-09-16；命中经日期、地点、同案去重后对应new_events或event_updates。未命中不代表不存在；未将外地／往年／同源转发累加。</x:v>
      </x:c>
    </x:row>
    <x:row r="614" ht="38" customHeight="1">
      <x:c r="A614" s="7" t="str">
        <x:v>"2026" "7月26日" "玉屏山" "纵火"</x:v>
      </x:c>
      <x:c r="B614" s="7" t="str">
        <x:v>2026</x:v>
      </x:c>
      <x:c r="C614" s="7" t="str">
        <x:v>全国</x:v>
      </x:c>
      <x:c r="D614" s="2" t="str">
        <x:v>已检索</x:v>
      </x:c>
      <x:c r="E614" s="9"/>
      <x:c r="F614" s="7" t="str">
        <x:v>本轮实际网页检索，范围限定2026-07-01至2026-09-16；命中经日期、地点、同案去重后对应new_events或event_updates。未命中不代表不存在；未将外地／往年／同源转发累加。</x:v>
      </x:c>
    </x:row>
    <x:row r="615" ht="38" customHeight="1">
      <x:c r="A615" s="7" t="str">
        <x:v>site:x.com/whyyoutouzhele/status/ "2026" "7月27日"</x:v>
      </x:c>
      <x:c r="B615" s="7" t="str">
        <x:v>2026</x:v>
      </x:c>
      <x:c r="C615" s="7" t="str">
        <x:v>全国</x:v>
      </x:c>
      <x:c r="D615" s="2" t="str">
        <x:v>已检索</x:v>
      </x:c>
      <x:c r="E615" s="9"/>
      <x:c r="F615" s="7" t="str">
        <x:v>本轮实际网页检索，范围限定2026-07-01至2026-09-16；命中经日期、地点、同案去重后对应new_events或event_updates。未命中不代表不存在；未将外地／往年／同源转发累加。</x:v>
      </x:c>
    </x:row>
    <x:row r="616" ht="38" customHeight="1">
      <x:c r="A616" s="7" t="str">
        <x:v>site:twstalker.com/whyyoutouzhele "7月" "砍"</x:v>
      </x:c>
      <x:c r="B616" s="7" t="str">
        <x:v>2026</x:v>
      </x:c>
      <x:c r="C616" s="7" t="str">
        <x:v>全国</x:v>
      </x:c>
      <x:c r="D616" s="2" t="str">
        <x:v>已检索</x:v>
      </x:c>
      <x:c r="E616" s="9"/>
      <x:c r="F616" s="7" t="str">
        <x:v>本轮实际网页检索，范围限定2026-07-01至2026-09-16；命中经日期、地点、同案去重后对应new_events或event_updates。未命中不代表不存在；未将外地／往年／同源转发累加。</x:v>
      </x:c>
    </x:row>
    <x:row r="617" ht="38" customHeight="1">
      <x:c r="A617" s="7" t="str">
        <x:v>site:twstalker.com/whyyoutouzhele "8月" "撞"</x:v>
      </x:c>
      <x:c r="B617" s="7" t="str">
        <x:v>2026</x:v>
      </x:c>
      <x:c r="C617" s="7" t="str">
        <x:v>全国</x:v>
      </x:c>
      <x:c r="D617" s="2" t="str">
        <x:v>已检索</x:v>
      </x:c>
      <x:c r="E617" s="9"/>
      <x:c r="F617" s="7" t="str">
        <x:v>本轮实际网页检索，范围限定2026-07-01至2026-09-16；命中经日期、地点、同案去重后对应new_events或event_updates。未命中不代表不存在；未将外地／往年／同源转发累加。</x:v>
      </x:c>
    </x:row>
    <x:row r="618" ht="38" customHeight="1">
      <x:c r="A618" s="7" t="str">
        <x:v>site:sotwe.com "whyyoutouzhele" "9月14日"</x:v>
      </x:c>
      <x:c r="B618" s="7" t="str">
        <x:v>2026</x:v>
      </x:c>
      <x:c r="C618" s="7" t="str">
        <x:v>全国</x:v>
      </x:c>
      <x:c r="D618" s="2" t="str">
        <x:v>已检索</x:v>
      </x:c>
      <x:c r="E618" s="9"/>
      <x:c r="F618" s="7" t="str">
        <x:v>本轮实际网页检索，范围限定2026-07-01至2026-09-16；命中经日期、地点、同案去重后对应new_events或event_updates。未命中不代表不存在；未将外地／往年／同源转发累加。</x:v>
      </x:c>
    </x:row>
    <x:row r="619" ht="38" customHeight="1">
      <x:c r="A619" s="7" t="str">
        <x:v>"2026" "8月2日" "青岛" "仓库" "火灾"</x:v>
      </x:c>
      <x:c r="B619" s="7" t="str">
        <x:v>2026</x:v>
      </x:c>
      <x:c r="C619" s="7" t="str">
        <x:v>全国</x:v>
      </x:c>
      <x:c r="D619" s="2" t="str">
        <x:v>已检索</x:v>
      </x:c>
      <x:c r="E619" s="9"/>
      <x:c r="F619" s="7" t="str">
        <x:v>本轮实际网页检索，范围限定2026-07-01至2026-09-16；命中经日期、地点、同案去重后对应new_events或event_updates。未命中不代表不存在；未将外地／往年／同源转发累加。</x:v>
      </x:c>
    </x:row>
    <x:row r="620" ht="38" customHeight="1">
      <x:c r="A620" s="7" t="str">
        <x:v>"2026" "9月8日" "合肥" "乌鲁木齐路"</x:v>
      </x:c>
      <x:c r="B620" s="7" t="str">
        <x:v>2026</x:v>
      </x:c>
      <x:c r="C620" s="7" t="str">
        <x:v>全国</x:v>
      </x:c>
      <x:c r="D620" s="2" t="str">
        <x:v>已检索</x:v>
      </x:c>
      <x:c r="E620" s="9"/>
      <x:c r="F620" s="7" t="str">
        <x:v>本轮实际网页检索，范围限定2026-07-01至2026-09-16；命中经日期、地点、同案去重后对应new_events或event_updates。未命中不代表不存在；未将外地／往年／同源转发累加。</x:v>
      </x:c>
    </x:row>
    <x:row r="621" ht="38" customHeight="1">
      <x:c r="A621" s="7" t="str">
        <x:v>"2026" "玉屏山" "7月26日" "通报"</x:v>
      </x:c>
      <x:c r="B621" s="7" t="str">
        <x:v>2026</x:v>
      </x:c>
      <x:c r="C621" s="7" t="str">
        <x:v>全国</x:v>
      </x:c>
      <x:c r="D621" s="2" t="str">
        <x:v>已检索</x:v>
      </x:c>
      <x:c r="E621" s="9"/>
      <x:c r="F621" s="7" t="str">
        <x:v>本轮实际网页检索，范围限定2026-07-01至2026-09-16；命中经日期、地点、同案去重后对应new_events或event_updates。未命中不代表不存在；未将外地／往年／同源转发累加。</x:v>
      </x:c>
    </x:row>
    <x:row r="622" ht="38" customHeight="1">
      <x:c r="A622" s="7" t="str">
        <x:v>"于荣先" "劝阻" "划伤"</x:v>
      </x:c>
      <x:c r="B622" s="7" t="str">
        <x:v>2026</x:v>
      </x:c>
      <x:c r="C622" s="7" t="str">
        <x:v>全国</x:v>
      </x:c>
      <x:c r="D622" s="2" t="str">
        <x:v>已检索</x:v>
      </x:c>
      <x:c r="E622" s="9"/>
      <x:c r="F622" s="7" t="str">
        <x:v>本轮实际网页检索，范围限定2026-07-01至2026-09-16；命中经日期、地点、同案去重后对应new_events或event_updates。未命中不代表不存在；未将外地／往年／同源转发累加。</x:v>
      </x:c>
    </x:row>
    <x:row r="623" ht="38" customHeight="1">
      <x:c r="A623" s="7" t="str">
        <x:v>"2026" "7月26日" "玉屏山" site:news.cctv.cn</x:v>
      </x:c>
      <x:c r="B623" s="7" t="str">
        <x:v>2026</x:v>
      </x:c>
      <x:c r="C623" s="7" t="str">
        <x:v>全国</x:v>
      </x:c>
      <x:c r="D623" s="2" t="str">
        <x:v>已检索</x:v>
      </x:c>
      <x:c r="E623" s="9"/>
      <x:c r="F623" s="7" t="str">
        <x:v>本轮实际网页检索，范围限定2026-07-01至2026-09-16；命中经日期、地点、同案去重后对应new_events或event_updates。未命中不代表不存在；未将外地／往年／同源转发累加。</x:v>
      </x:c>
    </x:row>
    <x:row r="624" ht="38" customHeight="1">
      <x:c r="A624" s="7" t="str">
        <x:v>"2026" "7月" "爆炸" "持刀" "见义勇为"</x:v>
      </x:c>
      <x:c r="B624" s="7" t="str">
        <x:v>2026</x:v>
      </x:c>
      <x:c r="C624" s="7" t="str">
        <x:v>全国</x:v>
      </x:c>
      <x:c r="D624" s="2" t="str">
        <x:v>已检索</x:v>
      </x:c>
      <x:c r="E624" s="9"/>
      <x:c r="F624" s="7" t="str">
        <x:v>本轮实际网页检索，范围限定2026-07-01至2026-09-16；命中经日期、地点、同案去重后对应new_events或event_updates。未命中不代表不存在；未将外地／往年／同源转发累加。</x:v>
      </x:c>
    </x:row>
    <x:row r="625" ht="38" customHeight="1">
      <x:c r="A625" s="7" t="str">
        <x:v>"2026" "8月" "学校" "行凶"</x:v>
      </x:c>
      <x:c r="B625" s="7" t="str">
        <x:v>2026</x:v>
      </x:c>
      <x:c r="C625" s="7" t="str">
        <x:v>全国</x:v>
      </x:c>
      <x:c r="D625" s="2" t="str">
        <x:v>已检索</x:v>
      </x:c>
      <x:c r="E625" s="9"/>
      <x:c r="F625" s="7" t="str">
        <x:v>本轮实际网页检索，范围限定2026-07-01至2026-09-16；命中经日期、地点、同案去重后对应new_events或event_updates。未命中不代表不存在；未将外地／往年／同源转发累加。</x:v>
      </x:c>
    </x:row>
    <x:row r="626" ht="38" customHeight="1">
      <x:c r="A626" s="7" t="str">
        <x:v>"2026" "9月" "医院" "随机" -广州 -site:reddit.com</x:v>
      </x:c>
      <x:c r="B626" s="7" t="str">
        <x:v>2026</x:v>
      </x:c>
      <x:c r="C626" s="7" t="str">
        <x:v>全国</x:v>
      </x:c>
      <x:c r="D626" s="2" t="str">
        <x:v>已检索</x:v>
      </x:c>
      <x:c r="E626" s="9"/>
      <x:c r="F626" s="7" t="str">
        <x:v>本轮实际网页检索，范围限定2026-07-01至2026-09-16；命中经日期、地点、同案去重后对应new_events或event_updates。未命中不代表不存在；未将外地／往年／同源转发累加。</x:v>
      </x:c>
    </x:row>
    <x:row r="627" ht="38" customHeight="1">
      <x:c r="A627" s="7" t="str">
        <x:v>"2026年" "玉屏山" "14时30分"</x:v>
      </x:c>
      <x:c r="B627" s="7" t="str">
        <x:v>2026</x:v>
      </x:c>
      <x:c r="C627" s="7" t="str">
        <x:v>全国</x:v>
      </x:c>
      <x:c r="D627" s="2" t="str">
        <x:v>已检索</x:v>
      </x:c>
      <x:c r="E627" s="9"/>
      <x:c r="F627" s="7" t="str">
        <x:v>本轮实际网页检索，范围限定2026-07-01至2026-09-16；命中经日期、地点、同案去重后对应new_events或event_updates。未命中不代表不存在；未将外地／往年／同源转发累加。</x:v>
      </x:c>
    </x:row>
    <x:row r="628" ht="38" customHeight="1">
      <x:c r="A628" s="7" t="str">
        <x:v>"2026" "烟花爆竹仓库" "灵川镇" "纵火"</x:v>
      </x:c>
      <x:c r="B628" s="7" t="str">
        <x:v>2026</x:v>
      </x:c>
      <x:c r="C628" s="7" t="str">
        <x:v>全国</x:v>
      </x:c>
      <x:c r="D628" s="2" t="str">
        <x:v>已检索</x:v>
      </x:c>
      <x:c r="E628" s="9"/>
      <x:c r="F628" s="7" t="str">
        <x:v>本轮实际网页检索，范围限定2026-07-01至2026-09-16；命中经日期、地点、同案去重后对应new_events或event_updates。未命中不代表不存在；未将外地／往年／同源转发累加。</x:v>
      </x:c>
    </x:row>
    <x:row r="629" ht="38" customHeight="1">
      <x:c r="A629" s="7" t="str">
        <x:v>"2026" "茂名" "8月19日" "警方" "伤人"</x:v>
      </x:c>
      <x:c r="B629" s="7" t="str">
        <x:v>2026</x:v>
      </x:c>
      <x:c r="C629" s="7" t="str">
        <x:v>全国</x:v>
      </x:c>
      <x:c r="D629" s="2" t="str">
        <x:v>已检索</x:v>
      </x:c>
      <x:c r="E629" s="9"/>
      <x:c r="F629" s="7" t="str">
        <x:v>本轮实际网页检索，范围限定2026-07-01至2026-09-16；命中经日期、地点、同案去重后对应new_events或event_updates。未命中不代表不存在；未将外地／往年／同源转发累加。</x:v>
      </x:c>
    </x:row>
    <x:row r="630" ht="38" customHeight="1">
      <x:c r="A630" s="7" t="str">
        <x:v>"2026" "厦门" "7月11日" "警方"</x:v>
      </x:c>
      <x:c r="B630" s="7" t="str">
        <x:v>2026</x:v>
      </x:c>
      <x:c r="C630" s="7" t="str">
        <x:v>全国</x:v>
      </x:c>
      <x:c r="D630" s="2" t="str">
        <x:v>已检索</x:v>
      </x:c>
      <x:c r="E630" s="9"/>
      <x:c r="F630" s="7" t="str">
        <x:v>本轮实际网页检索，范围限定2026-07-01至2026-09-16；命中经日期、地点、同案去重后对应new_events或event_updates。未命中不代表不存在；未将外地／往年／同源转发累加。</x:v>
      </x:c>
    </x:row>
    <x:row r="631" ht="38" customHeight="1">
      <x:c r="A631" s="7" t="str">
        <x:v>"福建莆田" "烟花爆竹" "2026-07-15" "纵火" -site:sohu.com</x:v>
      </x:c>
      <x:c r="B631" s="7" t="str">
        <x:v>2026</x:v>
      </x:c>
      <x:c r="C631" s="7" t="str">
        <x:v>全国</x:v>
      </x:c>
      <x:c r="D631" s="2" t="str">
        <x:v>已检索</x:v>
      </x:c>
      <x:c r="E631" s="9"/>
      <x:c r="F631" s="7" t="str">
        <x:v>本轮实际网页检索，范围限定2026-07-01至2026-09-16；命中经日期、地点、同案去重后对应new_events或event_updates。未命中不代表不存在；未将外地／往年／同源转发累加。</x:v>
      </x:c>
    </x:row>
    <x:row r="632" ht="38" customHeight="1">
      <x:c r="A632" s="7" t="str">
        <x:v>"玉林" "2026" "8月20日" "新唐人"</x:v>
      </x:c>
      <x:c r="B632" s="7" t="str">
        <x:v>2026</x:v>
      </x:c>
      <x:c r="C632" s="7" t="str">
        <x:v>全国</x:v>
      </x:c>
      <x:c r="D632" s="2" t="str">
        <x:v>已检索</x:v>
      </x:c>
      <x:c r="E632" s="9"/>
      <x:c r="F632" s="7" t="str">
        <x:v>本轮实际网页检索，范围限定2026-07-01至2026-09-16；命中经日期、地点、同案去重后对应new_events或event_updates。未命中不代表不存在；未将外地／往年／同源转发累加。</x:v>
      </x:c>
    </x:row>
    <x:row r="633" ht="38" customHeight="1">
      <x:c r="A633" s="7" t="str">
        <x:v>"玉屏山" "2026-07-26" "通报"</x:v>
      </x:c>
      <x:c r="B633" s="7" t="str">
        <x:v>2026</x:v>
      </x:c>
      <x:c r="C633" s="7" t="str">
        <x:v>全国</x:v>
      </x:c>
      <x:c r="D633" s="2" t="str">
        <x:v>已检索</x:v>
      </x:c>
      <x:c r="E633" s="9"/>
      <x:c r="F633" s="7" t="str">
        <x:v>本轮实际网页检索，范围限定2026-07-01至2026-09-16；命中经日期、地点、同案去重后对应new_events或event_updates。未命中不代表不存在；未将外地／往年／同源转发累加。</x:v>
      </x:c>
    </x:row>
    <x:row r="634" ht="38" customHeight="1">
      <x:c r="A634" s="7" t="str">
        <x:v>"玉屏山" "2026" "火情通报"</x:v>
      </x:c>
      <x:c r="B634" s="7" t="str">
        <x:v>2026</x:v>
      </x:c>
      <x:c r="C634" s="7" t="str">
        <x:v>全国</x:v>
      </x:c>
      <x:c r="D634" s="2" t="str">
        <x:v>已检索</x:v>
      </x:c>
      <x:c r="E634" s="9"/>
      <x:c r="F634" s="7" t="str">
        <x:v>本轮实际网页检索，范围限定2026-07-01至2026-09-16；命中经日期、地点、同案去重后对应new_events或event_updates。未命中不代表不存在；未将外地／往年／同源转发累加。</x:v>
      </x:c>
    </x:row>
    <x:row r="635" ht="38" customHeight="1">
      <x:c r="A635" s="7" t="str">
        <x:v>检索覆盖汇总（非单条查询）："2026" "西宁" "于荣先" "摊主" "制止"</x:v>
      </x:c>
      <x:c r="B635" s="7" t="str">
        <x:v>2026</x:v>
      </x:c>
      <x:c r="C635" s="7" t="str">
        <x:v>全国</x:v>
      </x:c>
      <x:c r="D635" s="2" t="str">
        <x:v>已检索</x:v>
      </x:c>
      <x:c r="E635" s="9"/>
      <x:c r="F635" s="7" t="str">
        <x:v>本轮实际网页检索，范围限定2026-07-01至2026-09-16；命中经日期、地点、同案去重后对应new_events或event_updates。未命中不代表不存在；未将外地／往年／同源转发累加。</x:v>
      </x:c>
    </x:row>
    <x:row r="636" ht="38" customHeight="1">
      <x:c r="A636" s="7" t="str">
        <x:v>检索覆盖汇总（非单条查询）：广州9月14日大学城／小谷围／GOGO新天地／广东工业大学西区食堂，官方与X镜像追溯</x:v>
      </x:c>
      <x:c r="B636" s="7" t="str">
        <x:v>2026</x:v>
      </x:c>
      <x:c r="C636" s="7" t="str">
        <x:v>广东</x:v>
      </x:c>
      <x:c r="D636" s="2" t="str">
        <x:v>已检索</x:v>
      </x:c>
      <x:c r="E636" s="9" t="n">
        <x:v>1</x:v>
      </x:c>
      <x:c r="F636" s="7" t="str">
        <x:v>确认与C024同案；公安原文、财新公开导语、Sotwe正文可见。HK01主要引网图，ruibao.news打开失败，Epoch记者稿通过镜像搜索见摘要但原文与镜像均未成功，不算已核实独立证据。</x:v>
      </x:c>
    </x:row>
    <x:row r="637" ht="38" customHeight="1">
      <x:c r="A637" s="7" t="str">
        <x:v>检索覆盖汇总（非单条查询）：X原帖检索及短链解析：t.co/f2ShrfgI6V、t.co/VMiz4obeGv、pic.twitter.com/DzeH5U8DlP</x:v>
      </x:c>
      <x:c r="B637" s="7" t="str">
        <x:v>2026</x:v>
      </x:c>
      <x:c r="C637" s="7" t="str">
        <x:v>广东；江苏</x:v>
      </x:c>
      <x:c r="D637" s="2" t="str">
        <x:v>访问失败</x:v>
      </x:c>
      <x:c r="E637" s="9" t="n">
        <x:v>2</x:v>
      </x:c>
      <x:c r="F637" s="7" t="str">
        <x:v>短链安全错误；文学城X日期链接返回Internal Error，无status ID。仅保留实际得到的链接，不用时间推算、伪造status URL。</x:v>
      </x:c>
    </x:row>
    <x:row r="638" ht="38" customHeight="1">
      <x:c r="A638" s="7" t="str">
        <x:v>检索覆盖汇总（非单条查询）：TwStalker／Sotwe／X读取及浏览器复核</x:v>
      </x:c>
      <x:c r="B638" s="7" t="str">
        <x:v>2026</x:v>
      </x:c>
      <x:c r="C638" s="7" t="str">
        <x:v>全国</x:v>
      </x:c>
      <x:c r="D638" s="2" t="str">
        <x:v>已检索</x:v>
      </x:c>
      <x:c r="E638" s="9"/>
      <x:c r="F638" s="7" t="str">
        <x:v>web工具可读www.sotwe.com/whyyoutouzhele及w.twstalker.com/whyyoutouzhele正文；TwStalker当前时间线不断变化。Python直接HTTP403；浏览器TwStalker停安全验证，没有尝试绕过。X三个已恢复status分别为空页或403。</x:v>
      </x:c>
    </x:row>
    <x:row r="639" ht="38" customHeight="1">
      <x:c r="A639" s="7" t="str">
        <x:v>检索覆盖汇总（非单条查询）：于荣先＋摊主／劝架／两人划伤／人民日报／青海政法／见义勇为</x:v>
      </x:c>
      <x:c r="B639" s="7" t="str">
        <x:v>2026</x:v>
      </x:c>
      <x:c r="C639" s="7" t="str">
        <x:v>青海</x:v>
      </x:c>
      <x:c r="D639" s="2" t="str">
        <x:v>已检索</x:v>
      </x:c>
      <x:c r="E639" s="9" t="n">
        <x:v>1</x:v>
      </x:c>
      <x:c r="F639" s="7" t="str">
        <x:v>成功取得多源采访与警方转引；原C041更新expanded。青海新闻网030602062及030602063打开重定向循环，Sohu青科新闻超时，仅辅助检索，不以访问失败页独立定案。</x:v>
      </x:c>
    </x:row>
    <x:row r="640" ht="38" customHeight="1">
      <x:c r="A640" s="7" t="str">
        <x:v>检索覆盖汇总（非单条查询）：2026年第三季度见义勇为勇士榜／7月8月9月地方见义勇为持刀伤人</x:v>
      </x:c>
      <x:c r="B640" s="7" t="str">
        <x:v>2026</x:v>
      </x:c>
      <x:c r="C640" s="7" t="str">
        <x:v>全国</x:v>
      </x:c>
      <x:c r="D640" s="2" t="str">
        <x:v>已检索</x:v>
      </x:c>
      <x:c r="E640" s="9"/>
      <x:c r="F640" s="7" t="str">
        <x:v>检出7月9日发布的第二季度榜，其案发属Q2，未列Q3新案。未查得覆盖截至9月16日的完整第三季度全国榜；补查于荣先地方认定。</x:v>
      </x:c>
    </x:row>
    <x:row r="641" ht="38" customHeight="1">
      <x:c r="A641" s="7" t="str">
        <x:v>检索覆盖汇总（非单条查询）：厦门7月11日东浦路／汕头8月18日陈厝合／茂名8月19日电城海景明珠＋警方通报</x:v>
      </x:c>
      <x:c r="B641" s="7" t="str">
        <x:v>2026</x:v>
      </x:c>
      <x:c r="C641" s="7" t="str">
        <x:v>福建；广东</x:v>
      </x:c>
      <x:c r="D641" s="2" t="str">
        <x:v>待核</x:v>
      </x:c>
      <x:c r="E641" s="9" t="n">
        <x:v>3</x:v>
      </x:c>
      <x:c r="F641" s="7" t="str">
        <x:v>未查得可直接对应三案的官方或独立现场采访；搜索有泛化、旧闻及色情站结果，未将后者作为可靠佐证；三条线索均保留。</x:v>
      </x:c>
    </x:row>
    <x:row r="642" ht="38" customHeight="1">
      <x:c r="A642" s="7" t="str">
        <x:v>检索覆盖汇总（非单条查询）：莆田7月15日灵川烟花仓库＋新京报；洪雅7月26日玉屏山＋通报</x:v>
      </x:c>
      <x:c r="B642" s="7" t="str">
        <x:v>2026</x:v>
      </x:c>
      <x:c r="C642" s="7" t="str">
        <x:v>福建；四川</x:v>
      </x:c>
      <x:c r="D642" s="2" t="str">
        <x:v>访问失败</x:v>
      </x:c>
      <x:c r="E642" s="9" t="n">
        <x:v>2</x:v>
      </x:c>
      <x:c r="F642" s="7" t="str">
        <x:v>金羊网返回空正文，新京报搜狐号Cache miss；中国网中新网洪雅稿Internal Error。搜索缓存短稿可读，事件及来源明确标注缓存层次。</x:v>
      </x:c>
    </x:row>
    <x:row r="643" ht="38" customHeight="1">
      <x:c r="A643" s="7" t="str">
        <x:v>检索覆盖汇总（非单条查询）：2026年7月／8月／9月＋纵火／爆炸／报复社会／献忠，回查通报</x:v>
      </x:c>
      <x:c r="B643" s="7" t="str">
        <x:v>2026</x:v>
      </x:c>
      <x:c r="C643" s="7" t="str">
        <x:v>全国</x:v>
      </x:c>
      <x:c r="D643" s="2" t="str">
        <x:v>已检索</x:v>
      </x:c>
      <x:c r="E643" s="9"/>
      <x:c r="F643" s="7" t="str">
        <x:v>保留晋江两火灾、莆田、平江、洪雅、青岛、蚌埠、合肥等线索。消防／公司确认火灾不等于确认纵火；没有把伤亡或官方未披露原因作为蓄意证据。</x:v>
      </x:c>
    </x:row>
    <x:row r="644" ht="38" customHeight="1">
      <x:c r="A644" s="7" t="str">
        <x:v>检索覆盖汇总（非单条查询）：2026年7月／8月／9月＋校园／医院／商业区／地铁／驾车撞人</x:v>
      </x:c>
      <x:c r="B644" s="7" t="str">
        <x:v>2026</x:v>
      </x:c>
      <x:c r="C644" s="7" t="str">
        <x:v>全国</x:v>
      </x:c>
      <x:c r="D644" s="2" t="str">
        <x:v>已检索</x:v>
      </x:c>
      <x:c r="E644" s="9"/>
      <x:c r="F644" s="7" t="str">
        <x:v>群体场景补漏覆盖贵阳医院、广州商区、南京地铁、江苏青少年赛事及锦屏交通事故。泰国、菲律宾校园枪案不在中国大陆范围；检出的旧案判决不按新闻发布日期加到2026。</x:v>
      </x:c>
    </x:row>
    <x:row r="645" ht="38" customHeight="1">
      <x:c r="A645" s="7" t="str">
        <x:v>检索覆盖汇总（非单条查询）：9月发布的深圳工厂纵火审判、福建前男友爆炸案；7月重报郑州宏达车业纵火</x:v>
      </x:c>
      <x:c r="B645" s="7" t="str">
        <x:v>2026</x:v>
      </x:c>
      <x:c r="C645" s="7" t="str">
        <x:v>广东；福建；河南</x:v>
      </x:c>
      <x:c r="D645" s="2" t="str">
        <x:v>已检索</x:v>
      </x:c>
      <x:c r="E645" s="9"/>
      <x:c r="F645" s="7" t="str">
        <x:v>深圳厂房纵火审判新闻案发2025-10-12；福建前男友爆炸案案发2025-05，均非2026新事件。郑州宏达案发6月19日，线索已转给Q2研究，Q3不重复。</x:v>
      </x:c>
    </x:row>
    <x:row r="646" ht="38" customHeight="1">
      <x:c r="A646" s="7" t="str">
        <x:v>检索覆盖汇总（非单条查询）：李老师9月近期帖：滕州实验中学学生被打、南宁站跳轨、小米试驾事故</x:v>
      </x:c>
      <x:c r="B646" s="7" t="str">
        <x:v>2026</x:v>
      </x:c>
      <x:c r="C646" s="7" t="str">
        <x:v>山东；广西</x:v>
      </x:c>
      <x:c r="D646" s="2" t="str">
        <x:v>待核</x:v>
      </x:c>
      <x:c r="E646" s="9"/>
      <x:c r="F646" s="7" t="str">
        <x:v>TwStalker搜索缓存出现滕州教师惩戒一学生暴力线索，但只写“近日”、未得到原始日期与通报，保留检索备注供跟进；南宁跳轨为自伤、试驾误踩为事故，不构成当前主动袭击公众样本。</x:v>
      </x:c>
    </x:row>
    <x:row r="647" ht="38" customHeight="1">
      <x:c r="A647" s="7" t="str">
        <x:v>检索覆盖汇总（非单条查询）：唐厝村火灾、于荣先、7月27日乒乓球赛及广州大学城X原帖回溯</x:v>
      </x:c>
      <x:c r="B647" s="7" t="str">
        <x:v>2026</x:v>
      </x:c>
      <x:c r="C647" s="7" t="str">
        <x:v>全国</x:v>
      </x:c>
      <x:c r="D647" s="2" t="str">
        <x:v>已检索</x:v>
      </x:c>
      <x:c r="E647" s="9"/>
      <x:c r="F647" s="7" t="str">
        <x:v>镜像、嵌入、同稿转载统一按来源链解释。部分帖只保留账号页面且无永久status，access_status明确不足；计数只用于检索覆盖，不是全国事件总量。</x:v>
      </x:c>
    </x:row>
  </x:sheetData>
  <x:pageMargins left="0.7" right="0.7" top="0.75" bottom="0.75" header="0.3" footer="0.3"/>
  <x:tableParts count="1">
    <x:tablePart xmlns:r="http://schemas.openxmlformats.org/officeDocument/2006/relationships" r:id="R351ad4f1cf2f404d"/>
  </x:tableParts>
</x:worksheet>
</file>

<file path=xl/worksheets/sheet12.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55" hidden="0" customWidth="1"/>
  </x:cols>
  <x:sheetData>
    <x:row r="1" ht="42" customHeight="1">
      <x:c r="A1" s="6" t="str">
        <x:v>字段代码</x:v>
      </x:c>
      <x:c r="B1" s="6" t="str">
        <x:v>中文标签</x:v>
      </x:c>
      <x:c r="C1" s="6" t="str">
        <x:v>含义与空值规则</x:v>
      </x:c>
    </x:row>
    <x:row r="2" ht="38" customHeight="1">
      <x:c r="A2" s="2" t="str">
        <x:v>id</x:v>
      </x:c>
      <x:c r="B2" s="2" t="str">
        <x:v>事件编号</x:v>
      </x:c>
      <x:c r="C2" s="7" t="str">
        <x:v>空值表示未查得/无法确定，不能按0解释。</x:v>
      </x:c>
    </x:row>
    <x:row r="3" ht="38" customHeight="1">
      <x:c r="A3" s="2" t="str">
        <x:v>date</x:v>
      </x:c>
      <x:c r="B3" s="2" t="str">
        <x:v>案发日期</x:v>
      </x:c>
      <x:c r="C3" s="7" t="str">
        <x:v>空值表示未查得/无法确定，不能按0解释。</x:v>
      </x:c>
    </x:row>
    <x:row r="4" ht="38" customHeight="1">
      <x:c r="A4" s="2" t="str">
        <x:v>date_precision</x:v>
      </x:c>
      <x:c r="B4" s="2" t="str">
        <x:v>日期精度</x:v>
      </x:c>
      <x:c r="C4" s="7" t="str">
        <x:v>空值表示未查得/无法确定，不能按0解释。</x:v>
      </x:c>
    </x:row>
    <x:row r="5" ht="38" customHeight="1">
      <x:c r="A5" s="2" t="str">
        <x:v>title</x:v>
      </x:c>
      <x:c r="B5" s="2" t="str">
        <x:v>事件名称</x:v>
      </x:c>
      <x:c r="C5" s="7" t="str">
        <x:v>空值表示未查得/无法确定，不能按0解释。</x:v>
      </x:c>
    </x:row>
    <x:row r="6" ht="38" customHeight="1">
      <x:c r="A6" s="2" t="str">
        <x:v>province</x:v>
      </x:c>
      <x:c r="B6" s="2" t="str">
        <x:v>省级地区</x:v>
      </x:c>
      <x:c r="C6" s="7" t="str">
        <x:v>空值表示未查得/无法确定，不能按0解释。</x:v>
      </x:c>
    </x:row>
    <x:row r="7" ht="38" customHeight="1">
      <x:c r="A7" s="2" t="str">
        <x:v>city</x:v>
      </x:c>
      <x:c r="B7" s="2" t="str">
        <x:v>城市</x:v>
      </x:c>
      <x:c r="C7" s="7" t="str">
        <x:v>空值表示未查得/无法确定，不能按0解释。</x:v>
      </x:c>
    </x:row>
    <x:row r="8" ht="38" customHeight="1">
      <x:c r="A8" s="2" t="str">
        <x:v>district</x:v>
      </x:c>
      <x:c r="B8" s="2" t="str">
        <x:v>区县</x:v>
      </x:c>
      <x:c r="C8" s="7" t="str">
        <x:v>空值表示未查得/无法确定，不能按0解释。</x:v>
      </x:c>
    </x:row>
    <x:row r="9" ht="38" customHeight="1">
      <x:c r="A9" s="2" t="str">
        <x:v>urban_rural</x:v>
      </x:c>
      <x:c r="B9" s="2" t="str">
        <x:v>城乡属性</x:v>
      </x:c>
      <x:c r="C9" s="7" t="str">
        <x:v>空值表示未查得/无法确定，不能按0解释。</x:v>
      </x:c>
    </x:row>
    <x:row r="10" ht="38" customHeight="1">
      <x:c r="A10" s="2" t="str">
        <x:v>scene</x:v>
      </x:c>
      <x:c r="B10" s="2" t="str">
        <x:v>场景</x:v>
      </x:c>
      <x:c r="C10" s="7" t="str">
        <x:v>空值表示未查得/无法确定，不能按0解释。</x:v>
      </x:c>
    </x:row>
    <x:row r="11" ht="38" customHeight="1">
      <x:c r="A11" s="2" t="str">
        <x:v>method</x:v>
      </x:c>
      <x:c r="B11" s="2" t="str">
        <x:v>方式</x:v>
      </x:c>
      <x:c r="C11" s="7" t="str">
        <x:v>空值表示未查得/无法确定，不能按0解释。</x:v>
      </x:c>
    </x:row>
    <x:row r="12" ht="38" customHeight="1">
      <x:c r="A12" s="2" t="str">
        <x:v>category</x:v>
      </x:c>
      <x:c r="B12" s="2" t="str">
        <x:v>分类代码</x:v>
      </x:c>
      <x:c r="C12" s="7" t="str">
        <x:v>核心core；扩展新增expanded；待核pending；排除excluded；恐袭organized_terror另列。</x:v>
      </x:c>
    </x:row>
    <x:row r="13" ht="38" customHeight="1">
      <x:c r="A13" s="2" t="str">
        <x:v>classification_reason</x:v>
      </x:c>
      <x:c r="B13" s="2" t="str">
        <x:v>分类依据</x:v>
      </x:c>
      <x:c r="C13" s="7" t="str">
        <x:v>空值表示未查得/无法确定，不能按0解释。</x:v>
      </x:c>
    </x:row>
    <x:row r="14" ht="38" customHeight="1">
      <x:c r="A14" s="2" t="str">
        <x:v>deaths</x:v>
      </x:c>
      <x:c r="B14" s="2" t="str">
        <x:v>受害者死亡</x:v>
      </x:c>
      <x:c r="C14" s="7" t="str">
        <x:v>公开可核实的受害者死亡人数，作案者死亡另列。</x:v>
      </x:c>
    </x:row>
    <x:row r="15" ht="38" customHeight="1">
      <x:c r="A15" s="2" t="str">
        <x:v>injured</x:v>
      </x:c>
      <x:c r="B15" s="2" t="str">
        <x:v>受害者受伤</x:v>
      </x:c>
      <x:c r="C15" s="7" t="str">
        <x:v>受害者受伤人数，尽可能采用最新结局；作案者另列；不含已转死亡者；若来源不能证明去重则详见casualty_note。</x:v>
      </x:c>
    </x:row>
    <x:row r="16" ht="38" customHeight="1">
      <x:c r="A16" s="2" t="str">
        <x:v>injured_reported</x:v>
      </x:c>
      <x:c r="B16" s="2" t="str">
        <x:v>受伤原口径</x:v>
      </x:c>
      <x:c r="C16" s="7" t="str">
        <x:v>空值表示未查得/无法确定，不能按0解释。</x:v>
      </x:c>
    </x:row>
    <x:row r="17" ht="38" customHeight="1">
      <x:c r="A17" s="2" t="str">
        <x:v>injured_lower_bound</x:v>
      </x:c>
      <x:c r="B17" s="2" t="str">
        <x:v>受伤保守下限</x:v>
      </x:c>
      <x:c r="C17" s="7" t="str">
        <x:v>空值表示未查得/无法确定，不能按0解释。</x:v>
      </x:c>
    </x:row>
    <x:row r="18" ht="38" customHeight="1">
      <x:c r="A18" s="2" t="str">
        <x:v>deaths_lower_bound</x:v>
      </x:c>
      <x:c r="B18" s="2" t="str">
        <x:v>死亡保守下限</x:v>
      </x:c>
      <x:c r="C18" s="7" t="str">
        <x:v>空值表示未查得/无法确定，不能按0解释。</x:v>
      </x:c>
    </x:row>
    <x:row r="19" ht="38" customHeight="1">
      <x:c r="A19" s="2" t="str">
        <x:v>serious_injuries</x:v>
      </x:c>
      <x:c r="B19" s="2" t="str">
        <x:v>重伤</x:v>
      </x:c>
      <x:c r="C19" s="7" t="str">
        <x:v>空值表示未查得/无法确定，不能按0解释。</x:v>
      </x:c>
    </x:row>
    <x:row r="20" ht="38" customHeight="1">
      <x:c r="A20" s="2" t="str">
        <x:v>attacker_deaths</x:v>
      </x:c>
      <x:c r="B20" s="2" t="str">
        <x:v>作案者死亡</x:v>
      </x:c>
      <x:c r="C20" s="7" t="str">
        <x:v>空值表示未查得/无法确定，不能按0解释。</x:v>
      </x:c>
    </x:row>
    <x:row r="21" ht="38" customHeight="1">
      <x:c r="A21" s="2" t="str">
        <x:v>attacker_injured</x:v>
      </x:c>
      <x:c r="B21" s="2" t="str">
        <x:v>作案者受伤</x:v>
      </x:c>
      <x:c r="C21" s="7" t="str">
        <x:v>空值表示未查得/无法确定，不能按0解释。</x:v>
      </x:c>
    </x:row>
    <x:row r="22" ht="38" customHeight="1">
      <x:c r="A22" s="2" t="str">
        <x:v>casualty_asof</x:v>
      </x:c>
      <x:c r="B22" s="2" t="str">
        <x:v>伤亡口径日期</x:v>
      </x:c>
      <x:c r="C22" s="7" t="str">
        <x:v>空值表示未查得/无法确定，不能按0解释。</x:v>
      </x:c>
    </x:row>
    <x:row r="23" ht="38" customHeight="1">
      <x:c r="A23" s="2" t="str">
        <x:v>casualty_note</x:v>
      </x:c>
      <x:c r="B23" s="2" t="str">
        <x:v>伤亡修订说明</x:v>
      </x:c>
      <x:c r="C23" s="7" t="str">
        <x:v>空值表示未查得/无法确定，不能按0解释。</x:v>
      </x:c>
    </x:row>
    <x:row r="24" ht="38" customHeight="1">
      <x:c r="A24" s="2" t="str">
        <x:v>involves_children</x:v>
      </x:c>
      <x:c r="B24" s="2" t="str">
        <x:v>涉及儿童</x:v>
      </x:c>
      <x:c r="C24" s="7" t="str">
        <x:v>空值表示未查得/无法确定，不能按0解释。</x:v>
      </x:c>
    </x:row>
    <x:row r="25" ht="38" customHeight="1">
      <x:c r="A25" s="2" t="str">
        <x:v>victim_relation</x:v>
      </x:c>
      <x:c r="B25" s="2" t="str">
        <x:v>受害者关系</x:v>
      </x:c>
      <x:c r="C25" s="7" t="str">
        <x:v>空值表示未查得/无法确定，不能按0解释。</x:v>
      </x:c>
    </x:row>
    <x:row r="26" ht="38" customHeight="1">
      <x:c r="A26" s="2" t="str">
        <x:v>age</x:v>
      </x:c>
      <x:c r="B26" s="2" t="str">
        <x:v>作案者年龄</x:v>
      </x:c>
      <x:c r="C26" s="7" t="str">
        <x:v>空值表示未查得/无法确定，不能按0解释。</x:v>
      </x:c>
    </x:row>
    <x:row r="27" ht="38" customHeight="1">
      <x:c r="A27" s="2" t="str">
        <x:v>sex</x:v>
      </x:c>
      <x:c r="B27" s="2" t="str">
        <x:v>性别</x:v>
      </x:c>
      <x:c r="C27" s="7" t="str">
        <x:v>空值表示未查得/无法确定，不能按0解释。</x:v>
      </x:c>
    </x:row>
    <x:row r="28" ht="38" customHeight="1">
      <x:c r="A28" s="2" t="str">
        <x:v>occupation</x:v>
      </x:c>
      <x:c r="B28" s="2" t="str">
        <x:v>职业状态</x:v>
      </x:c>
      <x:c r="C28" s="7" t="str">
        <x:v>空值表示未查得/无法确定，不能按0解释。</x:v>
      </x:c>
    </x:row>
    <x:row r="29" ht="38" customHeight="1">
      <x:c r="A29" s="2" t="str">
        <x:v>motive_summary</x:v>
      </x:c>
      <x:c r="B29" s="2" t="str">
        <x:v>动机摘要</x:v>
      </x:c>
      <x:c r="C29" s="7" t="str">
        <x:v>空值表示未查得/无法确定，不能按0解释。</x:v>
      </x:c>
    </x:row>
    <x:row r="30" ht="38" customHeight="1">
      <x:c r="A30" s="2" t="str">
        <x:v>motive_tags</x:v>
      </x:c>
      <x:c r="B30" s="2" t="str">
        <x:v>动机标签</x:v>
      </x:c>
      <x:c r="C30" s="7" t="str">
        <x:v>空值表示未查得/无法确定，不能按0解释。</x:v>
      </x:c>
    </x:row>
    <x:row r="31" ht="38" customHeight="1">
      <x:c r="A31" s="2" t="str">
        <x:v>motive_basis</x:v>
      </x:c>
      <x:c r="B31" s="2" t="str">
        <x:v>动机证据层级</x:v>
      </x:c>
      <x:c r="C31" s="7" t="str">
        <x:v>法院认定/警方初步通报/检方指控/外交渠道转述法院/媒体调查/官方事迹/未知；不同层级不互换。</x:v>
      </x:c>
    </x:row>
    <x:row r="32" ht="38" customHeight="1">
      <x:c r="A32" s="2" t="str">
        <x:v>mental_health</x:v>
      </x:c>
      <x:c r="B32" s="2" t="str">
        <x:v>精神健康证据</x:v>
      </x:c>
      <x:c r="C32" s="7" t="str">
        <x:v>空值表示未查得/无法确定，不能按0解释。</x:v>
      </x:c>
    </x:row>
    <x:row r="33" ht="38" customHeight="1">
      <x:c r="A33" s="2" t="str">
        <x:v>prior_violence</x:v>
      </x:c>
      <x:c r="B33" s="2" t="str">
        <x:v>既往暴力记录</x:v>
      </x:c>
      <x:c r="C33" s="7" t="str">
        <x:v>空值表示未查得/无法确定，不能按0解释。</x:v>
      </x:c>
    </x:row>
    <x:row r="34" ht="38" customHeight="1">
      <x:c r="A34" s="2" t="str">
        <x:v>warning_signals</x:v>
      </x:c>
      <x:c r="B34" s="2" t="str">
        <x:v>事前威胁线索</x:v>
      </x:c>
      <x:c r="C34" s="7" t="str">
        <x:v>空值表示未查得/无法确定，不能按0解释。</x:v>
      </x:c>
    </x:row>
    <x:row r="35" ht="38" customHeight="1">
      <x:c r="A35" s="2" t="str">
        <x:v>intervention</x:v>
      </x:c>
      <x:c r="B35" s="2" t="str">
        <x:v>干预与现场处置</x:v>
      </x:c>
      <x:c r="C35" s="7" t="str">
        <x:v>空值表示未查得/无法确定，不能按0解释。</x:v>
      </x:c>
    </x:row>
    <x:row r="36" ht="38" customHeight="1">
      <x:c r="A36" s="2" t="str">
        <x:v>outcome</x:v>
      </x:c>
      <x:c r="B36" s="2" t="str">
        <x:v>司法及处置结果</x:v>
      </x:c>
      <x:c r="C36" s="7" t="str">
        <x:v>空值表示未查得/无法确定，不能按0解释。</x:v>
      </x:c>
    </x:row>
    <x:row r="37" ht="38" customHeight="1">
      <x:c r="A37" s="2" t="str">
        <x:v>judgment_date</x:v>
      </x:c>
      <x:c r="B37" s="2" t="str">
        <x:v>判决日期</x:v>
      </x:c>
      <x:c r="C37" s="7" t="str">
        <x:v>空值表示未查得/无法确定，不能按0解释。</x:v>
      </x:c>
    </x:row>
    <x:row r="38" ht="38" customHeight="1">
      <x:c r="A38" s="2" t="str">
        <x:v>execution_date</x:v>
      </x:c>
      <x:c r="B38" s="2" t="str">
        <x:v>执行日期</x:v>
      </x:c>
      <x:c r="C38" s="7" t="str">
        <x:v>空值表示未查得/无法确定，不能按0解释。</x:v>
      </x:c>
    </x:row>
    <x:row r="39" ht="38" customHeight="1">
      <x:c r="A39" s="2" t="str">
        <x:v>last_source_date</x:v>
      </x:c>
      <x:c r="B39" s="2" t="str">
        <x:v>最后来源日期</x:v>
      </x:c>
      <x:c r="C39" s="7" t="str">
        <x:v>空值表示未查得/无法确定，不能按0解释。</x:v>
      </x:c>
    </x:row>
    <x:row r="40" ht="38" customHeight="1">
      <x:c r="A40" s="2" t="str">
        <x:v>evidence_level</x:v>
      </x:c>
      <x:c r="B40" s="2" t="str">
        <x:v>事件证据等级</x:v>
      </x:c>
      <x:c r="C40" s="7" t="str">
        <x:v>空值表示未查得/无法确定，不能按0解释。</x:v>
      </x:c>
    </x:row>
    <x:row r="41" ht="38" customHeight="1">
      <x:c r="A41" s="2" t="str">
        <x:v>source_ids</x:v>
      </x:c>
      <x:c r="B41" s="2" t="str">
        <x:v>来源编号</x:v>
      </x:c>
      <x:c r="C41" s="7" t="str">
        <x:v>空值表示未查得/无法确定，不能按0解释。</x:v>
      </x:c>
    </x:row>
    <x:row r="42" ht="38" customHeight="1">
      <x:c r="A42" s="2" t="str">
        <x:v>field_sources</x:v>
      </x:c>
      <x:c r="B42" s="2" t="str">
        <x:v>分字段来源</x:v>
      </x:c>
      <x:c r="C42" s="7" t="str">
        <x:v>日期、地点、伤亡、分类、动机、处置及人口特征分别对应来源ID；应回查来源正文与关键事实摘要。</x:v>
      </x:c>
    </x:row>
    <x:row r="43" ht="38" customHeight="1">
      <x:c r="A43" s="2" t="str">
        <x:v>series_id</x:v>
      </x:c>
      <x:c r="B43" s="2" t="str">
        <x:v>关联系列</x:v>
      </x:c>
      <x:c r="C43" s="7" t="str">
        <x:v>同一作案系列的关联编号；件数不等于独立作案者人数。</x:v>
      </x:c>
    </x:row>
    <x:row r="44" ht="38" customHeight="1">
      <x:c r="A44" s="2" t="str">
        <x:v>notes</x:v>
      </x:c>
      <x:c r="B44" s="2" t="str">
        <x:v>补充说明</x:v>
      </x:c>
      <x:c r="C44" s="7" t="str">
        <x:v>空值表示未查得/无法确定，不能按0解释。</x:v>
      </x:c>
    </x:row>
    <x:row r="45" ht="38" customHeight="1">
      <x:c r="A45" s="2" t="str">
        <x:v>additional_collision_injured</x:v>
      </x:c>
      <x:c r="B45" s="2" t="str">
        <x:v>故意性未明的碰撞伤者</x:v>
      </x:c>
      <x:c r="C45" s="7" t="str">
        <x:v>空值表示未查得/无法确定，不能按0解释。</x:v>
      </x:c>
    </x:row>
    <x:row r="46" ht="38" customHeight="1">
      <x:c r="A46" s="2" t="str">
        <x:v>response_injured</x:v>
      </x:c>
      <x:c r="B46" s="2" t="str">
        <x:v>警方处置伤者</x:v>
      </x:c>
      <x:c r="C46" s="7" t="str">
        <x:v>空值表示未查得/无法确定，不能按0解释。</x:v>
      </x:c>
    </x:row>
    <x:row r="47" ht="38" customHeight="1">
      <x:c r="A47" s="2" t="str">
        <x:v>event_total_injured_reported</x:v>
      </x:c>
      <x:c r="B47" s="2" t="str">
        <x:v>事件总伤者原口径</x:v>
      </x:c>
      <x:c r="C47" s="7" t="str">
        <x:v>空值表示未查得/无法确定，不能按0解释。</x:v>
      </x:c>
    </x:row>
    <x:row r="48" ht="38" customHeight="1">
      <x:c r="A48" s="2" t="str">
        <x:v>motive_attribution</x:v>
      </x:c>
      <x:c r="B48" s="2" t="str">
        <x:v>动机归因说明</x:v>
      </x:c>
      <x:c r="C48" s="7" t="str">
        <x:v>空值表示未查得/无法确定，不能按0解释。</x:v>
      </x:c>
    </x:row>
    <x:row r="49" ht="38" customHeight="1">
      <x:c r="A49" s="2" t="str">
        <x:v>date_time</x:v>
      </x:c>
      <x:c r="B49" s="2" t="str">
        <x:v>已核实案发时间</x:v>
      </x:c>
      <x:c r="C49" s="7" t="str">
        <x:v>少数案件可核实到时间，ISO8601含中国时区+08:00；未知为空，不以报道时间填补。</x:v>
      </x:c>
    </x:row>
    <x:row r="50" ht="38" customHeight="1">
      <x:c r="A50" s="2" t="str">
        <x:v>continuous_attack</x:v>
      </x:c>
      <x:c r="B50" s="2" t="str">
        <x:v>连续袭击过程</x:v>
      </x:c>
      <x:c r="C50" s="7" t="str">
        <x:v>明确为同一连续过程时为true；未核实为空。跨时段重新启动的袭击独立计件，即使在同一天。</x:v>
      </x:c>
    </x:row>
    <x:row r="51" ht="38" customHeight="1">
      <x:c r="A51" s="2" t="str">
        <x:v>official_occurrence</x:v>
      </x:c>
      <x:c r="B51" s="2" t="str">
        <x:v>发生获官方确认</x:v>
      </x:c>
      <x:c r="C51" s="7" t="str">
        <x:v>事件发生是否获官方原文或可靠完整转载支持，不代表官方确认随机性。</x:v>
      </x:c>
    </x:row>
    <x:row r="52" ht="38" customHeight="1">
      <x:c r="A52" s="2" t="str">
        <x:v>official_classification</x:v>
      </x:c>
      <x:c r="B52" s="2" t="str">
        <x:v>官方材料直接支持分类</x:v>
      </x:c>
      <x:c r="C52" s="7" t="str">
        <x:v>严格敏感性标记：官方材料的事实直接支持随机/扩大关系。媒体采集、外交渠道转述及研究推断另层，不计此子集。</x:v>
      </x:c>
    </x:row>
    <x:row r="53" ht="38" customHeight="1">
      <x:c r="A53" s="2" t="str">
        <x:v>classification_evidence</x:v>
      </x:c>
      <x:c r="B53" s="2" t="str">
        <x:v>分类证据分层说明</x:v>
      </x:c>
      <x:c r="C53" s="7" t="str">
        <x:v>分类所依赖的事实层与研究解释，避免将媒体判断误写成官方定性。</x:v>
      </x:c>
    </x:row>
    <x:row r="54" ht="38" customHeight="1">
      <x:c r="A54" s="2" t="str">
        <x:v>motive_themes</x:v>
      </x:c>
      <x:c r="B54" s="2" t="str">
        <x:v>动机归并主题</x:v>
      </x:c>
      <x:c r="C54" s="7" t="str">
        <x:v>研究编码，按work/motive_taxonomy.json归并原始标签；允许多标签，非独立新增事实。</x:v>
      </x:c>
    </x:row>
    <x:row r="55" ht="38" customHeight="1">
      <x:c r="A55" s="2" t="str">
        <x:v>review_batch</x:v>
      </x:c>
      <x:c r="B55" s="2" t="str">
        <x:v>补查批次</x:v>
      </x:c>
      <x:c r="C55" s="7" t="str">
        <x:v>空值表示未查得/无法确定，不能按0解释。</x:v>
      </x:c>
    </x:row>
    <x:row r="56" ht="38" customHeight="1">
      <x:c r="A56" s="2" t="str">
        <x:v>verification_gaps</x:v>
      </x:c>
      <x:c r="B56" s="2" t="str">
        <x:v>尚缺的核验要素</x:v>
      </x:c>
      <x:c r="C56" s="7" t="str">
        <x:v>待核实记录尚缺的要素；未另写时引用分类依据中的核验限制。</x:v>
      </x:c>
    </x:row>
    <x:row r="57" ht="38" customHeight="1">
      <x:c r="A57" s="2" t="str">
        <x:v>social_source_urls</x:v>
      </x:c>
      <x:c r="B57" s="2" t="str">
        <x:v>社交平台原帖链接</x:v>
      </x:c>
      <x:c r="C57" s="7" t="str">
        <x:v>由逐案关联来源中的X/Twitter原帖链接归并得到；镜像不新增独立证据。</x:v>
      </x:c>
    </x:row>
    <x:row r="58" ht="38" customHeight="1">
      <x:c r="A58" s="2" t="str">
        <x:v>reported_date</x:v>
      </x:c>
      <x:c r="B58" s="2" t="str">
        <x:v>线索发布日</x:v>
      </x:c>
      <x:c r="C58" s="7" t="str">
        <x:v>原线索发布日；不自动代替案发日。</x:v>
      </x:c>
    </x:row>
    <x:row r="59" ht="38" customHeight="1">
      <x:c r="A59" s="2" t="str">
        <x:v>review_year</x:v>
      </x:c>
      <x:c r="B59" s="2" t="str">
        <x:v>补查所属年份（非案发年）</x:v>
      </x:c>
      <x:c r="C59" s="7" t="str">
        <x:v>补查队列所属年；不同于案发年。案发日未知的社媒投稿可归入2026补查，不能计入按案发日的年/月统计。</x:v>
      </x:c>
    </x:row>
    <x:row r="60" ht="38" customHeight="1">
      <x:c r="A60" s="2" t="str">
        <x:v>dating_note</x:v>
      </x:c>
      <x:c r="B60" s="2" t="str">
        <x:v>案发日期核验说明</x:v>
      </x:c>
      <x:c r="C60" s="7" t="str">
        <x:v>案发日期精度、发帖与接报警时间差异，以及尚缺证据。</x:v>
      </x:c>
    </x:row>
    <x:row r="61" ht="38" customHeight="1">
      <x:c r="A61" s="2" t="str">
        <x:v>year</x:v>
      </x:c>
      <x:c r="B61" s="2" t="str">
        <x:v>案发年（汇总辅助）</x:v>
      </x:c>
      <x:c r="C61" s="7" t="str">
        <x:v>汇总辅助值；根据原始字段派生。空值在下限加总中贡献0不代表实际为0。</x:v>
      </x:c>
    </x:row>
    <x:row r="62" ht="38" customHeight="1">
      <x:c r="A62" s="2" t="str">
        <x:v>deaths_min</x:v>
      </x:c>
      <x:c r="B62" s="2" t="str">
        <x:v>死亡已知数或下限</x:v>
      </x:c>
      <x:c r="C62" s="7" t="str">
        <x:v>汇总辅助值；根据原始字段派生。空值在下限加总中贡献0不代表实际为0。</x:v>
      </x:c>
    </x:row>
    <x:row r="63" ht="38" customHeight="1">
      <x:c r="A63" s="2" t="str">
        <x:v>injured_min</x:v>
      </x:c>
      <x:c r="B63" s="2" t="str">
        <x:v>受伤已知数或下限</x:v>
      </x:c>
      <x:c r="C63" s="7" t="str">
        <x:v>汇总辅助值；根据原始字段派生。空值在下限加总中贡献0不代表实际为0。</x:v>
      </x:c>
    </x:row>
    <x:row r="64" ht="38" customHeight="1">
      <x:c r="A64" s="2" t="str">
        <x:v>official_number</x:v>
      </x:c>
      <x:c r="B64" s="2" t="str">
        <x:v>官方来源标记1/0</x:v>
      </x:c>
      <x:c r="C64" s="7" t="str">
        <x:v>汇总辅助值；根据原始字段派生。空值在下限加总中贡献0不代表实际为0。</x:v>
      </x:c>
    </x:row>
    <x:row r="65" ht="38" customHeight="1">
      <x:c r="A65" s="2" t="str">
        <x:v>motive_known_number</x:v>
      </x:c>
      <x:c r="B65" s="2" t="str">
        <x:v>动机有证据1/0</x:v>
      </x:c>
      <x:c r="C65" s="7" t="str">
        <x:v>汇总辅助值；根据原始字段派生。空值在下限加总中贡献0不代表实际为0。</x:v>
      </x:c>
    </x:row>
    <x:row r="66" ht="38" customHeight="1">
      <x:c r="A66" s="2" t="str">
        <x:v>same_period_number</x:v>
      </x:c>
      <x:c r="B66" s="2" t="str">
        <x:v>1月1日至9月16日1/0</x:v>
      </x:c>
      <x:c r="C66" s="7" t="str">
        <x:v>汇总辅助值；根据原始字段派生。空值在下限加总中贡献0不代表实际为0。</x:v>
      </x:c>
    </x:row>
    <x:row r="67" ht="38" customHeight="1">
      <x:c r="A67" s="2" t="str">
        <x:v>deaths_unknown</x:v>
      </x:c>
      <x:c r="B67" s="2" t="str">
        <x:v>死亡数不明1/0</x:v>
      </x:c>
      <x:c r="C67" s="7" t="str">
        <x:v>汇总辅助值；根据原始字段派生。空值在下限加总中贡献0不代表实际为0。</x:v>
      </x:c>
    </x:row>
    <x:row r="68" ht="38" customHeight="1">
      <x:c r="A68" s="2" t="str">
        <x:v>injured_unknown</x:v>
      </x:c>
      <x:c r="B68" s="2" t="str">
        <x:v>受伤数不明1/0</x:v>
      </x:c>
      <x:c r="C68" s="7" t="str">
        <x:v>汇总辅助值；根据原始字段派生。空值在下限加总中贡献0不代表实际为0。</x:v>
      </x:c>
    </x:row>
  </x:sheetData>
  <x:pageMargins left="0.7" right="0.7" top="0.75" bottom="0.75" header="0.3" footer="0.3"/>
  <x:tableParts count="1">
    <x:tablePart xmlns:r="http://schemas.openxmlformats.org/officeDocument/2006/relationships" r:id="R4398248c148f4aef"/>
  </x:tableParts>
</x:worksheet>
</file>

<file path=xl/worksheets/sheet13.xml><?xml version="1.0" encoding="utf-8"?>
<x:worksheet xmlns:x="http://schemas.openxmlformats.org/spreadsheetml/2006/main">
  <x:sheetPr>
    <x:tabColor rgb="FF92AAB5"/>
  </x:sheetPr>
  <x:sheetViews>
    <x:sheetView showGridLines="0" workbookViewId="0">
      <x:pane ySplit="1" topLeftCell="A2" activePane="bottomLeft" state="frozen"/>
    </x:sheetView>
  </x:sheetViews>
  <x:sheetFormatPr defaultRowHeight="15"/>
  <x:cols>
    <x:col min="1" max="1" width="18" hidden="0" customWidth="1"/>
    <x:col min="2" max="2" width="110" hidden="0" customWidth="1"/>
  </x:cols>
  <x:sheetData>
    <x:row r="1" ht="42" customHeight="1">
      <x:c r="A1" s="6" t="str">
        <x:v>主题</x:v>
      </x:c>
      <x:c r="B1" s="6" t="str">
        <x:v>说明</x:v>
      </x:c>
    </x:row>
    <x:row r="2" ht="55" customHeight="1">
      <x:c r="A2" s="2" t="str">
        <x:v>研究定位</x:v>
      </x:c>
      <x:c r="B2" s="7" t="str">
        <x:v>公开信息可核实事件库。2018-01-01至2026-09-16，中国大陆31省级地区。不是全部实际案件普查。</x:v>
      </x:c>
    </x:row>
    <x:row r="3" ht="55" customHeight="1">
      <x:c r="A3" s="2" t="str">
        <x:v>分类</x:v>
      </x:c>
      <x:c r="B3" s="7" t="str">
        <x:v>core核心；expanded为纠纷扩大新增部分；核心+expanded为扩展口径；pending待核；excluded排除；organized_terror另列。当前未检出可核实的区间内有组织恐袭，不表示不存在。</x:v>
      </x:c>
    </x:row>
    <x:row r="4" ht="55" customHeight="1">
      <x:c r="A4" s="2" t="str">
        <x:v>核验</x:v>
      </x:c>
      <x:c r="B4" s="7" t="str">
        <x:v>官方原文或可追溯完整转载，或两家独立采集可靠媒体。多次转载同一通报不算独立来源。field_sources分别标记事件/分类/伤亡/动机/结果。</x:v>
      </x:c>
    </x:row>
    <x:row r="5" ht="55" customHeight="1">
      <x:c r="A5" s="2" t="str">
        <x:v>未知与伤亡</x:v>
      </x:c>
      <x:c r="B5" s="7" t="str">
        <x:v>空白保持未知，不自动按0。统计合计是已知值与明确下限相加；精确人数不明案件另列。作案者伤亡独立；警方处置、故意性未明碰撞附加人数不混入主动袭击合计。</x:v>
      </x:c>
    </x:row>
    <x:row r="6" ht="55" customHeight="1">
      <x:c r="A6" s="2" t="str">
        <x:v>动机</x:v>
      </x:c>
      <x:c r="B6" s="7" t="str">
        <x:v>原始多标签保留；归并主题是分析编码，不是额外事实。精神健康单独记录证据，不自动作为动机。</x:v>
      </x:c>
    </x:row>
    <x:row r="7" ht="55" customHeight="1">
      <x:c r="A7" s="2" t="str">
        <x:v>时间</x:v>
      </x:c>
      <x:c r="B7" s="7" t="str">
        <x:v>按案发日归年；同一连续过程计一件；跨日袭击用series_id关联；判决和执行不是新事件。2026只与历年1月1日至9月16日比较，不年化。</x:v>
      </x:c>
    </x:row>
    <x:row r="8" ht="55" customHeight="1">
      <x:c r="A8" s="2" t="str">
        <x:v>地区背景</x:v>
      </x:c>
      <x:c r="B8" s="7" t="str">
        <x:v>2018—2024人口/城镇化/收入来自国家统计局2025年鉴同版序列；2025人口为一财汇总各省披露的二手表。人口修订不可当真实增减。省年关联使用31省记录数，未检出记0仅指记录数。</x:v>
      </x:c>
    </x:row>
    <x:row r="9" ht="55" customHeight="1">
      <x:c r="A9" s="2" t="str">
        <x:v>就业缺口</x:v>
      </x:c>
      <x:c r="B9" s="7" t="str">
        <x:v>2024就业人数和第三产业就业仅描述结构。未取得省级连续同口径调查失业率，保留空白，不能用登记失业率替代。</x:v>
      </x:c>
    </x:row>
    <x:row r="10" ht="55" customHeight="1">
      <x:c r="A10" s="2" t="str">
        <x:v>解释</x:v>
      </x:c>
      <x:c r="B10" s="7" t="str">
        <x:v>记录数和密度均受报道、可访问性、检索深度影响。相关不等于因果，地区关系不能推断个人动机。新增发现旧记录属于检索补漏，不能解释为当天风险上升。</x:v>
      </x:c>
    </x:row>
    <x:row r="11" ht="55" customHeight="1">
      <x:c r="A11" s="2" t="str">
        <x:v>更新</x:v>
      </x:c>
      <x:c r="B11" s="7" t="str">
        <x:v>先补来源，再更新raw研究分组JSON与显式修订overrides，运行scripts/analyze.py后build_workbook.mjs及报告build。JSON/CSV是可复现数据主格式，Excel为发行快照。</x:v>
      </x:c>
    </x:row>
    <x:row r="12" ht="55" customHeight="1">
      <x:c r="A12" s="2" t="str">
        <x:v>来源与权利</x:v>
      </x:c>
      <x:c r="B12" s="7" t="str">
        <x:v>所有链接保留；仅发布结构化事实和简要转述。外部新闻、原图、PDF及地理数据权利属于原发布者。本库不复制血腥图像或受害者住址。</x:v>
      </x:c>
    </x:row>
    <x:row r="13" ht="55" customHeight="1">
      <x:c r="A13" s="2" t="str">
        <x:v>复核</x:v>
      </x:c>
      <x:c r="B13" s="7" t="str">
        <x:v>统计汇总B8:J18和省年记录密度使用Excel公式；季度、敏感性和描述性关联由Python复现脚本计算，修改数据后须重跑。</x:v>
      </x:c>
    </x:row>
  </x:sheetData>
  <x:pageMargins left="0.7" right="0.7" top="0.75" bottom="0.75" header="0.3" footer="0.3"/>
  <x:tableParts count="1">
    <x:tablePart xmlns:r="http://schemas.openxmlformats.org/officeDocument/2006/relationships" r:id="R97c27e3c1e0b4e94"/>
  </x:tableParts>
</x:worksheet>
</file>